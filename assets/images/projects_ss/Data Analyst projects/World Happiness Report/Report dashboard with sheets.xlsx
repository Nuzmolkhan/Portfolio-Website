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nuzmo\Downloads\My Files\Data Analyst projects\World Happiness Report\"/>
    </mc:Choice>
  </mc:AlternateContent>
  <xr:revisionPtr revIDLastSave="0" documentId="13_ncr:1_{AD5FB126-F118-4252-AEF3-896B8FBDBA75}" xr6:coauthVersionLast="47" xr6:coauthVersionMax="47" xr10:uidLastSave="{00000000-0000-0000-0000-000000000000}"/>
  <bookViews>
    <workbookView xWindow="-120" yWindow="-120" windowWidth="29040" windowHeight="16440" firstSheet="1" activeTab="5" xr2:uid="{DF59ADDD-4DF1-4761-ABAF-E444783A2CCF}"/>
  </bookViews>
  <sheets>
    <sheet name="top 10 happy countries" sheetId="10" r:id="rId1"/>
    <sheet name="top 10 sad countries" sheetId="11" r:id="rId2"/>
    <sheet name="Year Wise Average Hapiness Rate" sheetId="12" r:id="rId3"/>
    <sheet name="Country based analysis" sheetId="13" r:id="rId4"/>
    <sheet name="Sheet4" sheetId="17" r:id="rId5"/>
    <sheet name="Sheet5" sheetId="18" r:id="rId6"/>
    <sheet name="Combined_data" sheetId="7" r:id="rId7"/>
    <sheet name="2015" sheetId="1" r:id="rId8"/>
    <sheet name="2016" sheetId="3" r:id="rId9"/>
    <sheet name="2017" sheetId="4" r:id="rId10"/>
    <sheet name="2018" sheetId="5" r:id="rId11"/>
    <sheet name="2019" sheetId="6" r:id="rId12"/>
  </sheets>
  <definedNames>
    <definedName name="ExternalData_1" localSheetId="7" hidden="1">'2015'!$A$1:$J$159</definedName>
    <definedName name="ExternalData_2" localSheetId="8" hidden="1">'2016'!$A$1:$K$158</definedName>
    <definedName name="ExternalData_2" localSheetId="9" hidden="1">'2017'!$A$1:$J$156</definedName>
    <definedName name="ExternalData_2" localSheetId="6" hidden="1">Combined_data!$A$1:$N$783</definedName>
    <definedName name="ExternalData_3" localSheetId="10" hidden="1">'2018'!$A$1:$J$157</definedName>
    <definedName name="ExternalData_4" localSheetId="11" hidden="1">'2019'!$A$1:$J$157</definedName>
    <definedName name="Slicer_Country">#N/A</definedName>
    <definedName name="Slicer_Year">#N/A</definedName>
    <definedName name="Slicer_Year1">#N/A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7" l="1"/>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DFEF77-0166-4D86-BFB2-11AADD5C403A}" keepAlive="1" name="Query - 2015-selected-columns (2)" description="Connection to the '2015-selected-columns (2)' query in the workbook." type="5" refreshedVersion="7" background="1" saveData="1">
    <dbPr connection="Provider=Microsoft.Mashup.OleDb.1;Data Source=$Workbook$;Location=&quot;2015-selected-columns (2)&quot;;Extended Properties=&quot;&quot;" command="SELECT * FROM [2015-selected-columns (2)]"/>
  </connection>
  <connection id="2" xr16:uid="{851B37B6-BDB2-499E-858D-0B823CFD64A2}" keepAlive="1" name="Query - 2016" description="Connection to the '2016' query in the workbook." type="5" refreshedVersion="7" background="1" saveData="1">
    <dbPr connection="Provider=Microsoft.Mashup.OleDb.1;Data Source=$Workbook$;Location=2016;Extended Properties=&quot;&quot;" command="SELECT * FROM [2016]"/>
  </connection>
  <connection id="3" xr16:uid="{5AB714AA-C884-41AA-8C98-3754D9C19CD6}" keepAlive="1" name="Query - 2017" description="Connection to the '2017' query in the workbook." type="5" refreshedVersion="7" background="1" saveData="1">
    <dbPr connection="Provider=Microsoft.Mashup.OleDb.1;Data Source=$Workbook$;Location=2017;Extended Properties=&quot;&quot;" command="SELECT * FROM [2017]"/>
  </connection>
  <connection id="4" xr16:uid="{497C1730-1784-4EE5-8D7B-6EC9494E5FA8}" keepAlive="1" name="Query - 2018" description="Connection to the '2018' query in the workbook." type="5" refreshedVersion="7" background="1" saveData="1">
    <dbPr connection="Provider=Microsoft.Mashup.OleDb.1;Data Source=$Workbook$;Location=2018;Extended Properties=&quot;&quot;" command="SELECT * FROM [2018]"/>
  </connection>
  <connection id="5" xr16:uid="{B9C9C278-3C04-48AB-B4C5-F171415C109E}" keepAlive="1" name="Query - 2019" description="Connection to the '2019' query in the workbook." type="5" refreshedVersion="7" background="1" saveData="1">
    <dbPr connection="Provider=Microsoft.Mashup.OleDb.1;Data Source=$Workbook$;Location=2019;Extended Properties=&quot;&quot;" command="SELECT * FROM [2019]"/>
  </connection>
  <connection id="6" xr16:uid="{E705AA90-9D35-485F-8956-844356B84E6B}" keepAlive="1" name="Query - Append1" description="Connection to the 'Append1' query in the workbook." type="5" refreshedVersion="7" background="1" saveData="1">
    <dbPr connection="Provider=Microsoft.Mashup.OleDb.1;Data Source=$Workbook$;Location=Append1;Extended Properties=&quot;&quot;" command="SELECT * FROM [Append1]"/>
  </connection>
</connections>
</file>

<file path=xl/sharedStrings.xml><?xml version="1.0" encoding="utf-8"?>
<sst xmlns="http://schemas.openxmlformats.org/spreadsheetml/2006/main" count="2460" uniqueCount="320">
  <si>
    <t>Country</t>
  </si>
  <si>
    <t>Region</t>
  </si>
  <si>
    <t>Family</t>
  </si>
  <si>
    <t>Freedom</t>
  </si>
  <si>
    <t>Switzerland</t>
  </si>
  <si>
    <t>Western Europe</t>
  </si>
  <si>
    <t>Iceland</t>
  </si>
  <si>
    <t>Denmark</t>
  </si>
  <si>
    <t>Norway</t>
  </si>
  <si>
    <t>Canada</t>
  </si>
  <si>
    <t>North America</t>
  </si>
  <si>
    <t>Finland</t>
  </si>
  <si>
    <t>Netherlands</t>
  </si>
  <si>
    <t>Sweden</t>
  </si>
  <si>
    <t>New Zealand</t>
  </si>
  <si>
    <t>Australia and New Zealand</t>
  </si>
  <si>
    <t>Australia</t>
  </si>
  <si>
    <t>Israel</t>
  </si>
  <si>
    <t>Middle East and Northern Africa</t>
  </si>
  <si>
    <t>Costa Rica</t>
  </si>
  <si>
    <t>Latin America and Caribbean</t>
  </si>
  <si>
    <t>Austria</t>
  </si>
  <si>
    <t>Mexico</t>
  </si>
  <si>
    <t>United States</t>
  </si>
  <si>
    <t>Brazil</t>
  </si>
  <si>
    <t>Luxembourg</t>
  </si>
  <si>
    <t>Ireland</t>
  </si>
  <si>
    <t>Belgium</t>
  </si>
  <si>
    <t>United Arab Emirates</t>
  </si>
  <si>
    <t>United Kingdom</t>
  </si>
  <si>
    <t>Oman</t>
  </si>
  <si>
    <t>Venezuela</t>
  </si>
  <si>
    <t>Singapore</t>
  </si>
  <si>
    <t>Southeastern Asia</t>
  </si>
  <si>
    <t>Panama</t>
  </si>
  <si>
    <t>Germany</t>
  </si>
  <si>
    <t>Chile</t>
  </si>
  <si>
    <t>Qatar</t>
  </si>
  <si>
    <t>France</t>
  </si>
  <si>
    <t>Argentina</t>
  </si>
  <si>
    <t>Czech Republic</t>
  </si>
  <si>
    <t>Central and Eastern Europe</t>
  </si>
  <si>
    <t>Uruguay</t>
  </si>
  <si>
    <t>Colombia</t>
  </si>
  <si>
    <t>Thailand</t>
  </si>
  <si>
    <t>Saudi Arabia</t>
  </si>
  <si>
    <t>Spain</t>
  </si>
  <si>
    <t>Malta</t>
  </si>
  <si>
    <t>Taiwan</t>
  </si>
  <si>
    <t>Eastern Asia</t>
  </si>
  <si>
    <t>Kuwait</t>
  </si>
  <si>
    <t>Suriname</t>
  </si>
  <si>
    <t>Trinidad and Tobago</t>
  </si>
  <si>
    <t>El Salvador</t>
  </si>
  <si>
    <t>Guatemala</t>
  </si>
  <si>
    <t>Uzbekistan</t>
  </si>
  <si>
    <t>Slovakia</t>
  </si>
  <si>
    <t>Japan</t>
  </si>
  <si>
    <t>South Korea</t>
  </si>
  <si>
    <t>Ecuador</t>
  </si>
  <si>
    <t>Bahrain</t>
  </si>
  <si>
    <t>Italy</t>
  </si>
  <si>
    <t>Bolivia</t>
  </si>
  <si>
    <t>Moldova</t>
  </si>
  <si>
    <t>Paraguay</t>
  </si>
  <si>
    <t>Kazakhstan</t>
  </si>
  <si>
    <t>Slovenia</t>
  </si>
  <si>
    <t>Lithuania</t>
  </si>
  <si>
    <t>Nicaragua</t>
  </si>
  <si>
    <t>Peru</t>
  </si>
  <si>
    <t>Belarus</t>
  </si>
  <si>
    <t>Poland</t>
  </si>
  <si>
    <t>Malaysia</t>
  </si>
  <si>
    <t>Croatia</t>
  </si>
  <si>
    <t>Libya</t>
  </si>
  <si>
    <t>Russia</t>
  </si>
  <si>
    <t>Jamaica</t>
  </si>
  <si>
    <t>North Cyprus</t>
  </si>
  <si>
    <t>Cyprus</t>
  </si>
  <si>
    <t>Algeria</t>
  </si>
  <si>
    <t>Kosovo</t>
  </si>
  <si>
    <t>Turkmenistan</t>
  </si>
  <si>
    <t>Mauritius</t>
  </si>
  <si>
    <t>Sub-Saharan Africa</t>
  </si>
  <si>
    <t>Hong Kong</t>
  </si>
  <si>
    <t>Estonia</t>
  </si>
  <si>
    <t>Indonesia</t>
  </si>
  <si>
    <t>Vietnam</t>
  </si>
  <si>
    <t>Turkey</t>
  </si>
  <si>
    <t>Kyrgyzstan</t>
  </si>
  <si>
    <t>Nigeria</t>
  </si>
  <si>
    <t>Bhutan</t>
  </si>
  <si>
    <t>Southern Asia</t>
  </si>
  <si>
    <t>Azerbaijan</t>
  </si>
  <si>
    <t>Pakistan</t>
  </si>
  <si>
    <t>Jordan</t>
  </si>
  <si>
    <t>Montenegro</t>
  </si>
  <si>
    <t>China</t>
  </si>
  <si>
    <t>Zambia</t>
  </si>
  <si>
    <t>Romania</t>
  </si>
  <si>
    <t>Serbia</t>
  </si>
  <si>
    <t>Portugal</t>
  </si>
  <si>
    <t>Latvia</t>
  </si>
  <si>
    <t>Philippines</t>
  </si>
  <si>
    <t>Somaliland region</t>
  </si>
  <si>
    <t>Morocco</t>
  </si>
  <si>
    <t>Macedonia</t>
  </si>
  <si>
    <t>Mozambique</t>
  </si>
  <si>
    <t>Albania</t>
  </si>
  <si>
    <t>Bosnia and Herzegovina</t>
  </si>
  <si>
    <t>Lesotho</t>
  </si>
  <si>
    <t>Dominican Republic</t>
  </si>
  <si>
    <t>Laos</t>
  </si>
  <si>
    <t>Mongolia</t>
  </si>
  <si>
    <t>Swaziland</t>
  </si>
  <si>
    <t>Greece</t>
  </si>
  <si>
    <t>Lebanon</t>
  </si>
  <si>
    <t>Hungary</t>
  </si>
  <si>
    <t>Honduras</t>
  </si>
  <si>
    <t>Tajikistan</t>
  </si>
  <si>
    <t>Tunisia</t>
  </si>
  <si>
    <t>Palestinian Territories</t>
  </si>
  <si>
    <t>Bangladesh</t>
  </si>
  <si>
    <t>Iran</t>
  </si>
  <si>
    <t>Ukraine</t>
  </si>
  <si>
    <t>Iraq</t>
  </si>
  <si>
    <t>South Africa</t>
  </si>
  <si>
    <t>Ghana</t>
  </si>
  <si>
    <t>Zimbabwe</t>
  </si>
  <si>
    <t>Liberia</t>
  </si>
  <si>
    <t>India</t>
  </si>
  <si>
    <t>Sudan</t>
  </si>
  <si>
    <t>Haiti</t>
  </si>
  <si>
    <t>Congo (Kinshasa)</t>
  </si>
  <si>
    <t>Nepal</t>
  </si>
  <si>
    <t>Ethiopia</t>
  </si>
  <si>
    <t>Sierra Leone</t>
  </si>
  <si>
    <t>Mauritania</t>
  </si>
  <si>
    <t>Kenya</t>
  </si>
  <si>
    <t>Djibouti</t>
  </si>
  <si>
    <t>Armenia</t>
  </si>
  <si>
    <t>Botswana</t>
  </si>
  <si>
    <t>Myanmar</t>
  </si>
  <si>
    <t>Georgia</t>
  </si>
  <si>
    <t>Malawi</t>
  </si>
  <si>
    <t>Sri Lanka</t>
  </si>
  <si>
    <t>Cameroon</t>
  </si>
  <si>
    <t>Bulgaria</t>
  </si>
  <si>
    <t>Egypt</t>
  </si>
  <si>
    <t>Yemen</t>
  </si>
  <si>
    <t>Angola</t>
  </si>
  <si>
    <t>Mali</t>
  </si>
  <si>
    <t>Congo (Brazzaville)</t>
  </si>
  <si>
    <t>Comoros</t>
  </si>
  <si>
    <t>Uganda</t>
  </si>
  <si>
    <t>Senegal</t>
  </si>
  <si>
    <t>Gabon</t>
  </si>
  <si>
    <t>Niger</t>
  </si>
  <si>
    <t>Cambodia</t>
  </si>
  <si>
    <t>Tanzania</t>
  </si>
  <si>
    <t>Madagascar</t>
  </si>
  <si>
    <t>Central African Republic</t>
  </si>
  <si>
    <t>Chad</t>
  </si>
  <si>
    <t>Guinea</t>
  </si>
  <si>
    <t>Ivory Coast</t>
  </si>
  <si>
    <t>Burkina Faso</t>
  </si>
  <si>
    <t>Afghanistan</t>
  </si>
  <si>
    <t>Rwanda</t>
  </si>
  <si>
    <t>Benin</t>
  </si>
  <si>
    <t>Syria</t>
  </si>
  <si>
    <t>Burundi</t>
  </si>
  <si>
    <t>Togo</t>
  </si>
  <si>
    <t>Generosity</t>
  </si>
  <si>
    <t>Puerto Rico</t>
  </si>
  <si>
    <t>Belize</t>
  </si>
  <si>
    <t>Somalia</t>
  </si>
  <si>
    <t>Somaliland Region</t>
  </si>
  <si>
    <t>Namibia</t>
  </si>
  <si>
    <t>South Sudan</t>
  </si>
  <si>
    <t>Taiwan Province of China</t>
  </si>
  <si>
    <t>Hong Kong S.A.R., China</t>
  </si>
  <si>
    <t>0.393</t>
  </si>
  <si>
    <t>0.340</t>
  </si>
  <si>
    <t>0.408</t>
  </si>
  <si>
    <t>0.138</t>
  </si>
  <si>
    <t>0.357</t>
  </si>
  <si>
    <t>0.295</t>
  </si>
  <si>
    <t>0.291</t>
  </si>
  <si>
    <t>0.389</t>
  </si>
  <si>
    <t>0.383</t>
  </si>
  <si>
    <t>0.302</t>
  </si>
  <si>
    <t>0.082</t>
  </si>
  <si>
    <t>0.224</t>
  </si>
  <si>
    <t>0.101</t>
  </si>
  <si>
    <t>0.306</t>
  </si>
  <si>
    <t>0.280</t>
  </si>
  <si>
    <t>0.240</t>
  </si>
  <si>
    <t>0.321</t>
  </si>
  <si>
    <t>0.133</t>
  </si>
  <si>
    <t>0.272</t>
  </si>
  <si>
    <t>N/A</t>
  </si>
  <si>
    <t>0.034</t>
  </si>
  <si>
    <t>0.142</t>
  </si>
  <si>
    <t>0.176</t>
  </si>
  <si>
    <t>0.095</t>
  </si>
  <si>
    <t>0.061</t>
  </si>
  <si>
    <t>0.078</t>
  </si>
  <si>
    <t>0.063</t>
  </si>
  <si>
    <t>0.088</t>
  </si>
  <si>
    <t>0.054</t>
  </si>
  <si>
    <t>0.071</t>
  </si>
  <si>
    <t>0.155</t>
  </si>
  <si>
    <t>0.171</t>
  </si>
  <si>
    <t>0.127</t>
  </si>
  <si>
    <t>0.457</t>
  </si>
  <si>
    <t>0.059</t>
  </si>
  <si>
    <t>0.074</t>
  </si>
  <si>
    <t>0.039</t>
  </si>
  <si>
    <t>Trinidad &amp; Tobago</t>
  </si>
  <si>
    <t>0.019</t>
  </si>
  <si>
    <t>0.014</t>
  </si>
  <si>
    <t>0.128</t>
  </si>
  <si>
    <t>0.064</t>
  </si>
  <si>
    <t>0.123</t>
  </si>
  <si>
    <t>0.259</t>
  </si>
  <si>
    <t>0.106</t>
  </si>
  <si>
    <t>0.029</t>
  </si>
  <si>
    <t>0.028</t>
  </si>
  <si>
    <t>0.120</t>
  </si>
  <si>
    <t>0.089</t>
  </si>
  <si>
    <t>0.006</t>
  </si>
  <si>
    <t>0.051</t>
  </si>
  <si>
    <t>0.001</t>
  </si>
  <si>
    <t>0.066</t>
  </si>
  <si>
    <t>0.150</t>
  </si>
  <si>
    <t>0.050</t>
  </si>
  <si>
    <t>0.031</t>
  </si>
  <si>
    <t>Northern Cyprus</t>
  </si>
  <si>
    <t>0.154</t>
  </si>
  <si>
    <t>0.025</t>
  </si>
  <si>
    <t>0.121</t>
  </si>
  <si>
    <t>0.035</t>
  </si>
  <si>
    <t>0.174</t>
  </si>
  <si>
    <t>0.023</t>
  </si>
  <si>
    <t>0.000</t>
  </si>
  <si>
    <t>0.037</t>
  </si>
  <si>
    <t>0.022</t>
  </si>
  <si>
    <t>0.148</t>
  </si>
  <si>
    <t>0.105</t>
  </si>
  <si>
    <t>0.109</t>
  </si>
  <si>
    <t>0.113</t>
  </si>
  <si>
    <t>0.017</t>
  </si>
  <si>
    <t>0.043</t>
  </si>
  <si>
    <t>0.044</t>
  </si>
  <si>
    <t>0.136</t>
  </si>
  <si>
    <t>0.081</t>
  </si>
  <si>
    <t>0.135</t>
  </si>
  <si>
    <t>0.103</t>
  </si>
  <si>
    <t>0.052</t>
  </si>
  <si>
    <t>0.134</t>
  </si>
  <si>
    <t>0.032</t>
  </si>
  <si>
    <t>0.079</t>
  </si>
  <si>
    <t>0.018</t>
  </si>
  <si>
    <t>0.282</t>
  </si>
  <si>
    <t>0.009</t>
  </si>
  <si>
    <t>0.076</t>
  </si>
  <si>
    <t>0.056</t>
  </si>
  <si>
    <t>0.129</t>
  </si>
  <si>
    <t>0.053</t>
  </si>
  <si>
    <t>0.077</t>
  </si>
  <si>
    <t>0.144</t>
  </si>
  <si>
    <t>0.065</t>
  </si>
  <si>
    <t>0.107</t>
  </si>
  <si>
    <t>0.158</t>
  </si>
  <si>
    <t>0.055</t>
  </si>
  <si>
    <t>0.093</t>
  </si>
  <si>
    <t>0.146</t>
  </si>
  <si>
    <t>0.215</t>
  </si>
  <si>
    <t>0.178</t>
  </si>
  <si>
    <t>0.060</t>
  </si>
  <si>
    <t>0.099</t>
  </si>
  <si>
    <t>0.067</t>
  </si>
  <si>
    <t>0.011</t>
  </si>
  <si>
    <t>0.094</t>
  </si>
  <si>
    <t>0.112</t>
  </si>
  <si>
    <t>0.049</t>
  </si>
  <si>
    <t>0.036</t>
  </si>
  <si>
    <t>0.092</t>
  </si>
  <si>
    <t>0.080</t>
  </si>
  <si>
    <t>0.104</t>
  </si>
  <si>
    <t>0.030</t>
  </si>
  <si>
    <t>0.444</t>
  </si>
  <si>
    <t>0.097</t>
  </si>
  <si>
    <t>0.038</t>
  </si>
  <si>
    <t>North Macedonia</t>
  </si>
  <si>
    <t>Gambia</t>
  </si>
  <si>
    <t>Year</t>
  </si>
  <si>
    <t>Happiness_Rank</t>
  </si>
  <si>
    <t>Happiness_Score</t>
  </si>
  <si>
    <t>Economy_GDP_per_Capita</t>
  </si>
  <si>
    <t>Health_Life_Expectancy</t>
  </si>
  <si>
    <t>Trust_Government_Corruption</t>
  </si>
  <si>
    <t>Row Labels</t>
  </si>
  <si>
    <t>Grand Total</t>
  </si>
  <si>
    <t>Happiness_Score (%)</t>
  </si>
  <si>
    <t>Economy_GDP_per_Capita (%)</t>
  </si>
  <si>
    <t>Family (%)</t>
  </si>
  <si>
    <t>Health_Life_Expectancy (%)</t>
  </si>
  <si>
    <t>Freedom (%)</t>
  </si>
  <si>
    <t>Trust_Government_Corruption (%)</t>
  </si>
  <si>
    <t>Generosity (%)</t>
  </si>
  <si>
    <t>Average of Happiness_Score (%)</t>
  </si>
  <si>
    <t>Average of Economy_GDP_per_Capita (%)</t>
  </si>
  <si>
    <t>Average of Family (%)</t>
  </si>
  <si>
    <t>Average of Health_Life_Expectancy (%)</t>
  </si>
  <si>
    <t>Average of Freedom (%)</t>
  </si>
  <si>
    <t>Average of Trust_Government_Corruption (%)</t>
  </si>
  <si>
    <t>Average of Generosity (%)</t>
  </si>
  <si>
    <t>Column Labels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</si>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</sst>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7" formatCode="0_);\(0\)"/>
  </numFmts>
  <fonts count="4"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9" fontId="0" fillId="0" borderId="0" xfId="1" applyFont="1"/>
    <xf numFmtId="43" fontId="0" fillId="0" borderId="0" xfId="2" applyFont="1" applyAlignment="1">
      <alignment horizontal="left"/>
    </xf>
    <xf numFmtId="43" fontId="0" fillId="0" borderId="0" xfId="2" applyFont="1"/>
    <xf numFmtId="0" fontId="0" fillId="0" borderId="0" xfId="0" applyNumberFormat="1"/>
    <xf numFmtId="0" fontId="3" fillId="2" borderId="1" xfId="0" applyFont="1" applyFill="1" applyBorder="1"/>
    <xf numFmtId="43" fontId="0" fillId="0" borderId="0" xfId="0" applyNumberFormat="1"/>
    <xf numFmtId="167" fontId="0" fillId="0" borderId="0" xfId="0" applyNumberFormat="1"/>
  </cellXfs>
  <cellStyles count="3">
    <cellStyle name="Comma" xfId="2" builtinId="3"/>
    <cellStyle name="Normal" xfId="0" builtinId="0"/>
    <cellStyle name="Percent" xfId="1" builtinId="5"/>
  </cellStyles>
  <dxfs count="38">
    <dxf>
      <numFmt numFmtId="35" formatCode="_(* #,##0.00_);_(* \(#,##0.00\);_(* &quot;-&quot;??_);_(@_)"/>
    </dxf>
    <dxf>
      <numFmt numFmtId="167" formatCode="0_);\(0\)"/>
    </dxf>
    <dxf>
      <numFmt numFmtId="35" formatCode="_(* #,##0.00_);_(* \(#,##0.00\);_(* &quot;-&quot;??_);_(@_)"/>
    </dxf>
    <dxf>
      <numFmt numFmtId="167" formatCode="0_);\(0\)"/>
    </dxf>
    <dxf>
      <numFmt numFmtId="35" formatCode="_(* #,##0.00_);_(* \(#,##0.00\);_(* &quot;-&quot;??_);_(@_)"/>
    </dxf>
    <dxf>
      <numFmt numFmtId="167" formatCode="0_);\(0\)"/>
    </dxf>
    <dxf>
      <numFmt numFmtId="167" formatCode="0_);\(0\)"/>
    </dxf>
    <dxf>
      <numFmt numFmtId="35" formatCode="_(* #,##0.00_);_(* \(#,##0.00\);_(* &quot;-&quot;??_);_(@_)"/>
    </dxf>
    <dxf>
      <numFmt numFmtId="167" formatCode="0_);\(0\)"/>
    </dxf>
    <dxf>
      <numFmt numFmtId="167" formatCode="0_);\(0\)"/>
    </dxf>
    <dxf>
      <numFmt numFmtId="167" formatCode="0_);\(0\)"/>
    </dxf>
    <dxf>
      <numFmt numFmtId="167" formatCode="0_);\(0\)"/>
    </dxf>
    <dxf>
      <numFmt numFmtId="35" formatCode="_(* #,##0.00_);_(* \(#,##0.00\);_(* &quot;-&quot;??_);_(@_)"/>
    </dxf>
    <dxf>
      <numFmt numFmtId="166" formatCode="_(* #,##0_);_(* \(#,##0\);_(* &quot;-&quot;??_);_(@_)"/>
    </dxf>
    <dxf>
      <numFmt numFmtId="167" formatCode="0_);\(0\)"/>
    </dxf>
    <dxf>
      <numFmt numFmtId="165" formatCode="_(* #,##0.0_);_(* \(#,##0.0\);_(* &quot;-&quot;??_);_(@_)"/>
    </dxf>
    <dxf>
      <numFmt numFmtId="35" formatCode="_(* #,##0.00_);_(* \(#,##0.00\);_(* &quot;-&quot;??_);_(@_)"/>
    </dxf>
    <dxf>
      <numFmt numFmtId="166" formatCode="_(* #,##0_);_(* \(#,##0\);_(* &quot;-&quot;??_);_(@_)"/>
    </dxf>
    <dxf>
      <numFmt numFmtId="165" formatCode="_(* #,##0.0_);_(* \(#,##0.0\);_(* &quot;-&quot;??_);_(@_)"/>
    </dxf>
    <dxf>
      <numFmt numFmtId="35" formatCode="_(* #,##0.00_);_(* \(#,##0.00\);_(* &quot;-&quot;??_);_(@_)"/>
    </dxf>
    <dxf>
      <numFmt numFmtId="164"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dashboard with sheets.xlsx]top 10 happy countries!PivotTable3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latin typeface="Times New Roman" panose="02020603050405020304" pitchFamily="18" charset="0"/>
                <a:cs typeface="Times New Roman" panose="02020603050405020304" pitchFamily="18" charset="0"/>
              </a:rPr>
              <a:t>Top 10 happy</a:t>
            </a:r>
            <a:r>
              <a:rPr lang="en-US" sz="1800" baseline="0">
                <a:solidFill>
                  <a:schemeClr val="accent1"/>
                </a:solidFill>
                <a:latin typeface="Times New Roman" panose="02020603050405020304" pitchFamily="18" charset="0"/>
                <a:cs typeface="Times New Roman" panose="02020603050405020304" pitchFamily="18" charset="0"/>
              </a:rPr>
              <a:t> country's happiness rate (%)</a:t>
            </a:r>
            <a:endParaRPr lang="en-US" sz="1800">
              <a:solidFill>
                <a:schemeClr val="accent1"/>
              </a:solidFill>
              <a:latin typeface="Times New Roman" panose="02020603050405020304" pitchFamily="18" charset="0"/>
              <a:cs typeface="Times New Roman" panose="02020603050405020304" pitchFamily="18" charset="0"/>
            </a:endParaRPr>
          </a:p>
        </c:rich>
      </c:tx>
      <c:layout>
        <c:manualLayout>
          <c:xMode val="edge"/>
          <c:yMode val="edge"/>
          <c:x val="0.26114354721617244"/>
          <c:y val="6.2538945221775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happy countries'!$B$3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happy countries'!$A$4:$A$13</c:f>
              <c:strCache>
                <c:ptCount val="10"/>
                <c:pt idx="0">
                  <c:v>Norway</c:v>
                </c:pt>
                <c:pt idx="1">
                  <c:v>Denmark</c:v>
                </c:pt>
                <c:pt idx="2">
                  <c:v>Iceland</c:v>
                </c:pt>
                <c:pt idx="3">
                  <c:v>Switzerland</c:v>
                </c:pt>
                <c:pt idx="4">
                  <c:v>Finland</c:v>
                </c:pt>
                <c:pt idx="5">
                  <c:v>Netherlands</c:v>
                </c:pt>
                <c:pt idx="6">
                  <c:v>Canada</c:v>
                </c:pt>
                <c:pt idx="7">
                  <c:v>New Zealand</c:v>
                </c:pt>
                <c:pt idx="8">
                  <c:v>Australia</c:v>
                </c:pt>
                <c:pt idx="9">
                  <c:v>Sweden</c:v>
                </c:pt>
              </c:strCache>
            </c:strRef>
          </c:cat>
          <c:val>
            <c:numRef>
              <c:f>'top 10 happy countries'!$B$4:$B$13</c:f>
              <c:numCache>
                <c:formatCode>_(* #,##0.00_);_(* \(#,##0.00\);_(* "-"??_);_(@_)</c:formatCode>
                <c:ptCount val="10"/>
                <c:pt idx="0">
                  <c:v>75.370001792907686</c:v>
                </c:pt>
                <c:pt idx="1">
                  <c:v>75.219998359680204</c:v>
                </c:pt>
                <c:pt idx="2">
                  <c:v>75.040001869201689</c:v>
                </c:pt>
                <c:pt idx="3">
                  <c:v>74.939999580383301</c:v>
                </c:pt>
                <c:pt idx="4">
                  <c:v>74.689998626709013</c:v>
                </c:pt>
                <c:pt idx="5">
                  <c:v>73.769998550415011</c:v>
                </c:pt>
                <c:pt idx="6">
                  <c:v>73.159999847412095</c:v>
                </c:pt>
                <c:pt idx="7">
                  <c:v>73.140001296997099</c:v>
                </c:pt>
                <c:pt idx="8">
                  <c:v>72.839999198913603</c:v>
                </c:pt>
                <c:pt idx="9">
                  <c:v>72.839999198913603</c:v>
                </c:pt>
              </c:numCache>
            </c:numRef>
          </c:val>
          <c:extLst>
            <c:ext xmlns:c16="http://schemas.microsoft.com/office/drawing/2014/chart" uri="{C3380CC4-5D6E-409C-BE32-E72D297353CC}">
              <c16:uniqueId val="{00000000-A2C7-4346-9F05-7F0CEB6D6A21}"/>
            </c:ext>
          </c:extLst>
        </c:ser>
        <c:dLbls>
          <c:dLblPos val="outEnd"/>
          <c:showLegendKey val="0"/>
          <c:showVal val="1"/>
          <c:showCatName val="0"/>
          <c:showSerName val="0"/>
          <c:showPercent val="0"/>
          <c:showBubbleSize val="0"/>
        </c:dLbls>
        <c:gapWidth val="219"/>
        <c:overlap val="-27"/>
        <c:axId val="860974511"/>
        <c:axId val="860974927"/>
      </c:barChart>
      <c:catAx>
        <c:axId val="86097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74927"/>
        <c:crosses val="autoZero"/>
        <c:auto val="1"/>
        <c:lblAlgn val="ctr"/>
        <c:lblOffset val="100"/>
        <c:noMultiLvlLbl val="0"/>
      </c:catAx>
      <c:valAx>
        <c:axId val="860974927"/>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86097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dashboard with sheets.xlsx]top 10 sad countries!PivotTable4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latin typeface="Times New Roman" panose="02020603050405020304" pitchFamily="18" charset="0"/>
                <a:cs typeface="Times New Roman" panose="02020603050405020304" pitchFamily="18" charset="0"/>
              </a:rPr>
              <a:t>Top</a:t>
            </a:r>
            <a:r>
              <a:rPr lang="en-US" sz="1800" baseline="0">
                <a:solidFill>
                  <a:schemeClr val="accent1"/>
                </a:solidFill>
                <a:latin typeface="Times New Roman" panose="02020603050405020304" pitchFamily="18" charset="0"/>
                <a:cs typeface="Times New Roman" panose="02020603050405020304" pitchFamily="18" charset="0"/>
              </a:rPr>
              <a:t> 10 sad country's happiness rate (%)</a:t>
            </a:r>
            <a:endParaRPr lang="en-US" sz="1800">
              <a:solidFill>
                <a:schemeClr val="accent1"/>
              </a:solidFill>
              <a:latin typeface="Times New Roman" panose="02020603050405020304" pitchFamily="18" charset="0"/>
              <a:cs typeface="Times New Roman" panose="02020603050405020304" pitchFamily="18" charset="0"/>
            </a:endParaRPr>
          </a:p>
        </c:rich>
      </c:tx>
      <c:layout>
        <c:manualLayout>
          <c:xMode val="edge"/>
          <c:yMode val="edge"/>
          <c:x val="0.27044243079009439"/>
          <c:y val="3.9139730445180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sad countries'!$B$3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sad countries'!$A$4:$A$14</c:f>
              <c:strCache>
                <c:ptCount val="10"/>
                <c:pt idx="0">
                  <c:v>Burundi</c:v>
                </c:pt>
                <c:pt idx="1">
                  <c:v>Syria</c:v>
                </c:pt>
                <c:pt idx="2">
                  <c:v>Togo</c:v>
                </c:pt>
                <c:pt idx="3">
                  <c:v>Afghanistan</c:v>
                </c:pt>
                <c:pt idx="4">
                  <c:v>Benin</c:v>
                </c:pt>
                <c:pt idx="5">
                  <c:v>Rwanda</c:v>
                </c:pt>
                <c:pt idx="6">
                  <c:v>Guinea</c:v>
                </c:pt>
                <c:pt idx="7">
                  <c:v>Liberia</c:v>
                </c:pt>
                <c:pt idx="8">
                  <c:v>Tanzania</c:v>
                </c:pt>
                <c:pt idx="9">
                  <c:v>Madagascar</c:v>
                </c:pt>
              </c:strCache>
            </c:strRef>
          </c:cat>
          <c:val>
            <c:numRef>
              <c:f>'top 10 sad countries'!$B$4:$B$14</c:f>
              <c:numCache>
                <c:formatCode>_(* #,##0.00_);_(* \(#,##0.00\);_(* "-"??_);_(@_)</c:formatCode>
                <c:ptCount val="10"/>
                <c:pt idx="0">
                  <c:v>29.05</c:v>
                </c:pt>
                <c:pt idx="1">
                  <c:v>30.689999999999998</c:v>
                </c:pt>
                <c:pt idx="2">
                  <c:v>33.03</c:v>
                </c:pt>
                <c:pt idx="3">
                  <c:v>33.6</c:v>
                </c:pt>
                <c:pt idx="4">
                  <c:v>34.839999999999996</c:v>
                </c:pt>
                <c:pt idx="5">
                  <c:v>35.15</c:v>
                </c:pt>
                <c:pt idx="6">
                  <c:v>36.070000000000007</c:v>
                </c:pt>
                <c:pt idx="7">
                  <c:v>36.22</c:v>
                </c:pt>
                <c:pt idx="8">
                  <c:v>36.659999999999997</c:v>
                </c:pt>
                <c:pt idx="9">
                  <c:v>36.950000000000003</c:v>
                </c:pt>
              </c:numCache>
            </c:numRef>
          </c:val>
          <c:extLst>
            <c:ext xmlns:c16="http://schemas.microsoft.com/office/drawing/2014/chart" uri="{C3380CC4-5D6E-409C-BE32-E72D297353CC}">
              <c16:uniqueId val="{00000000-1C5D-48DE-9999-C0183C1098F2}"/>
            </c:ext>
          </c:extLst>
        </c:ser>
        <c:dLbls>
          <c:dLblPos val="outEnd"/>
          <c:showLegendKey val="0"/>
          <c:showVal val="1"/>
          <c:showCatName val="0"/>
          <c:showSerName val="0"/>
          <c:showPercent val="0"/>
          <c:showBubbleSize val="0"/>
        </c:dLbls>
        <c:gapWidth val="219"/>
        <c:overlap val="-27"/>
        <c:axId val="1847856367"/>
        <c:axId val="1847856783"/>
      </c:barChart>
      <c:catAx>
        <c:axId val="184785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856783"/>
        <c:crosses val="autoZero"/>
        <c:auto val="1"/>
        <c:lblAlgn val="ctr"/>
        <c:lblOffset val="100"/>
        <c:noMultiLvlLbl val="0"/>
      </c:catAx>
      <c:valAx>
        <c:axId val="1847856783"/>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84785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dashboard with sheets.xlsx]Year Wise Average Hapiness Rate!PivotTable1</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 Wise Average Hapinees Rate (%)</a:t>
            </a:r>
          </a:p>
        </c:rich>
      </c:tx>
      <c:layout>
        <c:manualLayout>
          <c:xMode val="edge"/>
          <c:yMode val="edge"/>
          <c:x val="0.28952422797768335"/>
          <c:y val="2.672002640162351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891491544166331E-2"/>
              <c:y val="-0.11475412304851836"/>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fld id="{478D162A-ABAB-4CD5-8E4F-4509C96FCB18}" type="CATEGORYNAME">
                  <a:rPr lang="en-US">
                    <a:latin typeface="Times New Roman" panose="02020603050405020304" pitchFamily="18" charset="0"/>
                    <a:cs typeface="Times New Roman" panose="02020603050405020304" pitchFamily="18" charset="0"/>
                  </a:rPr>
                  <a:pPr>
                    <a:defRPr sz="1050" b="1">
                      <a:latin typeface="Times New Roman" panose="02020603050405020304" pitchFamily="18" charset="0"/>
                      <a:cs typeface="Times New Roman" panose="02020603050405020304" pitchFamily="18" charset="0"/>
                    </a:defRPr>
                  </a:pPr>
                  <a:t>[CATEGORY NAME]</a:t>
                </a:fld>
                <a:r>
                  <a:rPr lang="en-US">
                    <a:latin typeface="Times New Roman" panose="02020603050405020304" pitchFamily="18" charset="0"/>
                    <a:cs typeface="Times New Roman" panose="02020603050405020304" pitchFamily="18" charset="0"/>
                  </a:rPr>
                  <a:t>, </a:t>
                </a:r>
                <a:fld id="{BD215FE5-14B4-4541-A234-F301273A528A}" type="VALUE">
                  <a:rPr lang="en-US">
                    <a:latin typeface="Times New Roman" panose="02020603050405020304" pitchFamily="18" charset="0"/>
                    <a:cs typeface="Times New Roman" panose="02020603050405020304" pitchFamily="18" charset="0"/>
                  </a:rPr>
                  <a:pPr>
                    <a:defRPr sz="1050" b="1">
                      <a:latin typeface="Times New Roman" panose="02020603050405020304" pitchFamily="18" charset="0"/>
                      <a:cs typeface="Times New Roman" panose="02020603050405020304" pitchFamily="18" charset="0"/>
                    </a:defRPr>
                  </a:pPr>
                  <a:t>[VALUE]</a:t>
                </a:fld>
                <a:endParaRPr lang="en-US">
                  <a:latin typeface="Times New Roman" panose="02020603050405020304" pitchFamily="18" charset="0"/>
                  <a:cs typeface="Times New Roman" panose="02020603050405020304" pitchFamily="18" charset="0"/>
                </a:endParaRPr>
              </a:p>
            </c:rich>
          </c:tx>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9186186581247679E-3"/>
              <c:y val="-5.4644820499294457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4864364430207947E-2"/>
              <c:y val="5.464482049929436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4321822151039735E-3"/>
              <c:y val="6.2841543574188627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2634709765676755"/>
              <c:y val="-4.918033844936503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'Year Wise Average Hapiness Rate'!$B$3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520E-4C1E-B0E9-C478917E16EA}"/>
              </c:ext>
            </c:extLst>
          </c:dPt>
          <c:dPt>
            <c:idx val="1"/>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520E-4C1E-B0E9-C478917E16EA}"/>
              </c:ext>
            </c:extLst>
          </c:dPt>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4-520E-4C1E-B0E9-C478917E16EA}"/>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5-520E-4C1E-B0E9-C478917E16EA}"/>
              </c:ext>
            </c:extLst>
          </c:dPt>
          <c:dPt>
            <c:idx val="4"/>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6-520E-4C1E-B0E9-C478917E16EA}"/>
              </c:ext>
            </c:extLst>
          </c:dPt>
          <c:dLbls>
            <c:dLbl>
              <c:idx val="0"/>
              <c:layout>
                <c:manualLayout>
                  <c:x val="1.1891491544166331E-2"/>
                  <c:y val="-0.11475412304851836"/>
                </c:manualLayout>
              </c:layout>
              <c:tx>
                <c:rich>
                  <a:bodyPr/>
                  <a:lstStyle/>
                  <a:p>
                    <a:fld id="{478D162A-ABAB-4CD5-8E4F-4509C96FCB18}" type="CATEGORYNAME">
                      <a:rPr lang="en-US">
                        <a:latin typeface="Times New Roman" panose="02020603050405020304" pitchFamily="18" charset="0"/>
                        <a:cs typeface="Times New Roman" panose="02020603050405020304" pitchFamily="18" charset="0"/>
                      </a:rPr>
                      <a:pPr/>
                      <a:t>[CATEGORY NAME]</a:t>
                    </a:fld>
                    <a:r>
                      <a:rPr lang="en-US">
                        <a:latin typeface="Times New Roman" panose="02020603050405020304" pitchFamily="18" charset="0"/>
                        <a:cs typeface="Times New Roman" panose="02020603050405020304" pitchFamily="18" charset="0"/>
                      </a:rPr>
                      <a:t>, </a:t>
                    </a:r>
                    <a:fld id="{BD215FE5-14B4-4541-A234-F301273A528A}" type="VALUE">
                      <a:rPr lang="en-US">
                        <a:latin typeface="Times New Roman" panose="02020603050405020304" pitchFamily="18" charset="0"/>
                        <a:cs typeface="Times New Roman" panose="02020603050405020304" pitchFamily="18" charset="0"/>
                      </a:rPr>
                      <a:pPr/>
                      <a:t>[VALUE]</a:t>
                    </a:fld>
                    <a:endParaRPr lang="en-US">
                      <a:latin typeface="Times New Roman" panose="02020603050405020304" pitchFamily="18" charset="0"/>
                      <a:cs typeface="Times New Roman" panose="02020603050405020304" pitchFamily="18" charset="0"/>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20E-4C1E-B0E9-C478917E16EA}"/>
                </c:ext>
              </c:extLst>
            </c:dLbl>
            <c:dLbl>
              <c:idx val="1"/>
              <c:layout>
                <c:manualLayout>
                  <c:x val="8.9186186581247679E-3"/>
                  <c:y val="-5.46448204992944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0E-4C1E-B0E9-C478917E16EA}"/>
                </c:ext>
              </c:extLst>
            </c:dLbl>
            <c:dLbl>
              <c:idx val="2"/>
              <c:layout>
                <c:manualLayout>
                  <c:x val="1.4864364430207947E-2"/>
                  <c:y val="5.46448204992943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0E-4C1E-B0E9-C478917E16EA}"/>
                </c:ext>
              </c:extLst>
            </c:dLbl>
            <c:dLbl>
              <c:idx val="3"/>
              <c:layout>
                <c:manualLayout>
                  <c:x val="7.4321822151039735E-3"/>
                  <c:y val="6.284154357418862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0E-4C1E-B0E9-C478917E16EA}"/>
                </c:ext>
              </c:extLst>
            </c:dLbl>
            <c:dLbl>
              <c:idx val="4"/>
              <c:layout>
                <c:manualLayout>
                  <c:x val="-0.12634709765676755"/>
                  <c:y val="-4.91803384493650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0E-4C1E-B0E9-C478917E16EA}"/>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'Year Wise Average Hapiness Rate'!$A$4:$A$8</c:f>
              <c:strCache>
                <c:ptCount val="5"/>
                <c:pt idx="0">
                  <c:v>2015</c:v>
                </c:pt>
                <c:pt idx="1">
                  <c:v>2016</c:v>
                </c:pt>
                <c:pt idx="2">
                  <c:v>2017</c:v>
                </c:pt>
                <c:pt idx="3">
                  <c:v>2018</c:v>
                </c:pt>
                <c:pt idx="4">
                  <c:v>2019</c:v>
                </c:pt>
              </c:strCache>
            </c:strRef>
          </c:cat>
          <c:val>
            <c:numRef>
              <c:f>'Year Wise Average Hapiness Rate'!$B$4:$B$8</c:f>
              <c:numCache>
                <c:formatCode>_(* #,##0.00_);_(* \(#,##0.00\);_(* "-"??_);_(@_)</c:formatCode>
                <c:ptCount val="5"/>
                <c:pt idx="0">
                  <c:v>53.757341772151861</c:v>
                </c:pt>
                <c:pt idx="1">
                  <c:v>53.821847133757963</c:v>
                </c:pt>
                <c:pt idx="2">
                  <c:v>53.540193557739258</c:v>
                </c:pt>
                <c:pt idx="3">
                  <c:v>53.759166666666644</c:v>
                </c:pt>
                <c:pt idx="4">
                  <c:v>54.070961538461511</c:v>
                </c:pt>
              </c:numCache>
            </c:numRef>
          </c:val>
          <c:smooth val="0"/>
          <c:extLst>
            <c:ext xmlns:c16="http://schemas.microsoft.com/office/drawing/2014/chart" uri="{C3380CC4-5D6E-409C-BE32-E72D297353CC}">
              <c16:uniqueId val="{00000000-520E-4C1E-B0E9-C478917E16E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84920639"/>
        <c:axId val="1184922303"/>
      </c:lineChart>
      <c:catAx>
        <c:axId val="11849206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84922303"/>
        <c:crosses val="autoZero"/>
        <c:auto val="1"/>
        <c:lblAlgn val="ctr"/>
        <c:lblOffset val="100"/>
        <c:noMultiLvlLbl val="0"/>
      </c:catAx>
      <c:valAx>
        <c:axId val="118492230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492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dashboard with sheets.xlsx]Country based analysis!PivotTable2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based analysis'!$B$3:$B$4</c:f>
              <c:strCache>
                <c:ptCount val="1"/>
                <c:pt idx="0">
                  <c:v>2015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'Country based analysis'!$A$5:$A$8</c:f>
              <c:strCache>
                <c:ptCount val="4"/>
                <c:pt idx="0">
                  <c:v>Average of Happiness_Score (%)</c:v>
                </c:pt>
                <c:pt idx="1">
                  <c:v>Average of Economy_GDP_per_Capita (%)</c:v>
                </c:pt>
                <c:pt idx="2">
                  <c:v>Average of Family (%)</c:v>
                </c:pt>
                <c:pt idx="3">
                  <c:v>Average of Health_Life_Expectancy (%)</c:v>
                </c:pt>
              </c:strCache>
            </c:strRef>
          </c:cat>
          <c:val>
            <c:numRef>
              <c:f>'Country based analysis'!$B$5:$B$8</c:f>
              <c:numCache>
                <c:formatCode>General</c:formatCode>
                <c:ptCount val="4"/>
                <c:pt idx="0">
                  <c:v>46.94</c:v>
                </c:pt>
                <c:pt idx="1">
                  <c:v>19.8765</c:v>
                </c:pt>
                <c:pt idx="2">
                  <c:v>21.553000000000001</c:v>
                </c:pt>
                <c:pt idx="3">
                  <c:v>30.081999999999997</c:v>
                </c:pt>
              </c:numCache>
            </c:numRef>
          </c:val>
          <c:extLst>
            <c:ext xmlns:c16="http://schemas.microsoft.com/office/drawing/2014/chart" uri="{C3380CC4-5D6E-409C-BE32-E72D297353CC}">
              <c16:uniqueId val="{00000000-CAF9-4471-B296-CDADAC9D860E}"/>
            </c:ext>
          </c:extLst>
        </c:ser>
        <c:ser>
          <c:idx val="1"/>
          <c:order val="1"/>
          <c:tx>
            <c:strRef>
              <c:f>'Country based analysis'!$C$3:$C$4</c:f>
              <c:strCache>
                <c:ptCount val="1"/>
                <c:pt idx="0">
                  <c:v>2016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analysis'!$A$5:$A$8</c:f>
              <c:strCache>
                <c:ptCount val="4"/>
                <c:pt idx="0">
                  <c:v>Average of Happiness_Score (%)</c:v>
                </c:pt>
                <c:pt idx="1">
                  <c:v>Average of Economy_GDP_per_Capita (%)</c:v>
                </c:pt>
                <c:pt idx="2">
                  <c:v>Average of Family (%)</c:v>
                </c:pt>
                <c:pt idx="3">
                  <c:v>Average of Health_Life_Expectancy (%)</c:v>
                </c:pt>
              </c:strCache>
            </c:strRef>
          </c:cat>
          <c:val>
            <c:numRef>
              <c:f>'Country based analysis'!$C$5:$C$8</c:f>
              <c:numCache>
                <c:formatCode>General</c:formatCode>
                <c:ptCount val="4"/>
                <c:pt idx="0">
                  <c:v>46.429999999999993</c:v>
                </c:pt>
                <c:pt idx="1">
                  <c:v>27.0885</c:v>
                </c:pt>
                <c:pt idx="2">
                  <c:v>12.374499999999999</c:v>
                </c:pt>
                <c:pt idx="3">
                  <c:v>26.494499999999999</c:v>
                </c:pt>
              </c:numCache>
            </c:numRef>
          </c:val>
          <c:extLst>
            <c:ext xmlns:c16="http://schemas.microsoft.com/office/drawing/2014/chart" uri="{C3380CC4-5D6E-409C-BE32-E72D297353CC}">
              <c16:uniqueId val="{00000001-CAF9-4471-B296-CDADAC9D860E}"/>
            </c:ext>
          </c:extLst>
        </c:ser>
        <c:ser>
          <c:idx val="2"/>
          <c:order val="2"/>
          <c:tx>
            <c:strRef>
              <c:f>'Country based analysis'!$D$3:$D$4</c:f>
              <c:strCache>
                <c:ptCount val="1"/>
                <c:pt idx="0">
                  <c:v>2017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analysis'!$A$5:$A$8</c:f>
              <c:strCache>
                <c:ptCount val="4"/>
                <c:pt idx="0">
                  <c:v>Average of Happiness_Score (%)</c:v>
                </c:pt>
                <c:pt idx="1">
                  <c:v>Average of Economy_GDP_per_Capita (%)</c:v>
                </c:pt>
                <c:pt idx="2">
                  <c:v>Average of Family (%)</c:v>
                </c:pt>
                <c:pt idx="3">
                  <c:v>Average of Health_Life_Expectancy (%)</c:v>
                </c:pt>
              </c:strCache>
            </c:strRef>
          </c:cat>
          <c:val>
            <c:numRef>
              <c:f>'Country based analysis'!$D$5:$D$8</c:f>
              <c:numCache>
                <c:formatCode>General</c:formatCode>
                <c:ptCount val="4"/>
                <c:pt idx="0">
                  <c:v>46.079998016357408</c:v>
                </c:pt>
                <c:pt idx="1">
                  <c:v>29.334148764610301</c:v>
                </c:pt>
                <c:pt idx="2">
                  <c:v>36.756587028503404</c:v>
                </c:pt>
                <c:pt idx="3">
                  <c:v>26.66205167770385</c:v>
                </c:pt>
              </c:numCache>
            </c:numRef>
          </c:val>
          <c:extLst>
            <c:ext xmlns:c16="http://schemas.microsoft.com/office/drawing/2014/chart" uri="{C3380CC4-5D6E-409C-BE32-E72D297353CC}">
              <c16:uniqueId val="{00000002-CAF9-4471-B296-CDADAC9D860E}"/>
            </c:ext>
          </c:extLst>
        </c:ser>
        <c:ser>
          <c:idx val="3"/>
          <c:order val="3"/>
          <c:tx>
            <c:strRef>
              <c:f>'Country based analysis'!$E$3:$E$4</c:f>
              <c:strCache>
                <c:ptCount val="1"/>
                <c:pt idx="0">
                  <c:v>2018</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analysis'!$A$5:$A$8</c:f>
              <c:strCache>
                <c:ptCount val="4"/>
                <c:pt idx="0">
                  <c:v>Average of Happiness_Score (%)</c:v>
                </c:pt>
                <c:pt idx="1">
                  <c:v>Average of Economy_GDP_per_Capita (%)</c:v>
                </c:pt>
                <c:pt idx="2">
                  <c:v>Average of Family (%)</c:v>
                </c:pt>
                <c:pt idx="3">
                  <c:v>Average of Health_Life_Expectancy (%)</c:v>
                </c:pt>
              </c:strCache>
            </c:strRef>
          </c:cat>
          <c:val>
            <c:numRef>
              <c:f>'Country based analysis'!$E$5:$E$8</c:f>
              <c:numCache>
                <c:formatCode>General</c:formatCode>
                <c:ptCount val="4"/>
                <c:pt idx="0">
                  <c:v>45</c:v>
                </c:pt>
                <c:pt idx="1">
                  <c:v>26.6</c:v>
                </c:pt>
                <c:pt idx="2">
                  <c:v>42.5</c:v>
                </c:pt>
                <c:pt idx="3">
                  <c:v>28.95</c:v>
                </c:pt>
              </c:numCache>
            </c:numRef>
          </c:val>
          <c:extLst>
            <c:ext xmlns:c16="http://schemas.microsoft.com/office/drawing/2014/chart" uri="{C3380CC4-5D6E-409C-BE32-E72D297353CC}">
              <c16:uniqueId val="{00000003-CAF9-4471-B296-CDADAC9D860E}"/>
            </c:ext>
          </c:extLst>
        </c:ser>
        <c:ser>
          <c:idx val="4"/>
          <c:order val="4"/>
          <c:tx>
            <c:strRef>
              <c:f>'Country based analysis'!$F$3:$F$4</c:f>
              <c:strCache>
                <c:ptCount val="1"/>
                <c:pt idx="0">
                  <c:v>2019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analysis'!$A$5:$A$8</c:f>
              <c:strCache>
                <c:ptCount val="4"/>
                <c:pt idx="0">
                  <c:v>Average of Happiness_Score (%)</c:v>
                </c:pt>
                <c:pt idx="1">
                  <c:v>Average of Economy_GDP_per_Capita (%)</c:v>
                </c:pt>
                <c:pt idx="2">
                  <c:v>Average of Family (%)</c:v>
                </c:pt>
                <c:pt idx="3">
                  <c:v>Average of Health_Life_Expectancy (%)</c:v>
                </c:pt>
              </c:strCache>
            </c:strRef>
          </c:cat>
          <c:val>
            <c:numRef>
              <c:f>'Country based analysis'!$F$5:$F$8</c:f>
              <c:numCache>
                <c:formatCode>General</c:formatCode>
                <c:ptCount val="4"/>
                <c:pt idx="0">
                  <c:v>44.56</c:v>
                </c:pt>
                <c:pt idx="1">
                  <c:v>28.1</c:v>
                </c:pt>
                <c:pt idx="2">
                  <c:v>46.400000000000006</c:v>
                </c:pt>
                <c:pt idx="3">
                  <c:v>36.15</c:v>
                </c:pt>
              </c:numCache>
            </c:numRef>
          </c:val>
          <c:extLst>
            <c:ext xmlns:c16="http://schemas.microsoft.com/office/drawing/2014/chart" uri="{C3380CC4-5D6E-409C-BE32-E72D297353CC}">
              <c16:uniqueId val="{00000004-CAF9-4471-B296-CDADAC9D860E}"/>
            </c:ext>
          </c:extLst>
        </c:ser>
        <c:dLbls>
          <c:dLblPos val="outEnd"/>
          <c:showLegendKey val="0"/>
          <c:showVal val="1"/>
          <c:showCatName val="0"/>
          <c:showSerName val="0"/>
          <c:showPercent val="0"/>
          <c:showBubbleSize val="0"/>
        </c:dLbls>
        <c:gapWidth val="219"/>
        <c:overlap val="-27"/>
        <c:axId val="441389999"/>
        <c:axId val="1560732783"/>
      </c:barChart>
      <c:catAx>
        <c:axId val="44138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32783"/>
        <c:crosses val="autoZero"/>
        <c:auto val="1"/>
        <c:lblAlgn val="ctr"/>
        <c:lblOffset val="100"/>
        <c:noMultiLvlLbl val="0"/>
      </c:catAx>
      <c:valAx>
        <c:axId val="156073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8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dashboard with sheets.xlsx]Country based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based analysis'!$B$32:$B$33</c:f>
              <c:strCache>
                <c:ptCount val="1"/>
                <c:pt idx="0">
                  <c:v>2015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analysis'!$A$34:$A$36</c:f>
              <c:strCache>
                <c:ptCount val="3"/>
                <c:pt idx="0">
                  <c:v>Average of Freedom (%)</c:v>
                </c:pt>
                <c:pt idx="1">
                  <c:v>Average of Trust_Government_Corruption (%)</c:v>
                </c:pt>
                <c:pt idx="2">
                  <c:v>Average of Generosity (%)</c:v>
                </c:pt>
              </c:strCache>
            </c:strRef>
          </c:cat>
          <c:val>
            <c:numRef>
              <c:f>'Country based analysis'!$B$34:$B$36</c:f>
              <c:numCache>
                <c:formatCode>_(* #,##0.00_);_(* \(#,##0.00\);_(* "-"??_);_(@_)</c:formatCode>
                <c:ptCount val="3"/>
                <c:pt idx="0">
                  <c:v>0.40820000000000001</c:v>
                </c:pt>
                <c:pt idx="1">
                  <c:v>0.12569</c:v>
                </c:pt>
                <c:pt idx="2">
                  <c:v>0</c:v>
                </c:pt>
              </c:numCache>
            </c:numRef>
          </c:val>
          <c:extLst>
            <c:ext xmlns:c16="http://schemas.microsoft.com/office/drawing/2014/chart" uri="{C3380CC4-5D6E-409C-BE32-E72D297353CC}">
              <c16:uniqueId val="{00000000-CF8A-4448-AF1D-327CFC66F877}"/>
            </c:ext>
          </c:extLst>
        </c:ser>
        <c:ser>
          <c:idx val="1"/>
          <c:order val="1"/>
          <c:tx>
            <c:strRef>
              <c:f>'Country based analysis'!$C$32:$C$33</c:f>
              <c:strCache>
                <c:ptCount val="1"/>
                <c:pt idx="0">
                  <c:v>2016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analysis'!$A$34:$A$36</c:f>
              <c:strCache>
                <c:ptCount val="3"/>
                <c:pt idx="0">
                  <c:v>Average of Freedom (%)</c:v>
                </c:pt>
                <c:pt idx="1">
                  <c:v>Average of Trust_Government_Corruption (%)</c:v>
                </c:pt>
                <c:pt idx="2">
                  <c:v>Average of Generosity (%)</c:v>
                </c:pt>
              </c:strCache>
            </c:strRef>
          </c:cat>
          <c:val>
            <c:numRef>
              <c:f>'Country based analysis'!$C$34:$C$36</c:f>
              <c:numCache>
                <c:formatCode>_(* #,##0.00_);_(* \(#,##0.00\);_(* "-"??_);_(@_)</c:formatCode>
                <c:ptCount val="3"/>
                <c:pt idx="0">
                  <c:v>0.39778000000000002</c:v>
                </c:pt>
                <c:pt idx="1">
                  <c:v>0.12583</c:v>
                </c:pt>
                <c:pt idx="2">
                  <c:v>0.19131999999999999</c:v>
                </c:pt>
              </c:numCache>
            </c:numRef>
          </c:val>
          <c:extLst>
            <c:ext xmlns:c16="http://schemas.microsoft.com/office/drawing/2014/chart" uri="{C3380CC4-5D6E-409C-BE32-E72D297353CC}">
              <c16:uniqueId val="{00000001-CF8A-4448-AF1D-327CFC66F877}"/>
            </c:ext>
          </c:extLst>
        </c:ser>
        <c:ser>
          <c:idx val="2"/>
          <c:order val="2"/>
          <c:tx>
            <c:strRef>
              <c:f>'Country based analysis'!$D$32:$D$33</c:f>
              <c:strCache>
                <c:ptCount val="1"/>
                <c:pt idx="0">
                  <c:v>2017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analysis'!$A$34:$A$36</c:f>
              <c:strCache>
                <c:ptCount val="3"/>
                <c:pt idx="0">
                  <c:v>Average of Freedom (%)</c:v>
                </c:pt>
                <c:pt idx="1">
                  <c:v>Average of Trust_Government_Corruption (%)</c:v>
                </c:pt>
                <c:pt idx="2">
                  <c:v>Average of Generosity (%)</c:v>
                </c:pt>
              </c:strCache>
            </c:strRef>
          </c:cat>
          <c:val>
            <c:numRef>
              <c:f>'Country based analysis'!$D$34:$D$36</c:f>
              <c:numCache>
                <c:formatCode>_(* #,##0.00_);_(* \(#,##0.00\);_(* "-"??_);_(@_)</c:formatCode>
                <c:ptCount val="3"/>
                <c:pt idx="0">
                  <c:v>0.47835665941238398</c:v>
                </c:pt>
                <c:pt idx="1">
                  <c:v>0.123717859387398</c:v>
                </c:pt>
                <c:pt idx="2">
                  <c:v>0.17225535213947299</c:v>
                </c:pt>
              </c:numCache>
            </c:numRef>
          </c:val>
          <c:extLst>
            <c:ext xmlns:c16="http://schemas.microsoft.com/office/drawing/2014/chart" uri="{C3380CC4-5D6E-409C-BE32-E72D297353CC}">
              <c16:uniqueId val="{00000002-CF8A-4448-AF1D-327CFC66F877}"/>
            </c:ext>
          </c:extLst>
        </c:ser>
        <c:ser>
          <c:idx val="3"/>
          <c:order val="3"/>
          <c:tx>
            <c:strRef>
              <c:f>'Country based analysis'!$E$32:$E$33</c:f>
              <c:strCache>
                <c:ptCount val="1"/>
                <c:pt idx="0">
                  <c:v>2018</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analysis'!$A$34:$A$36</c:f>
              <c:strCache>
                <c:ptCount val="3"/>
                <c:pt idx="0">
                  <c:v>Average of Freedom (%)</c:v>
                </c:pt>
                <c:pt idx="1">
                  <c:v>Average of Trust_Government_Corruption (%)</c:v>
                </c:pt>
                <c:pt idx="2">
                  <c:v>Average of Generosity (%)</c:v>
                </c:pt>
              </c:strCache>
            </c:strRef>
          </c:cat>
          <c:val>
            <c:numRef>
              <c:f>'Country based analysis'!$E$34:$E$36</c:f>
              <c:numCache>
                <c:formatCode>_(* #,##0.00_);_(* \(#,##0.00\);_(* "-"??_);_(@_)</c:formatCode>
                <c:ptCount val="3"/>
                <c:pt idx="0">
                  <c:v>0.57999999999999996</c:v>
                </c:pt>
                <c:pt idx="1">
                  <c:v>0.14399999999999999</c:v>
                </c:pt>
                <c:pt idx="2">
                  <c:v>0.153</c:v>
                </c:pt>
              </c:numCache>
            </c:numRef>
          </c:val>
          <c:extLst>
            <c:ext xmlns:c16="http://schemas.microsoft.com/office/drawing/2014/chart" uri="{C3380CC4-5D6E-409C-BE32-E72D297353CC}">
              <c16:uniqueId val="{00000003-CF8A-4448-AF1D-327CFC66F877}"/>
            </c:ext>
          </c:extLst>
        </c:ser>
        <c:ser>
          <c:idx val="4"/>
          <c:order val="4"/>
          <c:tx>
            <c:strRef>
              <c:f>'Country based analysis'!$F$32:$F$33</c:f>
              <c:strCache>
                <c:ptCount val="1"/>
                <c:pt idx="0">
                  <c:v>2019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based analysis'!$A$34:$A$36</c:f>
              <c:strCache>
                <c:ptCount val="3"/>
                <c:pt idx="0">
                  <c:v>Average of Freedom (%)</c:v>
                </c:pt>
                <c:pt idx="1">
                  <c:v>Average of Trust_Government_Corruption (%)</c:v>
                </c:pt>
                <c:pt idx="2">
                  <c:v>Average of Generosity (%)</c:v>
                </c:pt>
              </c:strCache>
            </c:strRef>
          </c:cat>
          <c:val>
            <c:numRef>
              <c:f>'Country based analysis'!$F$34:$F$36</c:f>
              <c:numCache>
                <c:formatCode>_(* #,##0.00_);_(* \(#,##0.00\);_(* "-"??_);_(@_)</c:formatCode>
                <c:ptCount val="3"/>
                <c:pt idx="0">
                  <c:v>0.52700000000000002</c:v>
                </c:pt>
                <c:pt idx="1">
                  <c:v>0.14299999999999999</c:v>
                </c:pt>
                <c:pt idx="2">
                  <c:v>0.16600000000000001</c:v>
                </c:pt>
              </c:numCache>
            </c:numRef>
          </c:val>
          <c:extLst>
            <c:ext xmlns:c16="http://schemas.microsoft.com/office/drawing/2014/chart" uri="{C3380CC4-5D6E-409C-BE32-E72D297353CC}">
              <c16:uniqueId val="{00000004-CF8A-4448-AF1D-327CFC66F877}"/>
            </c:ext>
          </c:extLst>
        </c:ser>
        <c:dLbls>
          <c:dLblPos val="outEnd"/>
          <c:showLegendKey val="0"/>
          <c:showVal val="1"/>
          <c:showCatName val="0"/>
          <c:showSerName val="0"/>
          <c:showPercent val="0"/>
          <c:showBubbleSize val="0"/>
        </c:dLbls>
        <c:gapWidth val="219"/>
        <c:overlap val="-27"/>
        <c:axId val="609601183"/>
        <c:axId val="609602431"/>
      </c:barChart>
      <c:catAx>
        <c:axId val="60960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02431"/>
        <c:crosses val="autoZero"/>
        <c:auto val="1"/>
        <c:lblAlgn val="ctr"/>
        <c:lblOffset val="100"/>
        <c:noMultiLvlLbl val="0"/>
      </c:catAx>
      <c:valAx>
        <c:axId val="60960243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0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Sheet5!$B$1</c:f>
              <c:strCache>
                <c:ptCount val="1"/>
                <c:pt idx="0">
                  <c:v>Average of Happiness_Score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Sheet5!$A$2:$A$157</c:f>
              <c:strCache>
                <c:ptCount val="156"/>
                <c:pt idx="0">
                  <c:v>Afghanistan</c:v>
                </c:pt>
                <c:pt idx="1">
                  <c:v>Albania</c:v>
                </c:pt>
                <c:pt idx="2">
                  <c:v>Algeria</c:v>
                </c:pt>
                <c:pt idx="3">
                  <c:v>Argentina</c:v>
                </c:pt>
                <c:pt idx="4">
                  <c:v>Armenia</c:v>
                </c:pt>
                <c:pt idx="5">
                  <c:v>Australia</c:v>
                </c:pt>
                <c:pt idx="6">
                  <c:v>Austria</c:v>
                </c:pt>
                <c:pt idx="7">
                  <c:v>Azerbaijan</c:v>
                </c:pt>
                <c:pt idx="8">
                  <c:v>Bahrain</c:v>
                </c:pt>
                <c:pt idx="9">
                  <c:v>Bangladesh</c:v>
                </c:pt>
                <c:pt idx="10">
                  <c:v>Belarus</c:v>
                </c:pt>
                <c:pt idx="11">
                  <c:v>Belgium</c:v>
                </c:pt>
                <c:pt idx="12">
                  <c:v>Benin</c:v>
                </c:pt>
                <c:pt idx="13">
                  <c:v>Bhutan</c:v>
                </c:pt>
                <c:pt idx="14">
                  <c:v>Bolivia</c:v>
                </c:pt>
                <c:pt idx="15">
                  <c:v>Bosnia and Herzegovina</c:v>
                </c:pt>
                <c:pt idx="16">
                  <c:v>Botswana</c:v>
                </c:pt>
                <c:pt idx="17">
                  <c:v>Brazil</c:v>
                </c:pt>
                <c:pt idx="18">
                  <c:v>Bulgaria</c:v>
                </c:pt>
                <c:pt idx="19">
                  <c:v>Burkina Faso</c:v>
                </c:pt>
                <c:pt idx="20">
                  <c:v>Burundi</c:v>
                </c:pt>
                <c:pt idx="21">
                  <c:v>Cambodia</c:v>
                </c:pt>
                <c:pt idx="22">
                  <c:v>Cameroon</c:v>
                </c:pt>
                <c:pt idx="23">
                  <c:v>Canada</c:v>
                </c:pt>
                <c:pt idx="24">
                  <c:v>Central African Republic</c:v>
                </c:pt>
                <c:pt idx="25">
                  <c:v>Chad</c:v>
                </c:pt>
                <c:pt idx="26">
                  <c:v>Chile</c:v>
                </c:pt>
                <c:pt idx="27">
                  <c:v>China</c:v>
                </c:pt>
                <c:pt idx="28">
                  <c:v>Colombia</c:v>
                </c:pt>
                <c:pt idx="29">
                  <c:v>Comoros</c:v>
                </c:pt>
                <c:pt idx="30">
                  <c:v>Congo (Brazzaville)</c:v>
                </c:pt>
                <c:pt idx="31">
                  <c:v>Congo (Kinshasa)</c:v>
                </c:pt>
                <c:pt idx="32">
                  <c:v>Costa Rica</c:v>
                </c:pt>
                <c:pt idx="33">
                  <c:v>Croatia</c:v>
                </c:pt>
                <c:pt idx="34">
                  <c:v>Cyprus</c:v>
                </c:pt>
                <c:pt idx="35">
                  <c:v>Czech Republic</c:v>
                </c:pt>
                <c:pt idx="36">
                  <c:v>Denmark</c:v>
                </c:pt>
                <c:pt idx="37">
                  <c:v>Dominican Republic</c:v>
                </c:pt>
                <c:pt idx="38">
                  <c:v>Ecuador</c:v>
                </c:pt>
                <c:pt idx="39">
                  <c:v>Egypt</c:v>
                </c:pt>
                <c:pt idx="40">
                  <c:v>El Salvador</c:v>
                </c:pt>
                <c:pt idx="41">
                  <c:v>Estonia</c:v>
                </c:pt>
                <c:pt idx="42">
                  <c:v>Ethiopia</c:v>
                </c:pt>
                <c:pt idx="43">
                  <c:v>Finland</c:v>
                </c:pt>
                <c:pt idx="44">
                  <c:v>France</c:v>
                </c:pt>
                <c:pt idx="45">
                  <c:v>Gabon</c:v>
                </c:pt>
                <c:pt idx="46">
                  <c:v>Gambia</c:v>
                </c:pt>
                <c:pt idx="47">
                  <c:v>Georgia</c:v>
                </c:pt>
                <c:pt idx="48">
                  <c:v>Germany</c:v>
                </c:pt>
                <c:pt idx="49">
                  <c:v>Ghana</c:v>
                </c:pt>
                <c:pt idx="50">
                  <c:v>Greece</c:v>
                </c:pt>
                <c:pt idx="51">
                  <c:v>Guatemala</c:v>
                </c:pt>
                <c:pt idx="52">
                  <c:v>Guinea</c:v>
                </c:pt>
                <c:pt idx="53">
                  <c:v>Haiti</c:v>
                </c:pt>
                <c:pt idx="54">
                  <c:v>Honduras</c:v>
                </c:pt>
                <c:pt idx="55">
                  <c:v>Hong Kong</c:v>
                </c:pt>
                <c:pt idx="56">
                  <c:v>Hungary</c:v>
                </c:pt>
                <c:pt idx="57">
                  <c:v>Iceland</c:v>
                </c:pt>
                <c:pt idx="58">
                  <c:v>India</c:v>
                </c:pt>
                <c:pt idx="59">
                  <c:v>Indonesia</c:v>
                </c:pt>
                <c:pt idx="60">
                  <c:v>Iran</c:v>
                </c:pt>
                <c:pt idx="61">
                  <c:v>Iraq</c:v>
                </c:pt>
                <c:pt idx="62">
                  <c:v>Ireland</c:v>
                </c:pt>
                <c:pt idx="63">
                  <c:v>Israel</c:v>
                </c:pt>
                <c:pt idx="64">
                  <c:v>Italy</c:v>
                </c:pt>
                <c:pt idx="65">
                  <c:v>Ivory Coast</c:v>
                </c:pt>
                <c:pt idx="66">
                  <c:v>Jamaica</c:v>
                </c:pt>
                <c:pt idx="67">
                  <c:v>Japan</c:v>
                </c:pt>
                <c:pt idx="68">
                  <c:v>Jordan</c:v>
                </c:pt>
                <c:pt idx="69">
                  <c:v>Kazakhstan</c:v>
                </c:pt>
                <c:pt idx="70">
                  <c:v>Kenya</c:v>
                </c:pt>
                <c:pt idx="71">
                  <c:v>Kosovo</c:v>
                </c:pt>
                <c:pt idx="72">
                  <c:v>Kuwait</c:v>
                </c:pt>
                <c:pt idx="73">
                  <c:v>Kyrgyzstan</c:v>
                </c:pt>
                <c:pt idx="74">
                  <c:v>Laos</c:v>
                </c:pt>
                <c:pt idx="75">
                  <c:v>Latvia</c:v>
                </c:pt>
                <c:pt idx="76">
                  <c:v>Lebanon</c:v>
                </c:pt>
                <c:pt idx="77">
                  <c:v>Lesotho</c:v>
                </c:pt>
                <c:pt idx="78">
                  <c:v>Liberia</c:v>
                </c:pt>
                <c:pt idx="79">
                  <c:v>Libya</c:v>
                </c:pt>
                <c:pt idx="80">
                  <c:v>Lithuania</c:v>
                </c:pt>
                <c:pt idx="81">
                  <c:v>Luxembourg</c:v>
                </c:pt>
                <c:pt idx="82">
                  <c:v>Madagascar</c:v>
                </c:pt>
                <c:pt idx="83">
                  <c:v>Malawi</c:v>
                </c:pt>
                <c:pt idx="84">
                  <c:v>Malaysia</c:v>
                </c:pt>
                <c:pt idx="85">
                  <c:v>Mali</c:v>
                </c:pt>
                <c:pt idx="86">
                  <c:v>Malta</c:v>
                </c:pt>
                <c:pt idx="87">
                  <c:v>Mauritania</c:v>
                </c:pt>
                <c:pt idx="88">
                  <c:v>Mauritius</c:v>
                </c:pt>
                <c:pt idx="89">
                  <c:v>Mexico</c:v>
                </c:pt>
                <c:pt idx="90">
                  <c:v>Moldova</c:v>
                </c:pt>
                <c:pt idx="91">
                  <c:v>Mongolia</c:v>
                </c:pt>
                <c:pt idx="92">
                  <c:v>Montenegro</c:v>
                </c:pt>
                <c:pt idx="93">
                  <c:v>Morocco</c:v>
                </c:pt>
                <c:pt idx="94">
                  <c:v>Mozambique</c:v>
                </c:pt>
                <c:pt idx="95">
                  <c:v>Myanmar</c:v>
                </c:pt>
                <c:pt idx="96">
                  <c:v>Namibia</c:v>
                </c:pt>
                <c:pt idx="97">
                  <c:v>Nepal</c:v>
                </c:pt>
                <c:pt idx="98">
                  <c:v>Netherlands</c:v>
                </c:pt>
                <c:pt idx="99">
                  <c:v>New Zealand</c:v>
                </c:pt>
                <c:pt idx="100">
                  <c:v>Nicaragua</c:v>
                </c:pt>
                <c:pt idx="101">
                  <c:v>Niger</c:v>
                </c:pt>
                <c:pt idx="102">
                  <c:v>Nigeria</c:v>
                </c:pt>
                <c:pt idx="103">
                  <c:v>North Macedonia</c:v>
                </c:pt>
                <c:pt idx="104">
                  <c:v>Northern Cyprus</c:v>
                </c:pt>
                <c:pt idx="105">
                  <c:v>Norway</c:v>
                </c:pt>
                <c:pt idx="106">
                  <c:v>Pakistan</c:v>
                </c:pt>
                <c:pt idx="107">
                  <c:v>Palestinian Territories</c:v>
                </c:pt>
                <c:pt idx="108">
                  <c:v>Panama</c:v>
                </c:pt>
                <c:pt idx="109">
                  <c:v>Paraguay</c:v>
                </c:pt>
                <c:pt idx="110">
                  <c:v>Peru</c:v>
                </c:pt>
                <c:pt idx="111">
                  <c:v>Philippines</c:v>
                </c:pt>
                <c:pt idx="112">
                  <c:v>Poland</c:v>
                </c:pt>
                <c:pt idx="113">
                  <c:v>Portugal</c:v>
                </c:pt>
                <c:pt idx="114">
                  <c:v>Qatar</c:v>
                </c:pt>
                <c:pt idx="115">
                  <c:v>Romania</c:v>
                </c:pt>
                <c:pt idx="116">
                  <c:v>Russia</c:v>
                </c:pt>
                <c:pt idx="117">
                  <c:v>Rwanda</c:v>
                </c:pt>
                <c:pt idx="118">
                  <c:v>Saudi Arabia</c:v>
                </c:pt>
                <c:pt idx="119">
                  <c:v>Senegal</c:v>
                </c:pt>
                <c:pt idx="120">
                  <c:v>Serbia</c:v>
                </c:pt>
                <c:pt idx="121">
                  <c:v>Sierra Leone</c:v>
                </c:pt>
                <c:pt idx="122">
                  <c:v>Singapore</c:v>
                </c:pt>
                <c:pt idx="123">
                  <c:v>Slovakia</c:v>
                </c:pt>
                <c:pt idx="124">
                  <c:v>Slovenia</c:v>
                </c:pt>
                <c:pt idx="125">
                  <c:v>Somalia</c:v>
                </c:pt>
                <c:pt idx="126">
                  <c:v>South Africa</c:v>
                </c:pt>
                <c:pt idx="127">
                  <c:v>South Korea</c:v>
                </c:pt>
                <c:pt idx="128">
                  <c:v>South Sudan</c:v>
                </c:pt>
                <c:pt idx="129">
                  <c:v>Spain</c:v>
                </c:pt>
                <c:pt idx="130">
                  <c:v>Sri Lanka</c:v>
                </c:pt>
                <c:pt idx="131">
                  <c:v>Swaziland</c:v>
                </c:pt>
                <c:pt idx="132">
                  <c:v>Sweden</c:v>
                </c:pt>
                <c:pt idx="133">
                  <c:v>Switzerland</c:v>
                </c:pt>
                <c:pt idx="134">
                  <c:v>Syria</c:v>
                </c:pt>
                <c:pt idx="135">
                  <c:v>Taiwan</c:v>
                </c:pt>
                <c:pt idx="136">
                  <c:v>Tajikistan</c:v>
                </c:pt>
                <c:pt idx="137">
                  <c:v>Tanzania</c:v>
                </c:pt>
                <c:pt idx="138">
                  <c:v>Thailand</c:v>
                </c:pt>
                <c:pt idx="139">
                  <c:v>Togo</c:v>
                </c:pt>
                <c:pt idx="140">
                  <c:v>Trinidad &amp; Tobago</c:v>
                </c:pt>
                <c:pt idx="141">
                  <c:v>Tunisia</c:v>
                </c:pt>
                <c:pt idx="142">
                  <c:v>Turkey</c:v>
                </c:pt>
                <c:pt idx="143">
                  <c:v>Turkmenistan</c:v>
                </c:pt>
                <c:pt idx="144">
                  <c:v>Uganda</c:v>
                </c:pt>
                <c:pt idx="145">
                  <c:v>Ukraine</c:v>
                </c:pt>
                <c:pt idx="146">
                  <c:v>United Arab Emirates</c:v>
                </c:pt>
                <c:pt idx="147">
                  <c:v>United Kingdom</c:v>
                </c:pt>
                <c:pt idx="148">
                  <c:v>United States</c:v>
                </c:pt>
                <c:pt idx="149">
                  <c:v>Uruguay</c:v>
                </c:pt>
                <c:pt idx="150">
                  <c:v>Uzbekistan</c:v>
                </c:pt>
                <c:pt idx="151">
                  <c:v>Venezuela</c:v>
                </c:pt>
                <c:pt idx="152">
                  <c:v>Vietnam</c:v>
                </c:pt>
                <c:pt idx="153">
                  <c:v>Yemen</c:v>
                </c:pt>
                <c:pt idx="154">
                  <c:v>Zambia</c:v>
                </c:pt>
                <c:pt idx="155">
                  <c:v>Zimbabwe</c:v>
                </c:pt>
              </c:strCache>
            </c:strRef>
          </c:xVal>
          <c:yVal>
            <c:numRef>
              <c:f>Sheet5!$B$2:$B$157</c:f>
              <c:numCache>
                <c:formatCode>General</c:formatCode>
                <c:ptCount val="156"/>
                <c:pt idx="0">
                  <c:v>32.03</c:v>
                </c:pt>
                <c:pt idx="1">
                  <c:v>47.190000000000005</c:v>
                </c:pt>
                <c:pt idx="2">
                  <c:v>52.11</c:v>
                </c:pt>
                <c:pt idx="3">
                  <c:v>60.86</c:v>
                </c:pt>
                <c:pt idx="4">
                  <c:v>45.59</c:v>
                </c:pt>
                <c:pt idx="5">
                  <c:v>72.28</c:v>
                </c:pt>
                <c:pt idx="6">
                  <c:v>72.460000000000008</c:v>
                </c:pt>
                <c:pt idx="7">
                  <c:v>52.080000000000005</c:v>
                </c:pt>
                <c:pt idx="8">
                  <c:v>61.989999999999995</c:v>
                </c:pt>
                <c:pt idx="9">
                  <c:v>44.56</c:v>
                </c:pt>
                <c:pt idx="10">
                  <c:v>53.230000000000004</c:v>
                </c:pt>
                <c:pt idx="11">
                  <c:v>69.22999999999999</c:v>
                </c:pt>
                <c:pt idx="12">
                  <c:v>48.83</c:v>
                </c:pt>
                <c:pt idx="13">
                  <c:v>50.82</c:v>
                </c:pt>
                <c:pt idx="14">
                  <c:v>57.79</c:v>
                </c:pt>
                <c:pt idx="15">
                  <c:v>53.86</c:v>
                </c:pt>
                <c:pt idx="16">
                  <c:v>34.880000000000003</c:v>
                </c:pt>
                <c:pt idx="17">
                  <c:v>63</c:v>
                </c:pt>
                <c:pt idx="18">
                  <c:v>50.11</c:v>
                </c:pt>
                <c:pt idx="19">
                  <c:v>45.87</c:v>
                </c:pt>
                <c:pt idx="20">
                  <c:v>37.75</c:v>
                </c:pt>
                <c:pt idx="21">
                  <c:v>47</c:v>
                </c:pt>
                <c:pt idx="22">
                  <c:v>50.44</c:v>
                </c:pt>
                <c:pt idx="23">
                  <c:v>72.78</c:v>
                </c:pt>
                <c:pt idx="24">
                  <c:v>30.830000000000002</c:v>
                </c:pt>
                <c:pt idx="25">
                  <c:v>43.499999999999993</c:v>
                </c:pt>
                <c:pt idx="26">
                  <c:v>64.44</c:v>
                </c:pt>
                <c:pt idx="27">
                  <c:v>51.910000000000004</c:v>
                </c:pt>
                <c:pt idx="28">
                  <c:v>61.25</c:v>
                </c:pt>
                <c:pt idx="29">
                  <c:v>39.730000000000004</c:v>
                </c:pt>
                <c:pt idx="30">
                  <c:v>48.120000000000005</c:v>
                </c:pt>
                <c:pt idx="31">
                  <c:v>44.18</c:v>
                </c:pt>
                <c:pt idx="32">
                  <c:v>71.669999999999987</c:v>
                </c:pt>
                <c:pt idx="33">
                  <c:v>54.320000000000007</c:v>
                </c:pt>
                <c:pt idx="34">
                  <c:v>60.46</c:v>
                </c:pt>
                <c:pt idx="35">
                  <c:v>68.52000000000001</c:v>
                </c:pt>
                <c:pt idx="36">
                  <c:v>76</c:v>
                </c:pt>
                <c:pt idx="37">
                  <c:v>54.25</c:v>
                </c:pt>
                <c:pt idx="38">
                  <c:v>60.279999999999994</c:v>
                </c:pt>
                <c:pt idx="39">
                  <c:v>41.660000000000004</c:v>
                </c:pt>
                <c:pt idx="40">
                  <c:v>62.529999999999994</c:v>
                </c:pt>
                <c:pt idx="41">
                  <c:v>58.929999999999993</c:v>
                </c:pt>
                <c:pt idx="42">
                  <c:v>42.86</c:v>
                </c:pt>
                <c:pt idx="43">
                  <c:v>77.69</c:v>
                </c:pt>
                <c:pt idx="44">
                  <c:v>65.919999999999987</c:v>
                </c:pt>
                <c:pt idx="45">
                  <c:v>47.99</c:v>
                </c:pt>
                <c:pt idx="46">
                  <c:v>45.160000000000004</c:v>
                </c:pt>
                <c:pt idx="47">
                  <c:v>45.190000000000005</c:v>
                </c:pt>
                <c:pt idx="48">
                  <c:v>69.849999999999994</c:v>
                </c:pt>
                <c:pt idx="49">
                  <c:v>49.96</c:v>
                </c:pt>
                <c:pt idx="50">
                  <c:v>52.870000000000005</c:v>
                </c:pt>
                <c:pt idx="51">
                  <c:v>64.36</c:v>
                </c:pt>
                <c:pt idx="52">
                  <c:v>45.339999999999996</c:v>
                </c:pt>
                <c:pt idx="53">
                  <c:v>35.97</c:v>
                </c:pt>
                <c:pt idx="54">
                  <c:v>58.6</c:v>
                </c:pt>
                <c:pt idx="55">
                  <c:v>54.3</c:v>
                </c:pt>
                <c:pt idx="56">
                  <c:v>57.58</c:v>
                </c:pt>
                <c:pt idx="57">
                  <c:v>74.94</c:v>
                </c:pt>
                <c:pt idx="58">
                  <c:v>40.149999999999991</c:v>
                </c:pt>
                <c:pt idx="59">
                  <c:v>51.92</c:v>
                </c:pt>
                <c:pt idx="60">
                  <c:v>45.480000000000004</c:v>
                </c:pt>
                <c:pt idx="61">
                  <c:v>44.370000000000005</c:v>
                </c:pt>
                <c:pt idx="62">
                  <c:v>70.210000000000008</c:v>
                </c:pt>
                <c:pt idx="63">
                  <c:v>71.39</c:v>
                </c:pt>
                <c:pt idx="64">
                  <c:v>62.23</c:v>
                </c:pt>
                <c:pt idx="65">
                  <c:v>49.44</c:v>
                </c:pt>
                <c:pt idx="66">
                  <c:v>58.9</c:v>
                </c:pt>
                <c:pt idx="67">
                  <c:v>58.86</c:v>
                </c:pt>
                <c:pt idx="68">
                  <c:v>49.059999999999995</c:v>
                </c:pt>
                <c:pt idx="69">
                  <c:v>58.089999999999996</c:v>
                </c:pt>
                <c:pt idx="70">
                  <c:v>45.09</c:v>
                </c:pt>
                <c:pt idx="71">
                  <c:v>61</c:v>
                </c:pt>
                <c:pt idx="72">
                  <c:v>60.21</c:v>
                </c:pt>
                <c:pt idx="73">
                  <c:v>52.61</c:v>
                </c:pt>
                <c:pt idx="74">
                  <c:v>47.96</c:v>
                </c:pt>
                <c:pt idx="75">
                  <c:v>59.4</c:v>
                </c:pt>
                <c:pt idx="76">
                  <c:v>51.970000000000006</c:v>
                </c:pt>
                <c:pt idx="77">
                  <c:v>38.019999999999996</c:v>
                </c:pt>
                <c:pt idx="78">
                  <c:v>39.75</c:v>
                </c:pt>
                <c:pt idx="79">
                  <c:v>55.25</c:v>
                </c:pt>
                <c:pt idx="80">
                  <c:v>61.489999999999995</c:v>
                </c:pt>
                <c:pt idx="81">
                  <c:v>70.900000000000006</c:v>
                </c:pt>
                <c:pt idx="82">
                  <c:v>39.33</c:v>
                </c:pt>
                <c:pt idx="83">
                  <c:v>34.1</c:v>
                </c:pt>
                <c:pt idx="84">
                  <c:v>53.390000000000008</c:v>
                </c:pt>
                <c:pt idx="85">
                  <c:v>43.899999999999991</c:v>
                </c:pt>
                <c:pt idx="86">
                  <c:v>67.260000000000005</c:v>
                </c:pt>
                <c:pt idx="87">
                  <c:v>44.9</c:v>
                </c:pt>
                <c:pt idx="88">
                  <c:v>58.879999999999995</c:v>
                </c:pt>
                <c:pt idx="89">
                  <c:v>65.95</c:v>
                </c:pt>
                <c:pt idx="90">
                  <c:v>55.29</c:v>
                </c:pt>
                <c:pt idx="91">
                  <c:v>52.85</c:v>
                </c:pt>
                <c:pt idx="92">
                  <c:v>55.23</c:v>
                </c:pt>
                <c:pt idx="93">
                  <c:v>52.080000000000005</c:v>
                </c:pt>
                <c:pt idx="94">
                  <c:v>44.660000000000004</c:v>
                </c:pt>
                <c:pt idx="95">
                  <c:v>43.600000000000009</c:v>
                </c:pt>
                <c:pt idx="96">
                  <c:v>46.39</c:v>
                </c:pt>
                <c:pt idx="97">
                  <c:v>49.13</c:v>
                </c:pt>
                <c:pt idx="98">
                  <c:v>74.88000000000001</c:v>
                </c:pt>
                <c:pt idx="99">
                  <c:v>73.070000000000007</c:v>
                </c:pt>
                <c:pt idx="100">
                  <c:v>61.05</c:v>
                </c:pt>
                <c:pt idx="101">
                  <c:v>46.28</c:v>
                </c:pt>
                <c:pt idx="102">
                  <c:v>52.65</c:v>
                </c:pt>
                <c:pt idx="103">
                  <c:v>52.739999999999995</c:v>
                </c:pt>
                <c:pt idx="104">
                  <c:v>57.179999999999993</c:v>
                </c:pt>
                <c:pt idx="105">
                  <c:v>75.539999999999992</c:v>
                </c:pt>
                <c:pt idx="106">
                  <c:v>56.529999999999994</c:v>
                </c:pt>
                <c:pt idx="107">
                  <c:v>46.959999999999994</c:v>
                </c:pt>
                <c:pt idx="108">
                  <c:v>63.21</c:v>
                </c:pt>
                <c:pt idx="109">
                  <c:v>57.430000000000007</c:v>
                </c:pt>
                <c:pt idx="110">
                  <c:v>56.970000000000006</c:v>
                </c:pt>
                <c:pt idx="111">
                  <c:v>56.31</c:v>
                </c:pt>
                <c:pt idx="112">
                  <c:v>61.820000000000007</c:v>
                </c:pt>
                <c:pt idx="113">
                  <c:v>56.929999999999993</c:v>
                </c:pt>
                <c:pt idx="114">
                  <c:v>63.739999999999995</c:v>
                </c:pt>
                <c:pt idx="115">
                  <c:v>60.7</c:v>
                </c:pt>
                <c:pt idx="116">
                  <c:v>56.48</c:v>
                </c:pt>
                <c:pt idx="117">
                  <c:v>33.340000000000003</c:v>
                </c:pt>
                <c:pt idx="118">
                  <c:v>63.75</c:v>
                </c:pt>
                <c:pt idx="119">
                  <c:v>46.81</c:v>
                </c:pt>
                <c:pt idx="120">
                  <c:v>56.029999999999994</c:v>
                </c:pt>
                <c:pt idx="121">
                  <c:v>43.739999999999995</c:v>
                </c:pt>
                <c:pt idx="122">
                  <c:v>62.61999999999999</c:v>
                </c:pt>
                <c:pt idx="123">
                  <c:v>61.980000000000004</c:v>
                </c:pt>
                <c:pt idx="124">
                  <c:v>61.180000000000007</c:v>
                </c:pt>
                <c:pt idx="125">
                  <c:v>46.68</c:v>
                </c:pt>
                <c:pt idx="126">
                  <c:v>47.220000000000006</c:v>
                </c:pt>
                <c:pt idx="127">
                  <c:v>58.95</c:v>
                </c:pt>
                <c:pt idx="128">
                  <c:v>28.53</c:v>
                </c:pt>
                <c:pt idx="129">
                  <c:v>63.54</c:v>
                </c:pt>
                <c:pt idx="130">
                  <c:v>43.66</c:v>
                </c:pt>
                <c:pt idx="131">
                  <c:v>42.12</c:v>
                </c:pt>
                <c:pt idx="132">
                  <c:v>73.429999999999993</c:v>
                </c:pt>
                <c:pt idx="133">
                  <c:v>74.8</c:v>
                </c:pt>
                <c:pt idx="134">
                  <c:v>34.620000000000005</c:v>
                </c:pt>
                <c:pt idx="135">
                  <c:v>64.460000000000008</c:v>
                </c:pt>
                <c:pt idx="136">
                  <c:v>54.669999999999995</c:v>
                </c:pt>
                <c:pt idx="137">
                  <c:v>32.309999999999995</c:v>
                </c:pt>
                <c:pt idx="138">
                  <c:v>60.08</c:v>
                </c:pt>
                <c:pt idx="139">
                  <c:v>40.85</c:v>
                </c:pt>
                <c:pt idx="140">
                  <c:v>61.92</c:v>
                </c:pt>
                <c:pt idx="141">
                  <c:v>44.61</c:v>
                </c:pt>
                <c:pt idx="142">
                  <c:v>53.730000000000004</c:v>
                </c:pt>
                <c:pt idx="143">
                  <c:v>52.470000000000006</c:v>
                </c:pt>
                <c:pt idx="144">
                  <c:v>41.89</c:v>
                </c:pt>
                <c:pt idx="145">
                  <c:v>43.32</c:v>
                </c:pt>
                <c:pt idx="146">
                  <c:v>68.25</c:v>
                </c:pt>
                <c:pt idx="147">
                  <c:v>70.539999999999992</c:v>
                </c:pt>
                <c:pt idx="148">
                  <c:v>68.92</c:v>
                </c:pt>
                <c:pt idx="149">
                  <c:v>62.930000000000007</c:v>
                </c:pt>
                <c:pt idx="150">
                  <c:v>61.740000000000009</c:v>
                </c:pt>
                <c:pt idx="151">
                  <c:v>47.07</c:v>
                </c:pt>
                <c:pt idx="152">
                  <c:v>51.75</c:v>
                </c:pt>
                <c:pt idx="153">
                  <c:v>33.799999999999997</c:v>
                </c:pt>
                <c:pt idx="154">
                  <c:v>41.070000000000007</c:v>
                </c:pt>
                <c:pt idx="155">
                  <c:v>36.629999999999995</c:v>
                </c:pt>
              </c:numCache>
            </c:numRef>
          </c:yVal>
          <c:smooth val="1"/>
          <c:extLst>
            <c:ext xmlns:c16="http://schemas.microsoft.com/office/drawing/2014/chart" uri="{C3380CC4-5D6E-409C-BE32-E72D297353CC}">
              <c16:uniqueId val="{00000000-7FB5-4BE5-8088-7465078F7CA4}"/>
            </c:ext>
          </c:extLst>
        </c:ser>
        <c:ser>
          <c:idx val="1"/>
          <c:order val="1"/>
          <c:tx>
            <c:strRef>
              <c:f>Sheet5!$C$1</c:f>
              <c:strCache>
                <c:ptCount val="1"/>
                <c:pt idx="0">
                  <c:v>Average of Economy_GDP_per_Capita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Sheet5!$A$2:$A$157</c:f>
              <c:strCache>
                <c:ptCount val="156"/>
                <c:pt idx="0">
                  <c:v>Afghanistan</c:v>
                </c:pt>
                <c:pt idx="1">
                  <c:v>Albania</c:v>
                </c:pt>
                <c:pt idx="2">
                  <c:v>Algeria</c:v>
                </c:pt>
                <c:pt idx="3">
                  <c:v>Argentina</c:v>
                </c:pt>
                <c:pt idx="4">
                  <c:v>Armenia</c:v>
                </c:pt>
                <c:pt idx="5">
                  <c:v>Australia</c:v>
                </c:pt>
                <c:pt idx="6">
                  <c:v>Austria</c:v>
                </c:pt>
                <c:pt idx="7">
                  <c:v>Azerbaijan</c:v>
                </c:pt>
                <c:pt idx="8">
                  <c:v>Bahrain</c:v>
                </c:pt>
                <c:pt idx="9">
                  <c:v>Bangladesh</c:v>
                </c:pt>
                <c:pt idx="10">
                  <c:v>Belarus</c:v>
                </c:pt>
                <c:pt idx="11">
                  <c:v>Belgium</c:v>
                </c:pt>
                <c:pt idx="12">
                  <c:v>Benin</c:v>
                </c:pt>
                <c:pt idx="13">
                  <c:v>Bhutan</c:v>
                </c:pt>
                <c:pt idx="14">
                  <c:v>Bolivia</c:v>
                </c:pt>
                <c:pt idx="15">
                  <c:v>Bosnia and Herzegovina</c:v>
                </c:pt>
                <c:pt idx="16">
                  <c:v>Botswana</c:v>
                </c:pt>
                <c:pt idx="17">
                  <c:v>Brazil</c:v>
                </c:pt>
                <c:pt idx="18">
                  <c:v>Bulgaria</c:v>
                </c:pt>
                <c:pt idx="19">
                  <c:v>Burkina Faso</c:v>
                </c:pt>
                <c:pt idx="20">
                  <c:v>Burundi</c:v>
                </c:pt>
                <c:pt idx="21">
                  <c:v>Cambodia</c:v>
                </c:pt>
                <c:pt idx="22">
                  <c:v>Cameroon</c:v>
                </c:pt>
                <c:pt idx="23">
                  <c:v>Canada</c:v>
                </c:pt>
                <c:pt idx="24">
                  <c:v>Central African Republic</c:v>
                </c:pt>
                <c:pt idx="25">
                  <c:v>Chad</c:v>
                </c:pt>
                <c:pt idx="26">
                  <c:v>Chile</c:v>
                </c:pt>
                <c:pt idx="27">
                  <c:v>China</c:v>
                </c:pt>
                <c:pt idx="28">
                  <c:v>Colombia</c:v>
                </c:pt>
                <c:pt idx="29">
                  <c:v>Comoros</c:v>
                </c:pt>
                <c:pt idx="30">
                  <c:v>Congo (Brazzaville)</c:v>
                </c:pt>
                <c:pt idx="31">
                  <c:v>Congo (Kinshasa)</c:v>
                </c:pt>
                <c:pt idx="32">
                  <c:v>Costa Rica</c:v>
                </c:pt>
                <c:pt idx="33">
                  <c:v>Croatia</c:v>
                </c:pt>
                <c:pt idx="34">
                  <c:v>Cyprus</c:v>
                </c:pt>
                <c:pt idx="35">
                  <c:v>Czech Republic</c:v>
                </c:pt>
                <c:pt idx="36">
                  <c:v>Denmark</c:v>
                </c:pt>
                <c:pt idx="37">
                  <c:v>Dominican Republic</c:v>
                </c:pt>
                <c:pt idx="38">
                  <c:v>Ecuador</c:v>
                </c:pt>
                <c:pt idx="39">
                  <c:v>Egypt</c:v>
                </c:pt>
                <c:pt idx="40">
                  <c:v>El Salvador</c:v>
                </c:pt>
                <c:pt idx="41">
                  <c:v>Estonia</c:v>
                </c:pt>
                <c:pt idx="42">
                  <c:v>Ethiopia</c:v>
                </c:pt>
                <c:pt idx="43">
                  <c:v>Finland</c:v>
                </c:pt>
                <c:pt idx="44">
                  <c:v>France</c:v>
                </c:pt>
                <c:pt idx="45">
                  <c:v>Gabon</c:v>
                </c:pt>
                <c:pt idx="46">
                  <c:v>Gambia</c:v>
                </c:pt>
                <c:pt idx="47">
                  <c:v>Georgia</c:v>
                </c:pt>
                <c:pt idx="48">
                  <c:v>Germany</c:v>
                </c:pt>
                <c:pt idx="49">
                  <c:v>Ghana</c:v>
                </c:pt>
                <c:pt idx="50">
                  <c:v>Greece</c:v>
                </c:pt>
                <c:pt idx="51">
                  <c:v>Guatemala</c:v>
                </c:pt>
                <c:pt idx="52">
                  <c:v>Guinea</c:v>
                </c:pt>
                <c:pt idx="53">
                  <c:v>Haiti</c:v>
                </c:pt>
                <c:pt idx="54">
                  <c:v>Honduras</c:v>
                </c:pt>
                <c:pt idx="55">
                  <c:v>Hong Kong</c:v>
                </c:pt>
                <c:pt idx="56">
                  <c:v>Hungary</c:v>
                </c:pt>
                <c:pt idx="57">
                  <c:v>Iceland</c:v>
                </c:pt>
                <c:pt idx="58">
                  <c:v>India</c:v>
                </c:pt>
                <c:pt idx="59">
                  <c:v>Indonesia</c:v>
                </c:pt>
                <c:pt idx="60">
                  <c:v>Iran</c:v>
                </c:pt>
                <c:pt idx="61">
                  <c:v>Iraq</c:v>
                </c:pt>
                <c:pt idx="62">
                  <c:v>Ireland</c:v>
                </c:pt>
                <c:pt idx="63">
                  <c:v>Israel</c:v>
                </c:pt>
                <c:pt idx="64">
                  <c:v>Italy</c:v>
                </c:pt>
                <c:pt idx="65">
                  <c:v>Ivory Coast</c:v>
                </c:pt>
                <c:pt idx="66">
                  <c:v>Jamaica</c:v>
                </c:pt>
                <c:pt idx="67">
                  <c:v>Japan</c:v>
                </c:pt>
                <c:pt idx="68">
                  <c:v>Jordan</c:v>
                </c:pt>
                <c:pt idx="69">
                  <c:v>Kazakhstan</c:v>
                </c:pt>
                <c:pt idx="70">
                  <c:v>Kenya</c:v>
                </c:pt>
                <c:pt idx="71">
                  <c:v>Kosovo</c:v>
                </c:pt>
                <c:pt idx="72">
                  <c:v>Kuwait</c:v>
                </c:pt>
                <c:pt idx="73">
                  <c:v>Kyrgyzstan</c:v>
                </c:pt>
                <c:pt idx="74">
                  <c:v>Laos</c:v>
                </c:pt>
                <c:pt idx="75">
                  <c:v>Latvia</c:v>
                </c:pt>
                <c:pt idx="76">
                  <c:v>Lebanon</c:v>
                </c:pt>
                <c:pt idx="77">
                  <c:v>Lesotho</c:v>
                </c:pt>
                <c:pt idx="78">
                  <c:v>Liberia</c:v>
                </c:pt>
                <c:pt idx="79">
                  <c:v>Libya</c:v>
                </c:pt>
                <c:pt idx="80">
                  <c:v>Lithuania</c:v>
                </c:pt>
                <c:pt idx="81">
                  <c:v>Luxembourg</c:v>
                </c:pt>
                <c:pt idx="82">
                  <c:v>Madagascar</c:v>
                </c:pt>
                <c:pt idx="83">
                  <c:v>Malawi</c:v>
                </c:pt>
                <c:pt idx="84">
                  <c:v>Malaysia</c:v>
                </c:pt>
                <c:pt idx="85">
                  <c:v>Mali</c:v>
                </c:pt>
                <c:pt idx="86">
                  <c:v>Malta</c:v>
                </c:pt>
                <c:pt idx="87">
                  <c:v>Mauritania</c:v>
                </c:pt>
                <c:pt idx="88">
                  <c:v>Mauritius</c:v>
                </c:pt>
                <c:pt idx="89">
                  <c:v>Mexico</c:v>
                </c:pt>
                <c:pt idx="90">
                  <c:v>Moldova</c:v>
                </c:pt>
                <c:pt idx="91">
                  <c:v>Mongolia</c:v>
                </c:pt>
                <c:pt idx="92">
                  <c:v>Montenegro</c:v>
                </c:pt>
                <c:pt idx="93">
                  <c:v>Morocco</c:v>
                </c:pt>
                <c:pt idx="94">
                  <c:v>Mozambique</c:v>
                </c:pt>
                <c:pt idx="95">
                  <c:v>Myanmar</c:v>
                </c:pt>
                <c:pt idx="96">
                  <c:v>Namibia</c:v>
                </c:pt>
                <c:pt idx="97">
                  <c:v>Nepal</c:v>
                </c:pt>
                <c:pt idx="98">
                  <c:v>Netherlands</c:v>
                </c:pt>
                <c:pt idx="99">
                  <c:v>New Zealand</c:v>
                </c:pt>
                <c:pt idx="100">
                  <c:v>Nicaragua</c:v>
                </c:pt>
                <c:pt idx="101">
                  <c:v>Niger</c:v>
                </c:pt>
                <c:pt idx="102">
                  <c:v>Nigeria</c:v>
                </c:pt>
                <c:pt idx="103">
                  <c:v>North Macedonia</c:v>
                </c:pt>
                <c:pt idx="104">
                  <c:v>Northern Cyprus</c:v>
                </c:pt>
                <c:pt idx="105">
                  <c:v>Norway</c:v>
                </c:pt>
                <c:pt idx="106">
                  <c:v>Pakistan</c:v>
                </c:pt>
                <c:pt idx="107">
                  <c:v>Palestinian Territories</c:v>
                </c:pt>
                <c:pt idx="108">
                  <c:v>Panama</c:v>
                </c:pt>
                <c:pt idx="109">
                  <c:v>Paraguay</c:v>
                </c:pt>
                <c:pt idx="110">
                  <c:v>Peru</c:v>
                </c:pt>
                <c:pt idx="111">
                  <c:v>Philippines</c:v>
                </c:pt>
                <c:pt idx="112">
                  <c:v>Poland</c:v>
                </c:pt>
                <c:pt idx="113">
                  <c:v>Portugal</c:v>
                </c:pt>
                <c:pt idx="114">
                  <c:v>Qatar</c:v>
                </c:pt>
                <c:pt idx="115">
                  <c:v>Romania</c:v>
                </c:pt>
                <c:pt idx="116">
                  <c:v>Russia</c:v>
                </c:pt>
                <c:pt idx="117">
                  <c:v>Rwanda</c:v>
                </c:pt>
                <c:pt idx="118">
                  <c:v>Saudi Arabia</c:v>
                </c:pt>
                <c:pt idx="119">
                  <c:v>Senegal</c:v>
                </c:pt>
                <c:pt idx="120">
                  <c:v>Serbia</c:v>
                </c:pt>
                <c:pt idx="121">
                  <c:v>Sierra Leone</c:v>
                </c:pt>
                <c:pt idx="122">
                  <c:v>Singapore</c:v>
                </c:pt>
                <c:pt idx="123">
                  <c:v>Slovakia</c:v>
                </c:pt>
                <c:pt idx="124">
                  <c:v>Slovenia</c:v>
                </c:pt>
                <c:pt idx="125">
                  <c:v>Somalia</c:v>
                </c:pt>
                <c:pt idx="126">
                  <c:v>South Africa</c:v>
                </c:pt>
                <c:pt idx="127">
                  <c:v>South Korea</c:v>
                </c:pt>
                <c:pt idx="128">
                  <c:v>South Sudan</c:v>
                </c:pt>
                <c:pt idx="129">
                  <c:v>Spain</c:v>
                </c:pt>
                <c:pt idx="130">
                  <c:v>Sri Lanka</c:v>
                </c:pt>
                <c:pt idx="131">
                  <c:v>Swaziland</c:v>
                </c:pt>
                <c:pt idx="132">
                  <c:v>Sweden</c:v>
                </c:pt>
                <c:pt idx="133">
                  <c:v>Switzerland</c:v>
                </c:pt>
                <c:pt idx="134">
                  <c:v>Syria</c:v>
                </c:pt>
                <c:pt idx="135">
                  <c:v>Taiwan</c:v>
                </c:pt>
                <c:pt idx="136">
                  <c:v>Tajikistan</c:v>
                </c:pt>
                <c:pt idx="137">
                  <c:v>Tanzania</c:v>
                </c:pt>
                <c:pt idx="138">
                  <c:v>Thailand</c:v>
                </c:pt>
                <c:pt idx="139">
                  <c:v>Togo</c:v>
                </c:pt>
                <c:pt idx="140">
                  <c:v>Trinidad &amp; Tobago</c:v>
                </c:pt>
                <c:pt idx="141">
                  <c:v>Tunisia</c:v>
                </c:pt>
                <c:pt idx="142">
                  <c:v>Turkey</c:v>
                </c:pt>
                <c:pt idx="143">
                  <c:v>Turkmenistan</c:v>
                </c:pt>
                <c:pt idx="144">
                  <c:v>Uganda</c:v>
                </c:pt>
                <c:pt idx="145">
                  <c:v>Ukraine</c:v>
                </c:pt>
                <c:pt idx="146">
                  <c:v>United Arab Emirates</c:v>
                </c:pt>
                <c:pt idx="147">
                  <c:v>United Kingdom</c:v>
                </c:pt>
                <c:pt idx="148">
                  <c:v>United States</c:v>
                </c:pt>
                <c:pt idx="149">
                  <c:v>Uruguay</c:v>
                </c:pt>
                <c:pt idx="150">
                  <c:v>Uzbekistan</c:v>
                </c:pt>
                <c:pt idx="151">
                  <c:v>Venezuela</c:v>
                </c:pt>
                <c:pt idx="152">
                  <c:v>Vietnam</c:v>
                </c:pt>
                <c:pt idx="153">
                  <c:v>Yemen</c:v>
                </c:pt>
                <c:pt idx="154">
                  <c:v>Zambia</c:v>
                </c:pt>
                <c:pt idx="155">
                  <c:v>Zimbabwe</c:v>
                </c:pt>
              </c:strCache>
            </c:strRef>
          </c:xVal>
          <c:yVal>
            <c:numRef>
              <c:f>Sheet5!$C$2:$C$157</c:f>
              <c:numCache>
                <c:formatCode>General</c:formatCode>
                <c:ptCount val="156"/>
                <c:pt idx="0">
                  <c:v>17.5</c:v>
                </c:pt>
                <c:pt idx="1">
                  <c:v>47.349999999999994</c:v>
                </c:pt>
                <c:pt idx="2">
                  <c:v>50.1</c:v>
                </c:pt>
                <c:pt idx="3">
                  <c:v>54.6</c:v>
                </c:pt>
                <c:pt idx="4">
                  <c:v>42.5</c:v>
                </c:pt>
                <c:pt idx="5">
                  <c:v>68.600000000000009</c:v>
                </c:pt>
                <c:pt idx="6">
                  <c:v>68.8</c:v>
                </c:pt>
                <c:pt idx="7">
                  <c:v>52.15</c:v>
                </c:pt>
                <c:pt idx="8">
                  <c:v>68.100000000000009</c:v>
                </c:pt>
                <c:pt idx="9">
                  <c:v>28.1</c:v>
                </c:pt>
                <c:pt idx="10">
                  <c:v>53.349999999999994</c:v>
                </c:pt>
                <c:pt idx="11">
                  <c:v>67.800000000000011</c:v>
                </c:pt>
                <c:pt idx="12">
                  <c:v>19.650000000000002</c:v>
                </c:pt>
                <c:pt idx="13">
                  <c:v>40.65</c:v>
                </c:pt>
                <c:pt idx="14">
                  <c:v>38.800000000000004</c:v>
                </c:pt>
                <c:pt idx="15">
                  <c:v>47.25</c:v>
                </c:pt>
                <c:pt idx="16">
                  <c:v>52.05</c:v>
                </c:pt>
                <c:pt idx="17">
                  <c:v>50.2</c:v>
                </c:pt>
                <c:pt idx="18">
                  <c:v>54.6</c:v>
                </c:pt>
                <c:pt idx="19">
                  <c:v>16.55</c:v>
                </c:pt>
                <c:pt idx="20">
                  <c:v>2.2999999999999998</c:v>
                </c:pt>
                <c:pt idx="21">
                  <c:v>28.7</c:v>
                </c:pt>
                <c:pt idx="22">
                  <c:v>27.450000000000003</c:v>
                </c:pt>
                <c:pt idx="23">
                  <c:v>68.25</c:v>
                </c:pt>
                <c:pt idx="24">
                  <c:v>1.3</c:v>
                </c:pt>
                <c:pt idx="25">
                  <c:v>17.5</c:v>
                </c:pt>
                <c:pt idx="26">
                  <c:v>57.95</c:v>
                </c:pt>
                <c:pt idx="27">
                  <c:v>51.449999999999996</c:v>
                </c:pt>
                <c:pt idx="28">
                  <c:v>49.25</c:v>
                </c:pt>
                <c:pt idx="29">
                  <c:v>13.700000000000001</c:v>
                </c:pt>
                <c:pt idx="30">
                  <c:v>33.650000000000006</c:v>
                </c:pt>
                <c:pt idx="31">
                  <c:v>4.7</c:v>
                </c:pt>
                <c:pt idx="32">
                  <c:v>51.7</c:v>
                </c:pt>
                <c:pt idx="33">
                  <c:v>57.75</c:v>
                </c:pt>
                <c:pt idx="34">
                  <c:v>63.149999999999991</c:v>
                </c:pt>
                <c:pt idx="35">
                  <c:v>63.449999999999996</c:v>
                </c:pt>
                <c:pt idx="36">
                  <c:v>69.150000000000006</c:v>
                </c:pt>
                <c:pt idx="37">
                  <c:v>50.749999999999993</c:v>
                </c:pt>
                <c:pt idx="38">
                  <c:v>45.6</c:v>
                </c:pt>
                <c:pt idx="39">
                  <c:v>45.65</c:v>
                </c:pt>
                <c:pt idx="40">
                  <c:v>39.700000000000003</c:v>
                </c:pt>
                <c:pt idx="41">
                  <c:v>61.850000000000009</c:v>
                </c:pt>
                <c:pt idx="42">
                  <c:v>16.8</c:v>
                </c:pt>
                <c:pt idx="43">
                  <c:v>67</c:v>
                </c:pt>
                <c:pt idx="44">
                  <c:v>66.2</c:v>
                </c:pt>
                <c:pt idx="45">
                  <c:v>52.849999999999994</c:v>
                </c:pt>
                <c:pt idx="46">
                  <c:v>15.4</c:v>
                </c:pt>
                <c:pt idx="47">
                  <c:v>44.3</c:v>
                </c:pt>
                <c:pt idx="48">
                  <c:v>68.650000000000006</c:v>
                </c:pt>
                <c:pt idx="49">
                  <c:v>30.55</c:v>
                </c:pt>
                <c:pt idx="50">
                  <c:v>59.050000000000004</c:v>
                </c:pt>
                <c:pt idx="51">
                  <c:v>40</c:v>
                </c:pt>
                <c:pt idx="52">
                  <c:v>19</c:v>
                </c:pt>
                <c:pt idx="53">
                  <c:v>16.150000000000002</c:v>
                </c:pt>
                <c:pt idx="54">
                  <c:v>32.1</c:v>
                </c:pt>
                <c:pt idx="55">
                  <c:v>71.899999999999991</c:v>
                </c:pt>
                <c:pt idx="56">
                  <c:v>60.050000000000004</c:v>
                </c:pt>
                <c:pt idx="57">
                  <c:v>69</c:v>
                </c:pt>
                <c:pt idx="58">
                  <c:v>37.75</c:v>
                </c:pt>
                <c:pt idx="59">
                  <c:v>46.550000000000004</c:v>
                </c:pt>
                <c:pt idx="60">
                  <c:v>55.000000000000007</c:v>
                </c:pt>
                <c:pt idx="61">
                  <c:v>52.15</c:v>
                </c:pt>
                <c:pt idx="62">
                  <c:v>74.95</c:v>
                </c:pt>
                <c:pt idx="63">
                  <c:v>63.800000000000004</c:v>
                </c:pt>
                <c:pt idx="64">
                  <c:v>64.7</c:v>
                </c:pt>
                <c:pt idx="65">
                  <c:v>28.449999999999996</c:v>
                </c:pt>
                <c:pt idx="66">
                  <c:v>41.55</c:v>
                </c:pt>
                <c:pt idx="67">
                  <c:v>66.349999999999994</c:v>
                </c:pt>
                <c:pt idx="68">
                  <c:v>41.85</c:v>
                </c:pt>
                <c:pt idx="69">
                  <c:v>58.650000000000006</c:v>
                </c:pt>
                <c:pt idx="70">
                  <c:v>25.6</c:v>
                </c:pt>
                <c:pt idx="71">
                  <c:v>44.1</c:v>
                </c:pt>
                <c:pt idx="72">
                  <c:v>75</c:v>
                </c:pt>
                <c:pt idx="73">
                  <c:v>27.55</c:v>
                </c:pt>
                <c:pt idx="74">
                  <c:v>38.200000000000003</c:v>
                </c:pt>
                <c:pt idx="75">
                  <c:v>59.35</c:v>
                </c:pt>
                <c:pt idx="76">
                  <c:v>49.35</c:v>
                </c:pt>
                <c:pt idx="77">
                  <c:v>24.45</c:v>
                </c:pt>
                <c:pt idx="78">
                  <c:v>3.65</c:v>
                </c:pt>
                <c:pt idx="79">
                  <c:v>52.2</c:v>
                </c:pt>
                <c:pt idx="80">
                  <c:v>61.9</c:v>
                </c:pt>
                <c:pt idx="81">
                  <c:v>80.45</c:v>
                </c:pt>
                <c:pt idx="82">
                  <c:v>13.700000000000001</c:v>
                </c:pt>
                <c:pt idx="83">
                  <c:v>9.5500000000000007</c:v>
                </c:pt>
                <c:pt idx="84">
                  <c:v>61.050000000000004</c:v>
                </c:pt>
                <c:pt idx="85">
                  <c:v>19.25</c:v>
                </c:pt>
                <c:pt idx="86">
                  <c:v>65</c:v>
                </c:pt>
                <c:pt idx="87">
                  <c:v>28.499999999999996</c:v>
                </c:pt>
                <c:pt idx="88">
                  <c:v>56.000000000000007</c:v>
                </c:pt>
                <c:pt idx="89">
                  <c:v>53.5</c:v>
                </c:pt>
                <c:pt idx="90">
                  <c:v>34.25</c:v>
                </c:pt>
                <c:pt idx="91">
                  <c:v>47.4</c:v>
                </c:pt>
                <c:pt idx="92">
                  <c:v>52.55</c:v>
                </c:pt>
                <c:pt idx="93">
                  <c:v>40.050000000000004</c:v>
                </c:pt>
                <c:pt idx="94">
                  <c:v>10.199999999999999</c:v>
                </c:pt>
                <c:pt idx="95">
                  <c:v>35.5</c:v>
                </c:pt>
                <c:pt idx="96">
                  <c:v>43.95</c:v>
                </c:pt>
                <c:pt idx="97">
                  <c:v>22.3</c:v>
                </c:pt>
                <c:pt idx="98">
                  <c:v>69.8</c:v>
                </c:pt>
                <c:pt idx="99">
                  <c:v>65.149999999999991</c:v>
                </c:pt>
                <c:pt idx="100">
                  <c:v>34.699999999999996</c:v>
                </c:pt>
                <c:pt idx="101">
                  <c:v>6.9</c:v>
                </c:pt>
                <c:pt idx="102">
                  <c:v>34.799999999999997</c:v>
                </c:pt>
                <c:pt idx="103">
                  <c:v>49.15</c:v>
                </c:pt>
                <c:pt idx="104">
                  <c:v>63.149999999999991</c:v>
                </c:pt>
                <c:pt idx="105">
                  <c:v>74.400000000000006</c:v>
                </c:pt>
                <c:pt idx="106">
                  <c:v>33.85</c:v>
                </c:pt>
                <c:pt idx="107">
                  <c:v>32.85</c:v>
                </c:pt>
                <c:pt idx="108">
                  <c:v>57.45</c:v>
                </c:pt>
                <c:pt idx="109">
                  <c:v>42.75</c:v>
                </c:pt>
                <c:pt idx="110">
                  <c:v>48</c:v>
                </c:pt>
                <c:pt idx="111">
                  <c:v>40.35</c:v>
                </c:pt>
                <c:pt idx="112">
                  <c:v>60.3</c:v>
                </c:pt>
                <c:pt idx="113">
                  <c:v>61.050000000000004</c:v>
                </c:pt>
                <c:pt idx="114">
                  <c:v>84.2</c:v>
                </c:pt>
                <c:pt idx="115">
                  <c:v>58.099999999999994</c:v>
                </c:pt>
                <c:pt idx="116">
                  <c:v>59.150000000000006</c:v>
                </c:pt>
                <c:pt idx="117">
                  <c:v>17.95</c:v>
                </c:pt>
                <c:pt idx="118">
                  <c:v>70.150000000000006</c:v>
                </c:pt>
                <c:pt idx="119">
                  <c:v>22.5</c:v>
                </c:pt>
                <c:pt idx="120">
                  <c:v>50.2</c:v>
                </c:pt>
                <c:pt idx="121">
                  <c:v>13.4</c:v>
                </c:pt>
                <c:pt idx="122">
                  <c:v>78.600000000000009</c:v>
                </c:pt>
                <c:pt idx="123">
                  <c:v>62.3</c:v>
                </c:pt>
                <c:pt idx="124">
                  <c:v>62.9</c:v>
                </c:pt>
                <c:pt idx="125">
                  <c:v>0</c:v>
                </c:pt>
                <c:pt idx="126">
                  <c:v>48</c:v>
                </c:pt>
                <c:pt idx="127">
                  <c:v>65.05</c:v>
                </c:pt>
                <c:pt idx="128">
                  <c:v>15.299999999999999</c:v>
                </c:pt>
                <c:pt idx="129">
                  <c:v>64.3</c:v>
                </c:pt>
                <c:pt idx="130">
                  <c:v>47.449999999999996</c:v>
                </c:pt>
                <c:pt idx="131">
                  <c:v>40.550000000000004</c:v>
                </c:pt>
                <c:pt idx="132">
                  <c:v>69.349999999999994</c:v>
                </c:pt>
                <c:pt idx="133">
                  <c:v>72.599999999999994</c:v>
                </c:pt>
                <c:pt idx="134">
                  <c:v>30.95</c:v>
                </c:pt>
                <c:pt idx="135">
                  <c:v>68.400000000000006</c:v>
                </c:pt>
                <c:pt idx="136">
                  <c:v>24.65</c:v>
                </c:pt>
                <c:pt idx="137">
                  <c:v>23.799999999999997</c:v>
                </c:pt>
                <c:pt idx="138">
                  <c:v>52.5</c:v>
                </c:pt>
                <c:pt idx="139">
                  <c:v>13.750000000000002</c:v>
                </c:pt>
                <c:pt idx="140">
                  <c:v>61.550000000000004</c:v>
                </c:pt>
                <c:pt idx="141">
                  <c:v>46.050000000000004</c:v>
                </c:pt>
                <c:pt idx="142">
                  <c:v>59.150000000000006</c:v>
                </c:pt>
                <c:pt idx="143">
                  <c:v>52.6</c:v>
                </c:pt>
                <c:pt idx="144">
                  <c:v>16.600000000000001</c:v>
                </c:pt>
                <c:pt idx="145">
                  <c:v>41</c:v>
                </c:pt>
                <c:pt idx="146">
                  <c:v>75.149999999999991</c:v>
                </c:pt>
                <c:pt idx="147">
                  <c:v>66.649999999999991</c:v>
                </c:pt>
                <c:pt idx="148">
                  <c:v>71.650000000000006</c:v>
                </c:pt>
                <c:pt idx="149">
                  <c:v>56.2</c:v>
                </c:pt>
                <c:pt idx="150">
                  <c:v>37.25</c:v>
                </c:pt>
                <c:pt idx="151">
                  <c:v>48</c:v>
                </c:pt>
                <c:pt idx="152">
                  <c:v>37.049999999999997</c:v>
                </c:pt>
                <c:pt idx="153">
                  <c:v>14.35</c:v>
                </c:pt>
                <c:pt idx="154">
                  <c:v>28.9</c:v>
                </c:pt>
                <c:pt idx="155">
                  <c:v>18.3</c:v>
                </c:pt>
              </c:numCache>
            </c:numRef>
          </c:yVal>
          <c:smooth val="1"/>
          <c:extLst>
            <c:ext xmlns:c16="http://schemas.microsoft.com/office/drawing/2014/chart" uri="{C3380CC4-5D6E-409C-BE32-E72D297353CC}">
              <c16:uniqueId val="{00000001-7FB5-4BE5-8088-7465078F7CA4}"/>
            </c:ext>
          </c:extLst>
        </c:ser>
        <c:dLbls>
          <c:showLegendKey val="0"/>
          <c:showVal val="0"/>
          <c:showCatName val="0"/>
          <c:showSerName val="0"/>
          <c:showPercent val="0"/>
          <c:showBubbleSize val="0"/>
        </c:dLbls>
        <c:axId val="1560731535"/>
        <c:axId val="1560732367"/>
      </c:scatterChart>
      <c:valAx>
        <c:axId val="156073153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32367"/>
        <c:crosses val="autoZero"/>
        <c:crossBetween val="midCat"/>
      </c:valAx>
      <c:valAx>
        <c:axId val="15607323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315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104774</xdr:colOff>
      <xdr:row>2</xdr:row>
      <xdr:rowOff>19048</xdr:rowOff>
    </xdr:from>
    <xdr:to>
      <xdr:col>16</xdr:col>
      <xdr:colOff>57150</xdr:colOff>
      <xdr:row>27</xdr:row>
      <xdr:rowOff>152400</xdr:rowOff>
    </xdr:to>
    <xdr:graphicFrame macro="">
      <xdr:nvGraphicFramePr>
        <xdr:cNvPr id="2" name="Chart 1">
          <a:extLst>
            <a:ext uri="{FF2B5EF4-FFF2-40B4-BE49-F238E27FC236}">
              <a16:creationId xmlns:a16="http://schemas.microsoft.com/office/drawing/2014/main" id="{738BAC11-3F3B-470F-A457-8D973483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800100</xdr:colOff>
      <xdr:row>14</xdr:row>
      <xdr:rowOff>9525</xdr:rowOff>
    </xdr:from>
    <xdr:to>
      <xdr:col>3</xdr:col>
      <xdr:colOff>9525</xdr:colOff>
      <xdr:row>27</xdr:row>
      <xdr:rowOff>57150</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49CC0C1C-B30B-422F-8175-705B68D3C77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38300" y="2676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6</xdr:row>
      <xdr:rowOff>57150</xdr:rowOff>
    </xdr:from>
    <xdr:to>
      <xdr:col>15</xdr:col>
      <xdr:colOff>314325</xdr:colOff>
      <xdr:row>33</xdr:row>
      <xdr:rowOff>114299</xdr:rowOff>
    </xdr:to>
    <xdr:graphicFrame macro="">
      <xdr:nvGraphicFramePr>
        <xdr:cNvPr id="2" name="Chart 1">
          <a:extLst>
            <a:ext uri="{FF2B5EF4-FFF2-40B4-BE49-F238E27FC236}">
              <a16:creationId xmlns:a16="http://schemas.microsoft.com/office/drawing/2014/main" id="{0B80AE75-4011-46A3-9936-CACCD2A01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647700</xdr:colOff>
      <xdr:row>15</xdr:row>
      <xdr:rowOff>161925</xdr:rowOff>
    </xdr:from>
    <xdr:to>
      <xdr:col>2</xdr:col>
      <xdr:colOff>466725</xdr:colOff>
      <xdr:row>29</xdr:row>
      <xdr:rowOff>19050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92614B9-22DE-42DD-A05E-7567A76A76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4000" y="3019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295276</xdr:colOff>
      <xdr:row>1</xdr:row>
      <xdr:rowOff>133350</xdr:rowOff>
    </xdr:from>
    <xdr:to>
      <xdr:col>16</xdr:col>
      <xdr:colOff>304800</xdr:colOff>
      <xdr:row>26</xdr:row>
      <xdr:rowOff>19049</xdr:rowOff>
    </xdr:to>
    <xdr:graphicFrame macro="">
      <xdr:nvGraphicFramePr>
        <xdr:cNvPr id="3" name="Chart 2">
          <a:extLst>
            <a:ext uri="{FF2B5EF4-FFF2-40B4-BE49-F238E27FC236}">
              <a16:creationId xmlns:a16="http://schemas.microsoft.com/office/drawing/2014/main" id="{3042E263-957D-4041-9993-ACC16EDE0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390525</xdr:colOff>
      <xdr:row>10</xdr:row>
      <xdr:rowOff>85725</xdr:rowOff>
    </xdr:from>
    <xdr:to>
      <xdr:col>0</xdr:col>
      <xdr:colOff>2219325</xdr:colOff>
      <xdr:row>23</xdr:row>
      <xdr:rowOff>133350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A7407D57-EDC7-4B0B-9074-89B858482E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0525" y="1990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733425</xdr:colOff>
      <xdr:row>0</xdr:row>
      <xdr:rowOff>0</xdr:rowOff>
    </xdr:from>
    <xdr:to>
      <xdr:col>9</xdr:col>
      <xdr:colOff>1933575</xdr:colOff>
      <xdr:row>26</xdr:row>
      <xdr:rowOff>66674</xdr:rowOff>
    </xdr:to>
    <xdr:graphicFrame macro="">
      <xdr:nvGraphicFramePr>
        <xdr:cNvPr id="7" name="Chart 6">
          <a:extLst>
            <a:ext uri="{FF2B5EF4-FFF2-40B4-BE49-F238E27FC236}">
              <a16:creationId xmlns:a16="http://schemas.microsoft.com/office/drawing/2014/main" id="{6B9118F7-94CC-4699-9A27-C0A363DCE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1847849</xdr:colOff>
      <xdr:row>1</xdr:row>
      <xdr:rowOff>161925</xdr:rowOff>
    </xdr:from>
    <xdr:to>
      <xdr:col>10</xdr:col>
      <xdr:colOff>1762124</xdr:colOff>
      <xdr:row>28</xdr:row>
      <xdr:rowOff>9525</xdr:rowOff>
    </xdr:to>
    <xdr:graphicFrame macro="">
      <xdr:nvGraphicFramePr>
        <xdr:cNvPr id="8" name="Chart 7">
          <a:extLst>
            <a:ext uri="{FF2B5EF4-FFF2-40B4-BE49-F238E27FC236}">
              <a16:creationId xmlns:a16="http://schemas.microsoft.com/office/drawing/2014/main" id="{F3D4A55B-E07F-4129-8C1F-5DF214D9D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361950</xdr:colOff>
      <xdr:row>0</xdr:row>
      <xdr:rowOff>0</xdr:rowOff>
    </xdr:from>
    <xdr:to>
      <xdr:col>21</xdr:col>
      <xdr:colOff>523875</xdr:colOff>
      <xdr:row>33</xdr:row>
      <xdr:rowOff>123825</xdr:rowOff>
    </xdr:to>
    <xdr:graphicFrame macro="">
      <xdr:nvGraphicFramePr>
        <xdr:cNvPr id="2" name="Chart 1">
          <a:extLst>
            <a:ext uri="{FF2B5EF4-FFF2-40B4-BE49-F238E27FC236}">
              <a16:creationId xmlns:a16="http://schemas.microsoft.com/office/drawing/2014/main" id="{3C1FADCD-E359-413E-8499-807EFB4FD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Nuzmol Islam Khan" refreshedDate="46234.448442361114" createdVersion="7" refreshedVersion="7" minRefreshableVersion="3" recordCount="782" xr:uid="{FE049169-B511-45E7-8C65-4DE412FD8AD2}">
  <cacheSource type="worksheet">
    <worksheetSource name="Master"/>
  </cacheSource>
  <cacheFields count="14">
    <cacheField name="Year" numFmtId="0">
      <sharedItems containsSemiMixedTypes="0" containsString="0" containsNumber="1" containsInteger="1" minValue="2015" maxValue="2019" count="5">
        <n v="2015"/>
        <n v="2016"/>
        <n v="2017"/>
        <n v="2018"/>
        <n v="2019"/>
      </sharedItems>
    </cacheField>
    <cacheField name="Country" numFmtId="0">
      <sharedItems count="169">
        <s v="Switzerland"/>
        <s v="Iceland"/>
        <s v="Denmark"/>
        <s v="Norway"/>
        <s v="Canada"/>
        <s v="Finland"/>
        <s v="Netherlands"/>
        <s v="Sweden"/>
        <s v="New Zealand"/>
        <s v="Australia"/>
        <s v="Israel"/>
        <s v="Costa Rica"/>
        <s v="Austria"/>
        <s v="Mexico"/>
        <s v="United States"/>
        <s v="Brazil"/>
        <s v="Luxembourg"/>
        <s v="Ireland"/>
        <s v="Belgium"/>
        <s v="United Arab Emirates"/>
        <s v="United Kingdom"/>
        <s v="Oman"/>
        <s v="Venezuela"/>
        <s v="Singapore"/>
        <s v="Panama"/>
        <s v="Germany"/>
        <s v="Chile"/>
        <s v="Qatar"/>
        <s v="France"/>
        <s v="Argentina"/>
        <s v="Czech Republic"/>
        <s v="Uruguay"/>
        <s v="Colombia"/>
        <s v="Thailand"/>
        <s v="Saudi Arabia"/>
        <s v="Spain"/>
        <s v="Malta"/>
        <s v="Taiwan"/>
        <s v="Kuwait"/>
        <s v="Suriname"/>
        <s v="Trinidad and Tobago"/>
        <s v="El Salvador"/>
        <s v="Guatemala"/>
        <s v="Uzbekistan"/>
        <s v="Slovakia"/>
        <s v="Japan"/>
        <s v="South Korea"/>
        <s v="Ecuador"/>
        <s v="Bahrain"/>
        <s v="Italy"/>
        <s v="Bolivia"/>
        <s v="Moldova"/>
        <s v="Paraguay"/>
        <s v="Kazakhstan"/>
        <s v="Slovenia"/>
        <s v="Lithuania"/>
        <s v="Nicaragua"/>
        <s v="Peru"/>
        <s v="Belarus"/>
        <s v="Poland"/>
        <s v="Malaysia"/>
        <s v="Croatia"/>
        <s v="Libya"/>
        <s v="Russia"/>
        <s v="Jamaica"/>
        <s v="North Cyprus"/>
        <s v="Cyprus"/>
        <s v="Algeria"/>
        <s v="Kosovo"/>
        <s v="Turkmenistan"/>
        <s v="Mauritius"/>
        <s v="Hong Kong"/>
        <s v="Estonia"/>
        <s v="Indonesia"/>
        <s v="Vietnam"/>
        <s v="Turkey"/>
        <s v="Kyrgyzstan"/>
        <s v="Nigeria"/>
        <s v="Bhutan"/>
        <s v="Azerbaijan"/>
        <s v="Pakistan"/>
        <s v="Jordan"/>
        <s v="Montenegro"/>
        <s v="China"/>
        <s v="Zambia"/>
        <s v="Romania"/>
        <s v="Serbia"/>
        <s v="Portugal"/>
        <s v="Latvia"/>
        <s v="Philippines"/>
        <s v="Somaliland region"/>
        <s v="Morocco"/>
        <s v="Macedonia"/>
        <s v="Mozambique"/>
        <s v="Albania"/>
        <s v="Bosnia and Herzegovina"/>
        <s v="Lesotho"/>
        <s v="Dominican Republic"/>
        <s v="Laos"/>
        <s v="Mongolia"/>
        <s v="Swaziland"/>
        <s v="Greece"/>
        <s v="Lebanon"/>
        <s v="Hungary"/>
        <s v="Honduras"/>
        <s v="Tajikistan"/>
        <s v="Tunisia"/>
        <s v="Palestinian Territories"/>
        <s v="Bangladesh"/>
        <s v="Iran"/>
        <s v="Ukraine"/>
        <s v="Iraq"/>
        <s v="South Africa"/>
        <s v="Ghana"/>
        <s v="Zimbabwe"/>
        <s v="Liberia"/>
        <s v="India"/>
        <s v="Sudan"/>
        <s v="Haiti"/>
        <s v="Congo (Kinshasa)"/>
        <s v="Nepal"/>
        <s v="Ethiopia"/>
        <s v="Sierra Leone"/>
        <s v="Mauritania"/>
        <s v="Kenya"/>
        <s v="Djibouti"/>
        <s v="Armenia"/>
        <s v="Botswana"/>
        <s v="Myanmar"/>
        <s v="Georgia"/>
        <s v="Malawi"/>
        <s v="Sri Lanka"/>
        <s v="Cameroon"/>
        <s v="Bulgaria"/>
        <s v="Egypt"/>
        <s v="Yemen"/>
        <s v="Angola"/>
        <s v="Mali"/>
        <s v="Congo (Brazzaville)"/>
        <s v="Comoros"/>
        <s v="Uganda"/>
        <s v="Senegal"/>
        <s v="Gabon"/>
        <s v="Niger"/>
        <s v="Cambodia"/>
        <s v="Tanzania"/>
        <s v="Madagascar"/>
        <s v="Central African Republic"/>
        <s v="Chad"/>
        <s v="Guinea"/>
        <s v="Ivory Coast"/>
        <s v="Burkina Faso"/>
        <s v="Afghanistan"/>
        <s v="Rwanda"/>
        <s v="Benin"/>
        <s v="Syria"/>
        <s v="Burundi"/>
        <s v="Togo"/>
        <s v="Puerto Rico"/>
        <s v="Belize"/>
        <s v="Somalia"/>
        <s v="Namibia"/>
        <s v="South Sudan"/>
        <s v="Taiwan Province of China"/>
        <s v="Hong Kong S.A.R., China"/>
        <s v="Trinidad &amp; Tobago"/>
        <s v="Northern Cyprus"/>
        <s v="North Macedonia"/>
        <s v="Gambia"/>
      </sharedItems>
    </cacheField>
    <cacheField name="Happiness_Rank" numFmtId="0">
      <sharedItems containsSemiMixedTypes="0" containsString="0" containsNumber="1" containsInteger="1" minValue="1" maxValue="158"/>
    </cacheField>
    <cacheField name="Happiness_Score" numFmtId="0">
      <sharedItems containsSemiMixedTypes="0" containsString="0" containsNumber="1" minValue="2.6930000782012899" maxValue="7.7690000000000001"/>
    </cacheField>
    <cacheField name="Happiness_Score (%)" numFmtId="0">
      <sharedItems containsSemiMixedTypes="0" containsString="0" containsNumber="1" minValue="26.9300007820129" maxValue="77.69"/>
    </cacheField>
    <cacheField name="Economy_GDP_per_Capita" numFmtId="0">
      <sharedItems containsSemiMixedTypes="0" containsString="0" containsNumber="1" minValue="0" maxValue="2.0960000000000001"/>
    </cacheField>
    <cacheField name="Economy_GDP_per_Capita (%)" numFmtId="0">
      <sharedItems containsSemiMixedTypes="0" containsString="0" containsNumber="1" minValue="0" maxValue="104.80000000000001"/>
    </cacheField>
    <cacheField name="Family" numFmtId="0">
      <sharedItems containsSemiMixedTypes="0" containsString="0" containsNumber="1" minValue="0" maxValue="1.6439999999999999"/>
    </cacheField>
    <cacheField name="Family (%)" numFmtId="0">
      <sharedItems containsSemiMixedTypes="0" containsString="0" containsNumber="1" minValue="0" maxValue="82.199999999999989"/>
    </cacheField>
    <cacheField name="Health_Life_Expectancy" numFmtId="0">
      <sharedItems containsSemiMixedTypes="0" containsString="0" containsNumber="1" minValue="0" maxValue="1.141"/>
    </cacheField>
    <cacheField name="Health_Life_Expectancy (%)" numFmtId="0">
      <sharedItems containsSemiMixedTypes="0" containsString="0" containsNumber="1" minValue="0" maxValue="57.05"/>
    </cacheField>
    <cacheField name="Freedom (%)" numFmtId="9">
      <sharedItems containsSemiMixedTypes="0" containsString="0" containsNumber="1" minValue="0" maxValue="0.72399999999999998"/>
    </cacheField>
    <cacheField name="Trust_Government_Corruption (%)" numFmtId="9">
      <sharedItems containsString="0" containsBlank="1" containsNumber="1" minValue="0" maxValue="0.55191000000000001"/>
    </cacheField>
    <cacheField name="Generosity (%)" numFmtId="9">
      <sharedItems containsSemiMixedTypes="0" containsString="0" containsNumber="1" minValue="0" maxValue="0.83807516098022505"/>
    </cacheField>
  </cacheFields>
  <extLst>
    <ext xmlns:x14="http://schemas.microsoft.com/office/spreadsheetml/2009/9/main" uri="{725AE2AE-9491-48be-B2B4-4EB974FC3084}">
      <x14:pivotCacheDefinition pivotCacheId="1459664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2">
  <r>
    <x v="0"/>
    <x v="0"/>
    <n v="1"/>
    <n v="7.5869999999999997"/>
    <n v="75.86999999999999"/>
    <n v="1.3965099999999999"/>
    <n v="69.825499999999991"/>
    <n v="1.34951"/>
    <n v="67.475499999999997"/>
    <n v="0.94142999999999999"/>
    <n v="47.0715"/>
    <n v="0.66556999999999999"/>
    <n v="0.41977999999999999"/>
    <n v="0"/>
  </r>
  <r>
    <x v="0"/>
    <x v="1"/>
    <n v="2"/>
    <n v="7.5609999999999999"/>
    <n v="75.61"/>
    <n v="1.3023199999999999"/>
    <n v="65.116"/>
    <n v="1.4022300000000001"/>
    <n v="70.111500000000007"/>
    <n v="0.94784000000000002"/>
    <n v="47.392000000000003"/>
    <n v="0.62877000000000005"/>
    <n v="0.14144999999999999"/>
    <n v="0"/>
  </r>
  <r>
    <x v="0"/>
    <x v="2"/>
    <n v="3"/>
    <n v="7.5270000000000001"/>
    <n v="75.27000000000001"/>
    <n v="1.32548"/>
    <n v="66.274000000000001"/>
    <n v="1.3605799999999999"/>
    <n v="68.028999999999996"/>
    <n v="0.87463999999999997"/>
    <n v="43.731999999999999"/>
    <n v="0.64937999999999996"/>
    <n v="0.48357"/>
    <n v="0"/>
  </r>
  <r>
    <x v="0"/>
    <x v="3"/>
    <n v="4"/>
    <n v="7.5220000000000002"/>
    <n v="75.22"/>
    <n v="1.4590000000000001"/>
    <n v="72.95"/>
    <n v="1.3309500000000001"/>
    <n v="66.547499999999999"/>
    <n v="0.88521000000000005"/>
    <n v="44.2605"/>
    <n v="0.66973000000000005"/>
    <n v="0.36503000000000002"/>
    <n v="0"/>
  </r>
  <r>
    <x v="0"/>
    <x v="4"/>
    <n v="5"/>
    <n v="7.4269999999999996"/>
    <n v="74.27"/>
    <n v="1.32629"/>
    <n v="66.314499999999995"/>
    <n v="1.3226100000000001"/>
    <n v="66.130499999999998"/>
    <n v="0.90563000000000005"/>
    <n v="45.281500000000001"/>
    <n v="0.63297000000000003"/>
    <n v="0.32956999999999997"/>
    <n v="0"/>
  </r>
  <r>
    <x v="0"/>
    <x v="5"/>
    <n v="6"/>
    <n v="7.4059999999999997"/>
    <n v="74.06"/>
    <n v="1.2902499999999999"/>
    <n v="64.512499999999989"/>
    <n v="1.31826"/>
    <n v="65.912999999999997"/>
    <n v="0.88910999999999996"/>
    <n v="44.455500000000001"/>
    <n v="0.64168999999999998"/>
    <n v="0.41371999999999998"/>
    <n v="0"/>
  </r>
  <r>
    <x v="0"/>
    <x v="6"/>
    <n v="7"/>
    <n v="7.3780000000000001"/>
    <n v="73.78"/>
    <n v="1.32944"/>
    <n v="66.471999999999994"/>
    <n v="1.28017"/>
    <n v="64.008499999999998"/>
    <n v="0.89283999999999997"/>
    <n v="44.641999999999996"/>
    <n v="0.61575999999999997"/>
    <n v="0.31813999999999998"/>
    <n v="0"/>
  </r>
  <r>
    <x v="0"/>
    <x v="7"/>
    <n v="8"/>
    <n v="7.3639999999999999"/>
    <n v="73.64"/>
    <n v="1.3317099999999999"/>
    <n v="66.585499999999996"/>
    <n v="1.2890699999999999"/>
    <n v="64.453499999999991"/>
    <n v="0.91086999999999996"/>
    <n v="45.543499999999995"/>
    <n v="0.65980000000000005"/>
    <n v="0.43844"/>
    <n v="0"/>
  </r>
  <r>
    <x v="0"/>
    <x v="8"/>
    <n v="9"/>
    <n v="7.2859999999999996"/>
    <n v="72.859999999999985"/>
    <n v="1.2501800000000001"/>
    <n v="62.509"/>
    <n v="1.3196699999999999"/>
    <n v="65.983499999999992"/>
    <n v="0.90837000000000001"/>
    <n v="45.418500000000002"/>
    <n v="0.63937999999999995"/>
    <n v="0.42921999999999999"/>
    <n v="0"/>
  </r>
  <r>
    <x v="0"/>
    <x v="9"/>
    <n v="10"/>
    <n v="7.2839999999999998"/>
    <n v="72.84"/>
    <n v="1.33358"/>
    <n v="66.679000000000002"/>
    <n v="1.3092299999999999"/>
    <n v="65.461500000000001"/>
    <n v="0.93156000000000005"/>
    <n v="46.578000000000003"/>
    <n v="0.65124000000000004"/>
    <n v="0.35637000000000002"/>
    <n v="0"/>
  </r>
  <r>
    <x v="0"/>
    <x v="10"/>
    <n v="11"/>
    <n v="7.2779999999999996"/>
    <n v="72.78"/>
    <n v="1.2285699999999999"/>
    <n v="61.4285"/>
    <n v="1.22393"/>
    <n v="61.1965"/>
    <n v="0.91386999999999996"/>
    <n v="45.6935"/>
    <n v="0.41319"/>
    <n v="7.7850000000000003E-2"/>
    <n v="0"/>
  </r>
  <r>
    <x v="0"/>
    <x v="11"/>
    <n v="12"/>
    <n v="7.226"/>
    <n v="72.260000000000005"/>
    <n v="0.95577999999999996"/>
    <n v="47.789000000000001"/>
    <n v="1.2378800000000001"/>
    <n v="61.894000000000005"/>
    <n v="0.86026999999999998"/>
    <n v="43.013500000000001"/>
    <n v="0.63375999999999999"/>
    <n v="0.10582999999999999"/>
    <n v="0"/>
  </r>
  <r>
    <x v="0"/>
    <x v="12"/>
    <n v="13"/>
    <n v="7.2"/>
    <n v="72"/>
    <n v="1.3372299999999999"/>
    <n v="66.861499999999992"/>
    <n v="1.29704"/>
    <n v="64.852000000000004"/>
    <n v="0.89041999999999999"/>
    <n v="44.521000000000001"/>
    <n v="0.62433000000000005"/>
    <n v="0.18676000000000001"/>
    <n v="0"/>
  </r>
  <r>
    <x v="0"/>
    <x v="13"/>
    <n v="14"/>
    <n v="7.1870000000000003"/>
    <n v="71.87"/>
    <n v="1.02054"/>
    <n v="51.027000000000001"/>
    <n v="0.91451000000000005"/>
    <n v="45.725500000000004"/>
    <n v="0.81444000000000005"/>
    <n v="40.722000000000001"/>
    <n v="0.48181000000000002"/>
    <n v="0.21312"/>
    <n v="0"/>
  </r>
  <r>
    <x v="0"/>
    <x v="14"/>
    <n v="15"/>
    <n v="7.1189999999999998"/>
    <n v="71.19"/>
    <n v="1.3945099999999999"/>
    <n v="69.725499999999997"/>
    <n v="1.2471099999999999"/>
    <n v="62.355499999999999"/>
    <n v="0.86178999999999994"/>
    <n v="43.089499999999994"/>
    <n v="0.54603999999999997"/>
    <n v="0.15890000000000001"/>
    <n v="0"/>
  </r>
  <r>
    <x v="0"/>
    <x v="15"/>
    <n v="16"/>
    <n v="6.9829999999999997"/>
    <n v="69.83"/>
    <n v="0.98124"/>
    <n v="49.061999999999998"/>
    <n v="1.2328699999999999"/>
    <n v="61.643499999999996"/>
    <n v="0.69701999999999997"/>
    <n v="34.850999999999999"/>
    <n v="0.49048999999999998"/>
    <n v="0.17521"/>
    <n v="0"/>
  </r>
  <r>
    <x v="0"/>
    <x v="16"/>
    <n v="17"/>
    <n v="6.9459999999999997"/>
    <n v="69.460000000000008"/>
    <n v="1.5639099999999999"/>
    <n v="78.195499999999996"/>
    <n v="1.21963"/>
    <n v="60.981499999999997"/>
    <n v="0.91893999999999998"/>
    <n v="45.946999999999996"/>
    <n v="0.61582999999999999"/>
    <n v="0.37797999999999998"/>
    <n v="0"/>
  </r>
  <r>
    <x v="0"/>
    <x v="17"/>
    <n v="18"/>
    <n v="6.94"/>
    <n v="69.400000000000006"/>
    <n v="1.33596"/>
    <n v="66.798000000000002"/>
    <n v="1.36948"/>
    <n v="68.474000000000004"/>
    <n v="0.89532999999999996"/>
    <n v="44.766500000000001"/>
    <n v="0.61777000000000004"/>
    <n v="0.28703000000000001"/>
    <n v="0"/>
  </r>
  <r>
    <x v="0"/>
    <x v="18"/>
    <n v="19"/>
    <n v="6.9370000000000003"/>
    <n v="69.37"/>
    <n v="1.30782"/>
    <n v="65.391000000000005"/>
    <n v="1.28566"/>
    <n v="64.283000000000001"/>
    <n v="0.89666999999999997"/>
    <n v="44.833500000000001"/>
    <n v="0.58450000000000002"/>
    <n v="0.22539999999999999"/>
    <n v="0"/>
  </r>
  <r>
    <x v="0"/>
    <x v="19"/>
    <n v="20"/>
    <n v="6.9009999999999998"/>
    <n v="69.010000000000005"/>
    <n v="1.42727"/>
    <n v="71.363500000000002"/>
    <n v="1.12575"/>
    <n v="56.287500000000001"/>
    <n v="0.80925000000000002"/>
    <n v="40.462499999999999"/>
    <n v="0.64156999999999997"/>
    <n v="0.38583000000000001"/>
    <n v="0"/>
  </r>
  <r>
    <x v="0"/>
    <x v="20"/>
    <n v="21"/>
    <n v="6.867"/>
    <n v="68.67"/>
    <n v="1.26637"/>
    <n v="63.3185"/>
    <n v="1.28548"/>
    <n v="64.274000000000001"/>
    <n v="0.90942999999999996"/>
    <n v="45.471499999999999"/>
    <n v="0.59624999999999995"/>
    <n v="0.32067000000000001"/>
    <n v="0"/>
  </r>
  <r>
    <x v="0"/>
    <x v="21"/>
    <n v="22"/>
    <n v="6.8529999999999998"/>
    <n v="68.53"/>
    <n v="1.3601099999999999"/>
    <n v="68.005499999999998"/>
    <n v="1.08182"/>
    <n v="54.091000000000001"/>
    <n v="0.76275999999999999"/>
    <n v="38.137999999999998"/>
    <n v="0.63273999999999997"/>
    <n v="0.32523999999999997"/>
    <n v="0"/>
  </r>
  <r>
    <x v="0"/>
    <x v="22"/>
    <n v="23"/>
    <n v="6.81"/>
    <n v="68.099999999999994"/>
    <n v="1.0442400000000001"/>
    <n v="52.212000000000003"/>
    <n v="1.25596"/>
    <n v="62.798000000000002"/>
    <n v="0.72052000000000005"/>
    <n v="36.026000000000003"/>
    <n v="0.42908000000000002"/>
    <n v="0.11069"/>
    <n v="0"/>
  </r>
  <r>
    <x v="0"/>
    <x v="23"/>
    <n v="24"/>
    <n v="6.798"/>
    <n v="67.97999999999999"/>
    <n v="1.52186"/>
    <n v="76.093000000000004"/>
    <n v="1.02"/>
    <n v="51"/>
    <n v="1.02525"/>
    <n v="51.262500000000003"/>
    <n v="0.54252"/>
    <n v="0.49209999999999998"/>
    <n v="0"/>
  </r>
  <r>
    <x v="0"/>
    <x v="24"/>
    <n v="25"/>
    <n v="6.7859999999999996"/>
    <n v="67.859999999999985"/>
    <n v="1.0635300000000001"/>
    <n v="53.176500000000004"/>
    <n v="1.1984999999999999"/>
    <n v="59.924999999999997"/>
    <n v="0.79661000000000004"/>
    <n v="39.830500000000001"/>
    <n v="0.54210000000000003"/>
    <n v="9.2700000000000005E-2"/>
    <n v="0"/>
  </r>
  <r>
    <x v="0"/>
    <x v="25"/>
    <n v="26"/>
    <n v="6.75"/>
    <n v="67.5"/>
    <n v="1.32792"/>
    <n v="66.396000000000001"/>
    <n v="1.2993699999999999"/>
    <n v="64.968499999999992"/>
    <n v="0.89185999999999999"/>
    <n v="44.592999999999996"/>
    <n v="0.61477000000000004"/>
    <n v="0.21843000000000001"/>
    <n v="0"/>
  </r>
  <r>
    <x v="0"/>
    <x v="26"/>
    <n v="27"/>
    <n v="6.67"/>
    <n v="66.7"/>
    <n v="1.1071500000000001"/>
    <n v="55.357500000000002"/>
    <n v="1.1244700000000001"/>
    <n v="56.223500000000001"/>
    <n v="0.85857000000000006"/>
    <n v="42.9285"/>
    <n v="0.44131999999999999"/>
    <n v="0.12869"/>
    <n v="0"/>
  </r>
  <r>
    <x v="0"/>
    <x v="27"/>
    <n v="28"/>
    <n v="6.6109999999999998"/>
    <n v="66.11"/>
    <n v="1.69042"/>
    <n v="84.521000000000001"/>
    <n v="1.0786"/>
    <n v="53.93"/>
    <n v="0.79732999999999998"/>
    <n v="39.866500000000002"/>
    <n v="0.64039999999999997"/>
    <n v="0.52207999999999999"/>
    <n v="0"/>
  </r>
  <r>
    <x v="0"/>
    <x v="28"/>
    <n v="29"/>
    <n v="6.5750000000000002"/>
    <n v="65.75"/>
    <n v="1.2777799999999999"/>
    <n v="63.888999999999996"/>
    <n v="1.2603800000000001"/>
    <n v="63.019000000000005"/>
    <n v="0.94579000000000002"/>
    <n v="47.289500000000004"/>
    <n v="0.55010999999999999"/>
    <n v="0.20646"/>
    <n v="0"/>
  </r>
  <r>
    <x v="0"/>
    <x v="29"/>
    <n v="30"/>
    <n v="6.5739999999999998"/>
    <n v="65.739999999999995"/>
    <n v="1.0535099999999999"/>
    <n v="52.6755"/>
    <n v="1.24823"/>
    <n v="62.411499999999997"/>
    <n v="0.78722999999999999"/>
    <n v="39.361499999999999"/>
    <n v="0.44973999999999997"/>
    <n v="8.4839999999999999E-2"/>
    <n v="0"/>
  </r>
  <r>
    <x v="0"/>
    <x v="30"/>
    <n v="31"/>
    <n v="6.5049999999999999"/>
    <n v="65.05"/>
    <n v="1.1789799999999999"/>
    <n v="58.948999999999998"/>
    <n v="1.2064299999999999"/>
    <n v="60.321499999999993"/>
    <n v="0.84482999999999997"/>
    <n v="42.241500000000002"/>
    <n v="0.46364"/>
    <n v="2.6519999999999998E-2"/>
    <n v="0"/>
  </r>
  <r>
    <x v="0"/>
    <x v="31"/>
    <n v="32"/>
    <n v="6.4850000000000003"/>
    <n v="64.849999999999994"/>
    <n v="1.06166"/>
    <n v="53.083000000000006"/>
    <n v="1.2089000000000001"/>
    <n v="60.445000000000007"/>
    <n v="0.81159999999999999"/>
    <n v="40.58"/>
    <n v="0.60362000000000005"/>
    <n v="0.24557999999999999"/>
    <n v="0"/>
  </r>
  <r>
    <x v="0"/>
    <x v="32"/>
    <n v="33"/>
    <n v="6.4770000000000003"/>
    <n v="64.77000000000001"/>
    <n v="0.91861000000000004"/>
    <n v="45.930500000000002"/>
    <n v="1.2401800000000001"/>
    <n v="62.009"/>
    <n v="0.69077"/>
    <n v="34.538499999999999"/>
    <n v="0.53466000000000002"/>
    <n v="5.1200000000000002E-2"/>
    <n v="0"/>
  </r>
  <r>
    <x v="0"/>
    <x v="33"/>
    <n v="34"/>
    <n v="6.4550000000000001"/>
    <n v="64.55"/>
    <n v="0.96689999999999998"/>
    <n v="48.344999999999999"/>
    <n v="1.2650399999999999"/>
    <n v="63.251999999999995"/>
    <n v="0.73850000000000005"/>
    <n v="36.925000000000004"/>
    <n v="0.55664000000000002"/>
    <n v="3.1870000000000002E-2"/>
    <n v="0"/>
  </r>
  <r>
    <x v="0"/>
    <x v="34"/>
    <n v="35"/>
    <n v="6.4109999999999996"/>
    <n v="64.109999999999985"/>
    <n v="1.39541"/>
    <n v="69.770499999999998"/>
    <n v="1.0839300000000001"/>
    <n v="54.1965"/>
    <n v="0.72024999999999995"/>
    <n v="36.012499999999996"/>
    <n v="0.31047999999999998"/>
    <n v="0.32523999999999997"/>
    <n v="0"/>
  </r>
  <r>
    <x v="0"/>
    <x v="35"/>
    <n v="36"/>
    <n v="6.3289999999999997"/>
    <n v="63.29"/>
    <n v="1.23011"/>
    <n v="61.505500000000005"/>
    <n v="1.31379"/>
    <n v="65.689499999999995"/>
    <n v="0.95562000000000002"/>
    <n v="47.780999999999999"/>
    <n v="0.45950999999999997"/>
    <n v="6.3979999999999995E-2"/>
    <n v="0"/>
  </r>
  <r>
    <x v="0"/>
    <x v="36"/>
    <n v="37"/>
    <n v="6.3019999999999996"/>
    <n v="63.019999999999996"/>
    <n v="1.2074"/>
    <n v="60.370000000000005"/>
    <n v="1.30203"/>
    <n v="65.101500000000001"/>
    <n v="0.88721000000000005"/>
    <n v="44.360500000000002"/>
    <n v="0.60365000000000002"/>
    <n v="0.13586000000000001"/>
    <n v="0"/>
  </r>
  <r>
    <x v="0"/>
    <x v="37"/>
    <n v="38"/>
    <n v="6.298"/>
    <n v="62.98"/>
    <n v="1.29098"/>
    <n v="64.549000000000007"/>
    <n v="1.0761700000000001"/>
    <n v="53.808500000000002"/>
    <n v="0.87529999999999997"/>
    <n v="43.765000000000001"/>
    <n v="0.39739999999999998"/>
    <n v="8.1290000000000001E-2"/>
    <n v="0"/>
  </r>
  <r>
    <x v="0"/>
    <x v="38"/>
    <n v="39"/>
    <n v="6.2949999999999999"/>
    <n v="62.95"/>
    <n v="1.5542199999999999"/>
    <n v="77.710999999999999"/>
    <n v="1.16594"/>
    <n v="58.296999999999997"/>
    <n v="0.72492000000000001"/>
    <n v="36.246000000000002"/>
    <n v="0.55498999999999998"/>
    <n v="0.25608999999999998"/>
    <n v="0"/>
  </r>
  <r>
    <x v="0"/>
    <x v="39"/>
    <n v="40"/>
    <n v="6.2690000000000001"/>
    <n v="62.69"/>
    <n v="0.99534"/>
    <n v="49.767000000000003"/>
    <n v="0.97199999999999998"/>
    <n v="48.6"/>
    <n v="0.60819999999999996"/>
    <n v="30.409999999999997"/>
    <n v="0.59657000000000004"/>
    <n v="0.13633000000000001"/>
    <n v="0"/>
  </r>
  <r>
    <x v="0"/>
    <x v="40"/>
    <n v="41"/>
    <n v="6.1680000000000001"/>
    <n v="61.680000000000007"/>
    <n v="1.21183"/>
    <n v="60.591499999999996"/>
    <n v="1.18354"/>
    <n v="59.177"/>
    <n v="0.61482999999999999"/>
    <n v="30.741499999999998"/>
    <n v="0.55884"/>
    <n v="1.14E-2"/>
    <n v="0"/>
  </r>
  <r>
    <x v="0"/>
    <x v="41"/>
    <n v="42"/>
    <n v="6.13"/>
    <n v="61.3"/>
    <n v="0.76454"/>
    <n v="38.226999999999997"/>
    <n v="1.0250699999999999"/>
    <n v="51.253499999999995"/>
    <n v="0.67737000000000003"/>
    <n v="33.868500000000004"/>
    <n v="0.40350000000000003"/>
    <n v="0.11776"/>
    <n v="0"/>
  </r>
  <r>
    <x v="0"/>
    <x v="42"/>
    <n v="43"/>
    <n v="6.1230000000000002"/>
    <n v="61.230000000000004"/>
    <n v="0.74553000000000003"/>
    <n v="37.276499999999999"/>
    <n v="1.04356"/>
    <n v="52.178000000000004"/>
    <n v="0.64424999999999999"/>
    <n v="32.212499999999999"/>
    <n v="0.57733000000000001"/>
    <n v="9.4719999999999999E-2"/>
    <n v="0"/>
  </r>
  <r>
    <x v="0"/>
    <x v="43"/>
    <n v="44"/>
    <n v="6.0030000000000001"/>
    <n v="60.029999999999994"/>
    <n v="0.63244"/>
    <n v="31.622"/>
    <n v="1.34043"/>
    <n v="67.021500000000003"/>
    <n v="0.59772000000000003"/>
    <n v="29.886000000000003"/>
    <n v="0.65820999999999996"/>
    <n v="0.30825999999999998"/>
    <n v="0"/>
  </r>
  <r>
    <x v="0"/>
    <x v="44"/>
    <n v="45"/>
    <n v="5.9950000000000001"/>
    <n v="59.95"/>
    <n v="1.1689099999999999"/>
    <n v="58.445499999999996"/>
    <n v="1.26999"/>
    <n v="63.499499999999998"/>
    <n v="0.78902000000000005"/>
    <n v="39.451000000000001"/>
    <n v="0.31751000000000001"/>
    <n v="3.431E-2"/>
    <n v="0"/>
  </r>
  <r>
    <x v="0"/>
    <x v="45"/>
    <n v="46"/>
    <n v="5.9870000000000001"/>
    <n v="59.870000000000005"/>
    <n v="1.27074"/>
    <n v="63.536999999999999"/>
    <n v="1.25712"/>
    <n v="62.856000000000002"/>
    <n v="0.99111000000000005"/>
    <n v="49.555500000000002"/>
    <n v="0.49614999999999998"/>
    <n v="0.18060000000000001"/>
    <n v="0"/>
  </r>
  <r>
    <x v="0"/>
    <x v="46"/>
    <n v="47"/>
    <n v="5.984"/>
    <n v="59.839999999999996"/>
    <n v="1.24461"/>
    <n v="62.230499999999999"/>
    <n v="0.95774000000000004"/>
    <n v="47.887"/>
    <n v="0.96538000000000002"/>
    <n v="48.268999999999998"/>
    <n v="0.33207999999999999"/>
    <n v="7.8570000000000001E-2"/>
    <n v="0"/>
  </r>
  <r>
    <x v="0"/>
    <x v="47"/>
    <n v="48"/>
    <n v="5.9749999999999996"/>
    <n v="59.75"/>
    <n v="0.86402000000000001"/>
    <n v="43.201000000000001"/>
    <n v="0.99902999999999997"/>
    <n v="49.951499999999996"/>
    <n v="0.79074999999999995"/>
    <n v="39.537499999999994"/>
    <n v="0.48574000000000001"/>
    <n v="0.18090000000000001"/>
    <n v="0"/>
  </r>
  <r>
    <x v="0"/>
    <x v="48"/>
    <n v="49"/>
    <n v="5.96"/>
    <n v="59.6"/>
    <n v="1.32376"/>
    <n v="66.188000000000002"/>
    <n v="1.21624"/>
    <n v="60.811999999999998"/>
    <n v="0.74716000000000005"/>
    <n v="37.358000000000004"/>
    <n v="0.45491999999999999"/>
    <n v="0.30599999999999999"/>
    <n v="0"/>
  </r>
  <r>
    <x v="0"/>
    <x v="49"/>
    <n v="50"/>
    <n v="5.9480000000000004"/>
    <n v="59.480000000000004"/>
    <n v="1.2511399999999999"/>
    <n v="62.556999999999995"/>
    <n v="1.19777"/>
    <n v="59.888500000000001"/>
    <n v="0.95445999999999998"/>
    <n v="47.722999999999999"/>
    <n v="0.26235999999999998"/>
    <n v="2.9010000000000001E-2"/>
    <n v="0"/>
  </r>
  <r>
    <x v="0"/>
    <x v="50"/>
    <n v="51"/>
    <n v="5.89"/>
    <n v="58.9"/>
    <n v="0.68132999999999999"/>
    <n v="34.066499999999998"/>
    <n v="0.97841"/>
    <n v="48.920499999999997"/>
    <n v="0.53920000000000001"/>
    <n v="26.96"/>
    <n v="0.57413999999999998"/>
    <n v="8.7999999999999995E-2"/>
    <n v="0"/>
  </r>
  <r>
    <x v="0"/>
    <x v="51"/>
    <n v="52"/>
    <n v="5.8890000000000002"/>
    <n v="58.89"/>
    <n v="0.59448000000000001"/>
    <n v="29.724"/>
    <n v="1.01528"/>
    <n v="50.763999999999996"/>
    <n v="0.61826000000000003"/>
    <n v="30.913"/>
    <n v="0.32818000000000003"/>
    <n v="1.6150000000000001E-2"/>
    <n v="0"/>
  </r>
  <r>
    <x v="0"/>
    <x v="52"/>
    <n v="53"/>
    <n v="5.8780000000000001"/>
    <n v="58.779999999999994"/>
    <n v="0.75985000000000003"/>
    <n v="37.9925"/>
    <n v="1.30477"/>
    <n v="65.238500000000002"/>
    <n v="0.66098000000000001"/>
    <n v="33.048999999999999"/>
    <n v="0.53898999999999997"/>
    <n v="8.2419999999999993E-2"/>
    <n v="0"/>
  </r>
  <r>
    <x v="0"/>
    <x v="53"/>
    <n v="54"/>
    <n v="5.8550000000000004"/>
    <n v="58.55"/>
    <n v="1.1225400000000001"/>
    <n v="56.127000000000002"/>
    <n v="1.1224099999999999"/>
    <n v="56.120499999999993"/>
    <n v="0.64368000000000003"/>
    <n v="32.184000000000005"/>
    <n v="0.51649"/>
    <n v="8.4540000000000004E-2"/>
    <n v="0"/>
  </r>
  <r>
    <x v="0"/>
    <x v="54"/>
    <n v="55"/>
    <n v="5.8479999999999999"/>
    <n v="58.48"/>
    <n v="1.1849799999999999"/>
    <n v="59.248999999999995"/>
    <n v="1.2738499999999999"/>
    <n v="63.692499999999995"/>
    <n v="0.87336999999999998"/>
    <n v="43.668500000000002"/>
    <n v="0.60855000000000004"/>
    <n v="3.7870000000000001E-2"/>
    <n v="0"/>
  </r>
  <r>
    <x v="0"/>
    <x v="55"/>
    <n v="56"/>
    <n v="5.8330000000000002"/>
    <n v="58.330000000000005"/>
    <n v="1.14723"/>
    <n v="57.361499999999999"/>
    <n v="1.25745"/>
    <n v="62.872499999999995"/>
    <n v="0.73128000000000004"/>
    <n v="36.564"/>
    <n v="0.21342"/>
    <n v="1.031E-2"/>
    <n v="0"/>
  </r>
  <r>
    <x v="0"/>
    <x v="56"/>
    <n v="57"/>
    <n v="5.8280000000000003"/>
    <n v="58.280000000000008"/>
    <n v="0.59325000000000006"/>
    <n v="29.662500000000001"/>
    <n v="1.14184"/>
    <n v="57.091999999999999"/>
    <n v="0.74314000000000002"/>
    <n v="37.157000000000004"/>
    <n v="0.55474999999999997"/>
    <n v="0.19317000000000001"/>
    <n v="0"/>
  </r>
  <r>
    <x v="0"/>
    <x v="57"/>
    <n v="58"/>
    <n v="5.8239999999999998"/>
    <n v="58.239999999999995"/>
    <n v="0.90019000000000005"/>
    <n v="45.009500000000003"/>
    <n v="0.97458999999999996"/>
    <n v="48.729499999999994"/>
    <n v="0.73016999999999999"/>
    <n v="36.508499999999998"/>
    <n v="0.41496"/>
    <n v="5.9889999999999999E-2"/>
    <n v="0"/>
  </r>
  <r>
    <x v="0"/>
    <x v="58"/>
    <n v="59"/>
    <n v="5.8129999999999997"/>
    <n v="58.129999999999995"/>
    <n v="1.0319199999999999"/>
    <n v="51.595999999999997"/>
    <n v="1.23289"/>
    <n v="61.644500000000001"/>
    <n v="0.73607999999999996"/>
    <n v="36.803999999999995"/>
    <n v="0.37938"/>
    <n v="0.19089999999999999"/>
    <n v="0"/>
  </r>
  <r>
    <x v="0"/>
    <x v="59"/>
    <n v="60"/>
    <n v="5.7910000000000004"/>
    <n v="57.910000000000004"/>
    <n v="1.1255500000000001"/>
    <n v="56.277500000000003"/>
    <n v="1.27948"/>
    <n v="63.973999999999997"/>
    <n v="0.77903"/>
    <n v="38.951500000000003"/>
    <n v="0.53122000000000003"/>
    <n v="4.2119999999999998E-2"/>
    <n v="0"/>
  </r>
  <r>
    <x v="0"/>
    <x v="60"/>
    <n v="61"/>
    <n v="5.77"/>
    <n v="57.7"/>
    <n v="1.12486"/>
    <n v="56.242999999999995"/>
    <n v="1.07023"/>
    <n v="53.511499999999998"/>
    <n v="0.72394000000000003"/>
    <n v="36.197000000000003"/>
    <n v="0.53024000000000004"/>
    <n v="0.10501000000000001"/>
    <n v="0"/>
  </r>
  <r>
    <x v="0"/>
    <x v="61"/>
    <n v="62"/>
    <n v="5.7590000000000003"/>
    <n v="57.590000000000011"/>
    <n v="1.0825400000000001"/>
    <n v="54.127000000000002"/>
    <n v="0.79623999999999995"/>
    <n v="39.811999999999998"/>
    <n v="0.78805000000000003"/>
    <n v="39.402500000000003"/>
    <n v="0.25883"/>
    <n v="2.4299999999999999E-2"/>
    <n v="0"/>
  </r>
  <r>
    <x v="0"/>
    <x v="62"/>
    <n v="63"/>
    <n v="5.7539999999999996"/>
    <n v="57.54"/>
    <n v="1.1314500000000001"/>
    <n v="56.572500000000005"/>
    <n v="1.1186199999999999"/>
    <n v="55.930999999999997"/>
    <n v="0.70379999999999998"/>
    <n v="35.19"/>
    <n v="0.41667999999999999"/>
    <n v="0.11022999999999999"/>
    <n v="0"/>
  </r>
  <r>
    <x v="0"/>
    <x v="63"/>
    <n v="64"/>
    <n v="5.7160000000000002"/>
    <n v="57.160000000000004"/>
    <n v="1.13764"/>
    <n v="56.881999999999998"/>
    <n v="1.23617"/>
    <n v="61.808500000000002"/>
    <n v="0.66925999999999997"/>
    <n v="33.463000000000001"/>
    <n v="0.36679"/>
    <n v="3.005E-2"/>
    <n v="0"/>
  </r>
  <r>
    <x v="0"/>
    <x v="64"/>
    <n v="65"/>
    <n v="5.7089999999999996"/>
    <n v="57.089999999999996"/>
    <n v="0.81037999999999999"/>
    <n v="40.518999999999998"/>
    <n v="1.1510199999999999"/>
    <n v="57.550999999999995"/>
    <n v="0.68740999999999997"/>
    <n v="34.3705"/>
    <n v="0.50441999999999998"/>
    <n v="2.299E-2"/>
    <n v="0"/>
  </r>
  <r>
    <x v="0"/>
    <x v="65"/>
    <n v="66"/>
    <n v="5.6950000000000003"/>
    <n v="56.95"/>
    <n v="1.2080599999999999"/>
    <n v="60.402999999999999"/>
    <n v="1.0700799999999999"/>
    <n v="53.503999999999998"/>
    <n v="0.92356000000000005"/>
    <n v="46.178000000000004"/>
    <n v="0.49026999999999998"/>
    <n v="0.14280000000000001"/>
    <n v="0"/>
  </r>
  <r>
    <x v="0"/>
    <x v="66"/>
    <n v="67"/>
    <n v="5.6890000000000001"/>
    <n v="56.89"/>
    <n v="1.2081299999999999"/>
    <n v="60.406499999999994"/>
    <n v="0.89317999999999997"/>
    <n v="44.658999999999999"/>
    <n v="0.92356000000000005"/>
    <n v="46.178000000000004"/>
    <n v="0.40672000000000003"/>
    <n v="6.1460000000000001E-2"/>
    <n v="0"/>
  </r>
  <r>
    <x v="0"/>
    <x v="67"/>
    <n v="68"/>
    <n v="5.6050000000000004"/>
    <n v="56.05"/>
    <n v="0.93928999999999996"/>
    <n v="46.964500000000001"/>
    <n v="1.07772"/>
    <n v="53.886000000000003"/>
    <n v="0.61765999999999999"/>
    <n v="30.882999999999999"/>
    <n v="0.28578999999999999"/>
    <n v="0.17383000000000001"/>
    <n v="0"/>
  </r>
  <r>
    <x v="0"/>
    <x v="68"/>
    <n v="69"/>
    <n v="5.5890000000000004"/>
    <n v="55.890000000000008"/>
    <n v="0.80147999999999997"/>
    <n v="40.073999999999998"/>
    <n v="0.81198000000000004"/>
    <n v="40.599000000000004"/>
    <n v="0.63131999999999999"/>
    <n v="31.565999999999999"/>
    <n v="0.24748999999999999"/>
    <n v="4.7410000000000001E-2"/>
    <n v="0"/>
  </r>
  <r>
    <x v="0"/>
    <x v="69"/>
    <n v="70"/>
    <n v="5.548"/>
    <n v="55.48"/>
    <n v="0.95847000000000004"/>
    <n v="47.923500000000004"/>
    <n v="1.22668"/>
    <n v="61.334000000000003"/>
    <n v="0.53886000000000001"/>
    <n v="26.943000000000001"/>
    <n v="0.47610000000000002"/>
    <n v="0.30843999999999999"/>
    <n v="0"/>
  </r>
  <r>
    <x v="0"/>
    <x v="70"/>
    <n v="71"/>
    <n v="5.4770000000000003"/>
    <n v="54.77"/>
    <n v="1.0076099999999999"/>
    <n v="50.380499999999998"/>
    <n v="0.98521000000000003"/>
    <n v="49.2605"/>
    <n v="0.70950000000000002"/>
    <n v="35.475000000000001"/>
    <n v="0.56066000000000005"/>
    <n v="7.5209999999999999E-2"/>
    <n v="0"/>
  </r>
  <r>
    <x v="0"/>
    <x v="71"/>
    <n v="72"/>
    <n v="5.4740000000000002"/>
    <n v="54.739999999999995"/>
    <n v="1.3860399999999999"/>
    <n v="69.301999999999992"/>
    <n v="1.0581799999999999"/>
    <n v="52.908999999999992"/>
    <n v="1.01328"/>
    <n v="50.664000000000001"/>
    <n v="0.59608000000000005"/>
    <n v="0.37124000000000001"/>
    <n v="0"/>
  </r>
  <r>
    <x v="0"/>
    <x v="72"/>
    <n v="73"/>
    <n v="5.4290000000000003"/>
    <n v="54.29"/>
    <n v="1.15174"/>
    <n v="57.586999999999996"/>
    <n v="1.2279100000000001"/>
    <n v="61.395500000000006"/>
    <n v="0.77361000000000002"/>
    <n v="38.680500000000002"/>
    <n v="0.44888"/>
    <n v="0.15184"/>
    <n v="0"/>
  </r>
  <r>
    <x v="0"/>
    <x v="73"/>
    <n v="74"/>
    <n v="5.399"/>
    <n v="53.989999999999995"/>
    <n v="0.82826999999999995"/>
    <n v="41.413499999999999"/>
    <n v="1.08708"/>
    <n v="54.353999999999999"/>
    <n v="0.63793"/>
    <n v="31.8965"/>
    <n v="0.46611000000000002"/>
    <n v="0"/>
    <n v="0"/>
  </r>
  <r>
    <x v="0"/>
    <x v="74"/>
    <n v="75"/>
    <n v="5.36"/>
    <n v="53.6"/>
    <n v="0.63216000000000006"/>
    <n v="31.608000000000004"/>
    <n v="0.91225999999999996"/>
    <n v="45.613"/>
    <n v="0.74675999999999998"/>
    <n v="37.338000000000001"/>
    <n v="0.59443999999999997"/>
    <n v="0.10441"/>
    <n v="0"/>
  </r>
  <r>
    <x v="0"/>
    <x v="75"/>
    <n v="76"/>
    <n v="5.3319999999999999"/>
    <n v="53.319999999999993"/>
    <n v="1.06098"/>
    <n v="53.048999999999999"/>
    <n v="0.94632000000000005"/>
    <n v="47.316000000000003"/>
    <n v="0.73172000000000004"/>
    <n v="36.585999999999999"/>
    <n v="0.22814999999999999"/>
    <n v="0.15745999999999999"/>
    <n v="0"/>
  </r>
  <r>
    <x v="0"/>
    <x v="76"/>
    <n v="77"/>
    <n v="5.2859999999999996"/>
    <n v="52.859999999999992"/>
    <n v="0.47427999999999998"/>
    <n v="23.713999999999999"/>
    <n v="1.1511499999999999"/>
    <n v="57.557499999999997"/>
    <n v="0.65088000000000001"/>
    <n v="32.544000000000004"/>
    <n v="0.43476999999999999"/>
    <n v="4.2320000000000003E-2"/>
    <n v="0"/>
  </r>
  <r>
    <x v="0"/>
    <x v="77"/>
    <n v="78"/>
    <n v="5.2679999999999998"/>
    <n v="52.679999999999993"/>
    <n v="0.65434999999999999"/>
    <n v="32.717500000000001"/>
    <n v="0.90432000000000001"/>
    <n v="45.216000000000001"/>
    <n v="0.16006999999999999"/>
    <n v="8.0034999999999989"/>
    <n v="0.34333999999999998"/>
    <n v="4.0300000000000002E-2"/>
    <n v="0"/>
  </r>
  <r>
    <x v="0"/>
    <x v="78"/>
    <n v="79"/>
    <n v="5.2530000000000001"/>
    <n v="52.529999999999994"/>
    <n v="0.77041999999999999"/>
    <n v="38.521000000000001"/>
    <n v="1.10395"/>
    <n v="55.197499999999998"/>
    <n v="0.57406999999999997"/>
    <n v="28.703499999999998"/>
    <n v="0.53205999999999998"/>
    <n v="0.15445"/>
    <n v="0"/>
  </r>
  <r>
    <x v="0"/>
    <x v="79"/>
    <n v="80"/>
    <n v="5.2119999999999997"/>
    <n v="52.11999999999999"/>
    <n v="1.02389"/>
    <n v="51.194499999999998"/>
    <n v="0.93793000000000004"/>
    <n v="46.896500000000003"/>
    <n v="0.64044999999999996"/>
    <n v="32.022500000000001"/>
    <n v="0.37030000000000002"/>
    <n v="0.16064999999999999"/>
    <n v="0"/>
  </r>
  <r>
    <x v="0"/>
    <x v="80"/>
    <n v="81"/>
    <n v="5.194"/>
    <n v="51.94"/>
    <n v="0.59543000000000001"/>
    <n v="29.7715"/>
    <n v="0.41410999999999998"/>
    <n v="20.705500000000001"/>
    <n v="0.51466000000000001"/>
    <n v="25.733000000000001"/>
    <n v="0.12102"/>
    <n v="0.10464"/>
    <n v="0"/>
  </r>
  <r>
    <x v="0"/>
    <x v="81"/>
    <n v="82"/>
    <n v="5.1920000000000002"/>
    <n v="51.92"/>
    <n v="0.90198"/>
    <n v="45.099000000000004"/>
    <n v="1.05392"/>
    <n v="52.695999999999998"/>
    <n v="0.69638999999999995"/>
    <n v="34.819499999999998"/>
    <n v="0.40661000000000003"/>
    <n v="0.14293"/>
    <n v="0"/>
  </r>
  <r>
    <x v="0"/>
    <x v="82"/>
    <n v="82"/>
    <n v="5.1920000000000002"/>
    <n v="51.92"/>
    <n v="0.97438000000000002"/>
    <n v="48.719000000000001"/>
    <n v="0.90556999999999999"/>
    <n v="45.278500000000001"/>
    <n v="0.72521000000000002"/>
    <n v="36.2605"/>
    <n v="0.18260000000000001"/>
    <n v="0.14296"/>
    <n v="0"/>
  </r>
  <r>
    <x v="0"/>
    <x v="83"/>
    <n v="84"/>
    <n v="5.14"/>
    <n v="51.4"/>
    <n v="0.89012000000000002"/>
    <n v="44.506"/>
    <n v="0.94674999999999998"/>
    <n v="47.337499999999999"/>
    <n v="0.81657999999999997"/>
    <n v="40.829000000000001"/>
    <n v="0.51697000000000004"/>
    <n v="2.7810000000000001E-2"/>
    <n v="0"/>
  </r>
  <r>
    <x v="0"/>
    <x v="84"/>
    <n v="85"/>
    <n v="5.1289999999999996"/>
    <n v="51.29"/>
    <n v="0.47038000000000002"/>
    <n v="23.519000000000002"/>
    <n v="0.91612000000000005"/>
    <n v="45.806000000000004"/>
    <n v="0.29924000000000001"/>
    <n v="14.962"/>
    <n v="0.48826999999999998"/>
    <n v="0.12468"/>
    <n v="0"/>
  </r>
  <r>
    <x v="0"/>
    <x v="85"/>
    <n v="86"/>
    <n v="5.1239999999999997"/>
    <n v="51.239999999999995"/>
    <n v="1.04345"/>
    <n v="52.172499999999999"/>
    <n v="0.88588"/>
    <n v="44.293999999999997"/>
    <n v="0.76890000000000003"/>
    <n v="38.445"/>
    <n v="0.35067999999999999"/>
    <n v="6.4900000000000001E-3"/>
    <n v="0"/>
  </r>
  <r>
    <x v="0"/>
    <x v="86"/>
    <n v="87"/>
    <n v="5.1230000000000002"/>
    <n v="51.230000000000004"/>
    <n v="0.92052999999999996"/>
    <n v="46.026499999999999"/>
    <n v="1.0096400000000001"/>
    <n v="50.482000000000006"/>
    <n v="0.74836000000000003"/>
    <n v="37.417999999999999"/>
    <n v="0.20107"/>
    <n v="2.6169999999999999E-2"/>
    <n v="0"/>
  </r>
  <r>
    <x v="0"/>
    <x v="87"/>
    <n v="88"/>
    <n v="5.1020000000000003"/>
    <n v="51.02"/>
    <n v="1.15991"/>
    <n v="57.9955"/>
    <n v="1.1393500000000001"/>
    <n v="56.967500000000001"/>
    <n v="0.87519000000000002"/>
    <n v="43.759500000000003"/>
    <n v="0.51468999999999998"/>
    <n v="1.078E-2"/>
    <n v="0"/>
  </r>
  <r>
    <x v="0"/>
    <x v="88"/>
    <n v="89"/>
    <n v="5.0979999999999999"/>
    <n v="50.980000000000004"/>
    <n v="1.1131200000000001"/>
    <n v="55.656000000000006"/>
    <n v="1.09562"/>
    <n v="54.780999999999999"/>
    <n v="0.72436999999999996"/>
    <n v="36.218499999999999"/>
    <n v="0.29670999999999997"/>
    <n v="6.3320000000000001E-2"/>
    <n v="0"/>
  </r>
  <r>
    <x v="0"/>
    <x v="89"/>
    <n v="90"/>
    <n v="5.0730000000000004"/>
    <n v="50.730000000000004"/>
    <n v="0.70531999999999995"/>
    <n v="35.265999999999998"/>
    <n v="1.0351600000000001"/>
    <n v="51.758000000000003"/>
    <n v="0.58113999999999999"/>
    <n v="29.056999999999999"/>
    <n v="0.62544999999999995"/>
    <n v="0.12279"/>
    <n v="0"/>
  </r>
  <r>
    <x v="0"/>
    <x v="90"/>
    <n v="91"/>
    <n v="5.0570000000000004"/>
    <n v="50.570000000000007"/>
    <n v="0.18847"/>
    <n v="9.4235000000000007"/>
    <n v="0.95152000000000003"/>
    <n v="47.576000000000001"/>
    <n v="0.43873000000000001"/>
    <n v="21.936499999999999"/>
    <n v="0.46582000000000001"/>
    <n v="0.39928000000000002"/>
    <n v="0"/>
  </r>
  <r>
    <x v="0"/>
    <x v="91"/>
    <n v="92"/>
    <n v="5.0129999999999999"/>
    <n v="50.13"/>
    <n v="0.73479000000000005"/>
    <n v="36.7395"/>
    <n v="0.64095000000000002"/>
    <n v="32.047499999999999"/>
    <n v="0.60953999999999997"/>
    <n v="30.476999999999997"/>
    <n v="0.41691"/>
    <n v="8.5459999999999994E-2"/>
    <n v="0"/>
  </r>
  <r>
    <x v="0"/>
    <x v="92"/>
    <n v="93"/>
    <n v="5.0069999999999997"/>
    <n v="50.07"/>
    <n v="0.91851000000000005"/>
    <n v="45.9255"/>
    <n v="1.0023200000000001"/>
    <n v="50.116000000000007"/>
    <n v="0.73545000000000005"/>
    <n v="36.772500000000001"/>
    <n v="0.33456999999999998"/>
    <n v="5.3269999999999998E-2"/>
    <n v="0"/>
  </r>
  <r>
    <x v="0"/>
    <x v="93"/>
    <n v="94"/>
    <n v="4.9710000000000001"/>
    <n v="49.71"/>
    <n v="8.3080000000000001E-2"/>
    <n v="4.1539999999999999"/>
    <n v="1.02626"/>
    <n v="51.312999999999995"/>
    <n v="9.1310000000000002E-2"/>
    <n v="4.5655000000000001"/>
    <n v="0.34037000000000001"/>
    <n v="0.15603"/>
    <n v="0"/>
  </r>
  <r>
    <x v="0"/>
    <x v="94"/>
    <n v="95"/>
    <n v="4.9589999999999996"/>
    <n v="49.589999999999996"/>
    <n v="0.87866999999999995"/>
    <n v="43.933499999999995"/>
    <n v="0.80434000000000005"/>
    <n v="40.217000000000006"/>
    <n v="0.81325000000000003"/>
    <n v="40.662500000000001"/>
    <n v="0.35732999999999998"/>
    <n v="6.4130000000000006E-2"/>
    <n v="0"/>
  </r>
  <r>
    <x v="0"/>
    <x v="95"/>
    <n v="96"/>
    <n v="4.9489999999999998"/>
    <n v="49.489999999999995"/>
    <n v="0.83223000000000003"/>
    <n v="41.611499999999999"/>
    <n v="0.91915999999999998"/>
    <n v="45.957999999999998"/>
    <n v="0.79081000000000001"/>
    <n v="39.540500000000002"/>
    <n v="9.2450000000000004E-2"/>
    <n v="2.2699999999999999E-3"/>
    <n v="0"/>
  </r>
  <r>
    <x v="0"/>
    <x v="96"/>
    <n v="97"/>
    <n v="4.8979999999999997"/>
    <n v="48.98"/>
    <n v="0.37545000000000001"/>
    <n v="18.772500000000001"/>
    <n v="1.0410299999999999"/>
    <n v="52.051499999999997"/>
    <n v="7.6119999999999993E-2"/>
    <n v="3.8059999999999996"/>
    <n v="0.31767000000000001"/>
    <n v="0.12504000000000001"/>
    <n v="0"/>
  </r>
  <r>
    <x v="0"/>
    <x v="97"/>
    <n v="98"/>
    <n v="4.8849999999999998"/>
    <n v="48.85"/>
    <n v="0.89537"/>
    <n v="44.768500000000003"/>
    <n v="1.1720200000000001"/>
    <n v="58.601000000000006"/>
    <n v="0.66825000000000001"/>
    <n v="33.412500000000001"/>
    <n v="0.57672000000000001"/>
    <n v="0.14233999999999999"/>
    <n v="0"/>
  </r>
  <r>
    <x v="0"/>
    <x v="98"/>
    <n v="99"/>
    <n v="4.8760000000000003"/>
    <n v="48.760000000000005"/>
    <n v="0.59065999999999996"/>
    <n v="29.532999999999998"/>
    <n v="0.73802999999999996"/>
    <n v="36.901499999999999"/>
    <n v="0.54908999999999997"/>
    <n v="27.454499999999999"/>
    <n v="0.59591000000000005"/>
    <n v="0.24249000000000001"/>
    <n v="0"/>
  </r>
  <r>
    <x v="0"/>
    <x v="99"/>
    <n v="100"/>
    <n v="4.8739999999999997"/>
    <n v="48.739999999999995"/>
    <n v="0.82818999999999998"/>
    <n v="41.409500000000001"/>
    <n v="1.3006"/>
    <n v="65.03"/>
    <n v="0.60267999999999999"/>
    <n v="30.134"/>
    <n v="0.43625999999999998"/>
    <n v="2.666E-2"/>
    <n v="0"/>
  </r>
  <r>
    <x v="0"/>
    <x v="100"/>
    <n v="101"/>
    <n v="4.867"/>
    <n v="48.67"/>
    <n v="0.71206000000000003"/>
    <n v="35.603000000000002"/>
    <n v="1.07284"/>
    <n v="53.642000000000003"/>
    <n v="7.5660000000000005E-2"/>
    <n v="3.7830000000000004"/>
    <n v="0.30658000000000002"/>
    <n v="3.0599999999999999E-2"/>
    <n v="0"/>
  </r>
  <r>
    <x v="0"/>
    <x v="101"/>
    <n v="102"/>
    <n v="4.8570000000000002"/>
    <n v="48.570000000000007"/>
    <n v="1.1540600000000001"/>
    <n v="57.703000000000003"/>
    <n v="0.92932999999999999"/>
    <n v="46.466499999999996"/>
    <n v="0.88212999999999997"/>
    <n v="44.106499999999997"/>
    <n v="7.6990000000000003E-2"/>
    <n v="1.397E-2"/>
    <n v="0"/>
  </r>
  <r>
    <x v="0"/>
    <x v="102"/>
    <n v="103"/>
    <n v="4.8390000000000004"/>
    <n v="48.39"/>
    <n v="1.0256400000000001"/>
    <n v="51.282000000000004"/>
    <n v="0.80001"/>
    <n v="40.000500000000002"/>
    <n v="0.83947000000000005"/>
    <n v="41.973500000000001"/>
    <n v="0.33916000000000002"/>
    <n v="4.582E-2"/>
    <n v="0"/>
  </r>
  <r>
    <x v="0"/>
    <x v="103"/>
    <n v="104"/>
    <n v="4.8"/>
    <n v="48"/>
    <n v="1.12094"/>
    <n v="56.047000000000004"/>
    <n v="1.2021500000000001"/>
    <n v="60.107500000000002"/>
    <n v="0.75905"/>
    <n v="37.952500000000001"/>
    <n v="0.32112000000000002"/>
    <n v="2.758E-2"/>
    <n v="0"/>
  </r>
  <r>
    <x v="0"/>
    <x v="104"/>
    <n v="105"/>
    <n v="4.7880000000000003"/>
    <n v="47.88"/>
    <n v="0.59531999999999996"/>
    <n v="29.765999999999998"/>
    <n v="0.95347999999999999"/>
    <n v="47.673999999999999"/>
    <n v="0.69510000000000005"/>
    <n v="34.755000000000003"/>
    <n v="0.40148"/>
    <n v="6.8250000000000005E-2"/>
    <n v="0"/>
  </r>
  <r>
    <x v="0"/>
    <x v="105"/>
    <n v="106"/>
    <n v="4.7859999999999996"/>
    <n v="47.86"/>
    <n v="0.39046999999999998"/>
    <n v="19.523499999999999"/>
    <n v="0.85563"/>
    <n v="42.781500000000001"/>
    <n v="0.57379000000000002"/>
    <n v="28.689500000000002"/>
    <n v="0.47216000000000002"/>
    <n v="0.15071999999999999"/>
    <n v="0"/>
  </r>
  <r>
    <x v="0"/>
    <x v="106"/>
    <n v="107"/>
    <n v="4.7389999999999999"/>
    <n v="47.39"/>
    <n v="0.88112999999999997"/>
    <n v="44.0565"/>
    <n v="0.60428999999999999"/>
    <n v="30.214500000000001"/>
    <n v="0.73792999999999997"/>
    <n v="36.896499999999996"/>
    <n v="0.26268000000000002"/>
    <n v="6.3579999999999998E-2"/>
    <n v="0"/>
  </r>
  <r>
    <x v="0"/>
    <x v="107"/>
    <n v="108"/>
    <n v="4.7149999999999999"/>
    <n v="47.15"/>
    <n v="0.59867000000000004"/>
    <n v="29.933500000000002"/>
    <n v="0.92557999999999996"/>
    <n v="46.278999999999996"/>
    <n v="0.66015000000000001"/>
    <n v="33.0075"/>
    <n v="0.24499000000000001"/>
    <n v="0.12905"/>
    <n v="0"/>
  </r>
  <r>
    <x v="0"/>
    <x v="108"/>
    <n v="109"/>
    <n v="4.694"/>
    <n v="46.94"/>
    <n v="0.39752999999999999"/>
    <n v="19.8765"/>
    <n v="0.43106"/>
    <n v="21.553000000000001"/>
    <n v="0.60163999999999995"/>
    <n v="30.081999999999997"/>
    <n v="0.40820000000000001"/>
    <n v="0.12569"/>
    <n v="0"/>
  </r>
  <r>
    <x v="0"/>
    <x v="109"/>
    <n v="110"/>
    <n v="4.6859999999999999"/>
    <n v="46.86"/>
    <n v="1.0087999999999999"/>
    <n v="50.44"/>
    <n v="0.54447000000000001"/>
    <n v="27.223500000000001"/>
    <n v="0.69804999999999995"/>
    <n v="34.902499999999996"/>
    <n v="0.30032999999999999"/>
    <n v="5.8630000000000002E-2"/>
    <n v="0"/>
  </r>
  <r>
    <x v="0"/>
    <x v="110"/>
    <n v="111"/>
    <n v="4.681"/>
    <n v="46.81"/>
    <n v="0.79906999999999995"/>
    <n v="39.953499999999998"/>
    <n v="1.20278"/>
    <n v="60.138999999999996"/>
    <n v="0.67390000000000005"/>
    <n v="33.695"/>
    <n v="0.25123000000000001"/>
    <n v="2.9610000000000001E-2"/>
    <n v="0"/>
  </r>
  <r>
    <x v="0"/>
    <x v="111"/>
    <n v="112"/>
    <n v="4.6769999999999996"/>
    <n v="46.769999999999996"/>
    <n v="0.98548999999999998"/>
    <n v="49.274499999999996"/>
    <n v="0.81889000000000001"/>
    <n v="40.944499999999998"/>
    <n v="0.60236999999999996"/>
    <n v="30.118499999999997"/>
    <n v="0"/>
    <n v="0.13788"/>
    <n v="0"/>
  </r>
  <r>
    <x v="0"/>
    <x v="112"/>
    <n v="113"/>
    <n v="4.6420000000000003"/>
    <n v="46.42"/>
    <n v="0.92049000000000003"/>
    <n v="46.024500000000003"/>
    <n v="1.18468"/>
    <n v="59.233999999999995"/>
    <n v="0.27688000000000001"/>
    <n v="13.844000000000001"/>
    <n v="0.33206999999999998"/>
    <n v="8.8840000000000002E-2"/>
    <n v="0"/>
  </r>
  <r>
    <x v="0"/>
    <x v="113"/>
    <n v="114"/>
    <n v="4.633"/>
    <n v="46.33"/>
    <n v="0.54557999999999995"/>
    <n v="27.278999999999996"/>
    <n v="0.67954000000000003"/>
    <n v="33.977000000000004"/>
    <n v="0.40132000000000001"/>
    <n v="20.065999999999999"/>
    <n v="0.42342000000000002"/>
    <n v="4.3549999999999998E-2"/>
    <n v="0"/>
  </r>
  <r>
    <x v="0"/>
    <x v="114"/>
    <n v="115"/>
    <n v="4.6100000000000003"/>
    <n v="46.100000000000009"/>
    <n v="0.27100000000000002"/>
    <n v="13.55"/>
    <n v="1.0327599999999999"/>
    <n v="51.637999999999998"/>
    <n v="0.33474999999999999"/>
    <n v="16.737500000000001"/>
    <n v="0.25861000000000001"/>
    <n v="8.0790000000000001E-2"/>
    <n v="0"/>
  </r>
  <r>
    <x v="0"/>
    <x v="115"/>
    <n v="116"/>
    <n v="4.5709999999999997"/>
    <n v="45.709999999999994"/>
    <n v="7.1199999999999999E-2"/>
    <n v="3.56"/>
    <n v="0.78968000000000005"/>
    <n v="39.484000000000002"/>
    <n v="0.34200999999999998"/>
    <n v="17.1005"/>
    <n v="0.28531000000000001"/>
    <n v="6.232E-2"/>
    <n v="0"/>
  </r>
  <r>
    <x v="0"/>
    <x v="116"/>
    <n v="117"/>
    <n v="4.5650000000000004"/>
    <n v="45.650000000000006"/>
    <n v="0.64498999999999995"/>
    <n v="32.249499999999998"/>
    <n v="0.38174000000000002"/>
    <n v="19.087"/>
    <n v="0.51529000000000003"/>
    <n v="25.764500000000002"/>
    <n v="0.39785999999999999"/>
    <n v="8.4919999999999995E-2"/>
    <n v="0"/>
  </r>
  <r>
    <x v="0"/>
    <x v="117"/>
    <n v="118"/>
    <n v="4.55"/>
    <n v="45.5"/>
    <n v="0.52107000000000003"/>
    <n v="26.053500000000003"/>
    <n v="1.0140400000000001"/>
    <n v="50.702000000000005"/>
    <n v="0.36878"/>
    <n v="18.439"/>
    <n v="0.10081"/>
    <n v="0.14660000000000001"/>
    <n v="0"/>
  </r>
  <r>
    <x v="0"/>
    <x v="118"/>
    <n v="119"/>
    <n v="4.5179999999999998"/>
    <n v="45.179999999999993"/>
    <n v="0.26673000000000002"/>
    <n v="13.336500000000001"/>
    <n v="0.74302000000000001"/>
    <n v="37.151000000000003"/>
    <n v="0.38846999999999998"/>
    <n v="19.423500000000001"/>
    <n v="0.24424999999999999"/>
    <n v="0.17175000000000001"/>
    <n v="0"/>
  </r>
  <r>
    <x v="0"/>
    <x v="119"/>
    <n v="120"/>
    <n v="4.5170000000000003"/>
    <n v="45.17"/>
    <n v="0"/>
    <n v="0"/>
    <n v="1.0012000000000001"/>
    <n v="50.06"/>
    <n v="9.8059999999999994E-2"/>
    <n v="4.9029999999999996"/>
    <n v="0.22605"/>
    <n v="7.6249999999999998E-2"/>
    <n v="0"/>
  </r>
  <r>
    <x v="0"/>
    <x v="120"/>
    <n v="121"/>
    <n v="4.5140000000000002"/>
    <n v="45.14"/>
    <n v="0.35997000000000001"/>
    <n v="17.9985"/>
    <n v="0.86448999999999998"/>
    <n v="43.224499999999999"/>
    <n v="0.56874000000000002"/>
    <n v="28.437000000000001"/>
    <n v="0.38281999999999999"/>
    <n v="5.9069999999999998E-2"/>
    <n v="0"/>
  </r>
  <r>
    <x v="0"/>
    <x v="121"/>
    <n v="122"/>
    <n v="4.5119999999999996"/>
    <n v="45.11999999999999"/>
    <n v="0.19073000000000001"/>
    <n v="9.5365000000000002"/>
    <n v="0.60406000000000004"/>
    <n v="30.203000000000003"/>
    <n v="0.44055"/>
    <n v="22.0275"/>
    <n v="0.4345"/>
    <n v="0.15048"/>
    <n v="0"/>
  </r>
  <r>
    <x v="0"/>
    <x v="122"/>
    <n v="123"/>
    <n v="4.5069999999999997"/>
    <n v="45.07"/>
    <n v="0.33023999999999998"/>
    <n v="16.512"/>
    <n v="0.95570999999999995"/>
    <n v="47.785499999999999"/>
    <n v="0"/>
    <n v="0"/>
    <n v="0.40839999999999999"/>
    <n v="8.7859999999999994E-2"/>
    <n v="0"/>
  </r>
  <r>
    <x v="0"/>
    <x v="123"/>
    <n v="124"/>
    <n v="4.4359999999999999"/>
    <n v="44.36"/>
    <n v="0.45406999999999997"/>
    <n v="22.703499999999998"/>
    <n v="0.86907999999999996"/>
    <n v="43.454000000000001"/>
    <n v="0.35874"/>
    <n v="17.937000000000001"/>
    <n v="0.24232000000000001"/>
    <n v="0.17460999999999999"/>
    <n v="0"/>
  </r>
  <r>
    <x v="0"/>
    <x v="124"/>
    <n v="125"/>
    <n v="4.4189999999999996"/>
    <n v="44.19"/>
    <n v="0.36470999999999998"/>
    <n v="18.235499999999998"/>
    <n v="0.99875999999999998"/>
    <n v="49.938000000000002"/>
    <n v="0.41435"/>
    <n v="20.717500000000001"/>
    <n v="0.42215000000000003"/>
    <n v="5.8389999999999997E-2"/>
    <n v="0"/>
  </r>
  <r>
    <x v="0"/>
    <x v="125"/>
    <n v="126"/>
    <n v="4.3689999999999998"/>
    <n v="43.69"/>
    <n v="0.44024999999999997"/>
    <n v="22.012499999999999"/>
    <n v="0.59206999999999999"/>
    <n v="29.6035"/>
    <n v="0.36291000000000001"/>
    <n v="18.145500000000002"/>
    <n v="0.46073999999999998"/>
    <n v="0.28105000000000002"/>
    <n v="0"/>
  </r>
  <r>
    <x v="0"/>
    <x v="126"/>
    <n v="127"/>
    <n v="4.3499999999999996"/>
    <n v="43.499999999999993"/>
    <n v="0.76820999999999995"/>
    <n v="38.410499999999999"/>
    <n v="0.77710999999999997"/>
    <n v="38.855499999999999"/>
    <n v="0.72989999999999999"/>
    <n v="36.494999999999997"/>
    <n v="0.19847000000000001"/>
    <n v="3.9E-2"/>
    <n v="0"/>
  </r>
  <r>
    <x v="0"/>
    <x v="127"/>
    <n v="128"/>
    <n v="4.3319999999999999"/>
    <n v="43.32"/>
    <n v="0.99355000000000004"/>
    <n v="49.677500000000002"/>
    <n v="1.1046400000000001"/>
    <n v="55.232000000000006"/>
    <n v="4.7759999999999997E-2"/>
    <n v="2.3879999999999999"/>
    <n v="0.49495"/>
    <n v="0.12474"/>
    <n v="0"/>
  </r>
  <r>
    <x v="0"/>
    <x v="128"/>
    <n v="129"/>
    <n v="4.3070000000000004"/>
    <n v="43.070000000000007"/>
    <n v="0.27107999999999999"/>
    <n v="13.553999999999998"/>
    <n v="0.70904999999999996"/>
    <n v="35.452500000000001"/>
    <n v="0.48246"/>
    <n v="24.123000000000001"/>
    <n v="0.44017000000000001"/>
    <n v="0.19034000000000001"/>
    <n v="0"/>
  </r>
  <r>
    <x v="0"/>
    <x v="129"/>
    <n v="130"/>
    <n v="4.2969999999999997"/>
    <n v="42.97"/>
    <n v="0.7419"/>
    <n v="37.094999999999999"/>
    <n v="0.38562000000000002"/>
    <n v="19.281000000000002"/>
    <n v="0.72926000000000002"/>
    <n v="36.463000000000001"/>
    <n v="0.40577000000000002"/>
    <n v="0.38330999999999998"/>
    <n v="0"/>
  </r>
  <r>
    <x v="0"/>
    <x v="130"/>
    <n v="131"/>
    <n v="4.2919999999999998"/>
    <n v="42.92"/>
    <n v="1.6039999999999999E-2"/>
    <n v="0.80199999999999994"/>
    <n v="0.41133999999999998"/>
    <n v="20.567"/>
    <n v="0.22561999999999999"/>
    <n v="11.280999999999999"/>
    <n v="0.43053999999999998"/>
    <n v="6.9769999999999999E-2"/>
    <n v="0"/>
  </r>
  <r>
    <x v="0"/>
    <x v="131"/>
    <n v="132"/>
    <n v="4.2709999999999999"/>
    <n v="42.709999999999994"/>
    <n v="0.83523999999999998"/>
    <n v="41.762"/>
    <n v="1.01905"/>
    <n v="50.952500000000001"/>
    <n v="0.70806000000000002"/>
    <n v="35.402999999999999"/>
    <n v="0.53725999999999996"/>
    <n v="9.1789999999999997E-2"/>
    <n v="0"/>
  </r>
  <r>
    <x v="0"/>
    <x v="132"/>
    <n v="133"/>
    <n v="4.2519999999999998"/>
    <n v="42.519999999999996"/>
    <n v="0.42249999999999999"/>
    <n v="21.125"/>
    <n v="0.88766999999999996"/>
    <n v="44.383499999999998"/>
    <n v="0.23402000000000001"/>
    <n v="11.701000000000001"/>
    <n v="0.49308999999999997"/>
    <n v="5.7860000000000002E-2"/>
    <n v="0"/>
  </r>
  <r>
    <x v="0"/>
    <x v="133"/>
    <n v="134"/>
    <n v="4.218"/>
    <n v="42.18"/>
    <n v="1.0121599999999999"/>
    <n v="50.607999999999997"/>
    <n v="1.1061399999999999"/>
    <n v="55.306999999999995"/>
    <n v="0.76649"/>
    <n v="38.3245"/>
    <n v="0.30586999999999998"/>
    <n v="8.7200000000000003E-3"/>
    <n v="0"/>
  </r>
  <r>
    <x v="0"/>
    <x v="134"/>
    <n v="135"/>
    <n v="4.194"/>
    <n v="41.94"/>
    <n v="0.88180000000000003"/>
    <n v="44.09"/>
    <n v="0.747"/>
    <n v="37.35"/>
    <n v="0.61712"/>
    <n v="30.856000000000002"/>
    <n v="0.17288000000000001"/>
    <n v="6.3240000000000005E-2"/>
    <n v="0"/>
  </r>
  <r>
    <x v="0"/>
    <x v="135"/>
    <n v="136"/>
    <n v="4.077"/>
    <n v="40.769999999999996"/>
    <n v="0.54649000000000003"/>
    <n v="27.3245"/>
    <n v="0.68093000000000004"/>
    <n v="34.046500000000002"/>
    <n v="0.40064"/>
    <n v="20.032"/>
    <n v="0.35571000000000003"/>
    <n v="7.8539999999999999E-2"/>
    <n v="0"/>
  </r>
  <r>
    <x v="0"/>
    <x v="136"/>
    <n v="137"/>
    <n v="4.0330000000000004"/>
    <n v="40.33"/>
    <n v="0.75778000000000001"/>
    <n v="37.889000000000003"/>
    <n v="0.86040000000000005"/>
    <n v="43.02"/>
    <n v="0.16683000000000001"/>
    <n v="8.3414999999999999"/>
    <n v="0.10384"/>
    <n v="7.1220000000000006E-2"/>
    <n v="0"/>
  </r>
  <r>
    <x v="0"/>
    <x v="137"/>
    <n v="138"/>
    <n v="3.9950000000000001"/>
    <n v="39.950000000000003"/>
    <n v="0.26074000000000003"/>
    <n v="13.037000000000001"/>
    <n v="1.0352600000000001"/>
    <n v="51.763000000000005"/>
    <n v="0.20583000000000001"/>
    <n v="10.291500000000001"/>
    <n v="0.38857000000000003"/>
    <n v="0.12352"/>
    <n v="0"/>
  </r>
  <r>
    <x v="0"/>
    <x v="138"/>
    <n v="139"/>
    <n v="3.9889999999999999"/>
    <n v="39.89"/>
    <n v="0.67866000000000004"/>
    <n v="33.933"/>
    <n v="0.66290000000000004"/>
    <n v="33.145000000000003"/>
    <n v="0.31051000000000001"/>
    <n v="15.525500000000001"/>
    <n v="0.41465999999999997"/>
    <n v="0.11686000000000001"/>
    <n v="0"/>
  </r>
  <r>
    <x v="0"/>
    <x v="139"/>
    <n v="140"/>
    <n v="3.956"/>
    <n v="39.56"/>
    <n v="0.23905999999999999"/>
    <n v="11.952999999999999"/>
    <n v="0.79273000000000005"/>
    <n v="39.636500000000005"/>
    <n v="0.36314999999999997"/>
    <n v="18.157499999999999"/>
    <n v="0.22917000000000001"/>
    <n v="0.19900000000000001"/>
    <n v="0"/>
  </r>
  <r>
    <x v="0"/>
    <x v="140"/>
    <n v="141"/>
    <n v="3.931"/>
    <n v="39.31"/>
    <n v="0.21102000000000001"/>
    <n v="10.551"/>
    <n v="1.1329899999999999"/>
    <n v="56.649499999999996"/>
    <n v="0.33861000000000002"/>
    <n v="16.930500000000002"/>
    <n v="0.45727000000000001"/>
    <n v="7.2669999999999998E-2"/>
    <n v="0"/>
  </r>
  <r>
    <x v="0"/>
    <x v="141"/>
    <n v="142"/>
    <n v="3.9039999999999999"/>
    <n v="39.04"/>
    <n v="0.36498000000000003"/>
    <n v="18.249000000000002"/>
    <n v="0.97619"/>
    <n v="48.8095"/>
    <n v="0.43540000000000001"/>
    <n v="21.77"/>
    <n v="0.36771999999999999"/>
    <n v="0.10713"/>
    <n v="0"/>
  </r>
  <r>
    <x v="0"/>
    <x v="142"/>
    <n v="143"/>
    <n v="3.8959999999999999"/>
    <n v="38.959999999999994"/>
    <n v="1.0602400000000001"/>
    <n v="53.012"/>
    <n v="0.90527999999999997"/>
    <n v="45.263999999999996"/>
    <n v="0.43371999999999999"/>
    <n v="21.686"/>
    <n v="0.31913999999999998"/>
    <n v="0.11090999999999999"/>
    <n v="0"/>
  </r>
  <r>
    <x v="0"/>
    <x v="143"/>
    <n v="144"/>
    <n v="3.8450000000000002"/>
    <n v="38.450000000000003"/>
    <n v="6.9400000000000003E-2"/>
    <n v="3.47"/>
    <n v="0.77264999999999995"/>
    <n v="38.6325"/>
    <n v="0.29707"/>
    <n v="14.8535"/>
    <n v="0.47692000000000001"/>
    <n v="0.15639"/>
    <n v="0"/>
  </r>
  <r>
    <x v="0"/>
    <x v="144"/>
    <n v="145"/>
    <n v="3.819"/>
    <n v="38.19"/>
    <n v="0.46038000000000001"/>
    <n v="23.019000000000002"/>
    <n v="0.62736000000000003"/>
    <n v="31.368000000000002"/>
    <n v="0.61114000000000002"/>
    <n v="30.557000000000002"/>
    <n v="0.66246000000000005"/>
    <n v="7.2470000000000007E-2"/>
    <n v="0"/>
  </r>
  <r>
    <x v="0"/>
    <x v="145"/>
    <n v="146"/>
    <n v="3.7810000000000001"/>
    <n v="37.81"/>
    <n v="0.28520000000000001"/>
    <n v="14.26"/>
    <n v="1.00268"/>
    <n v="50.134"/>
    <n v="0.38214999999999999"/>
    <n v="19.107499999999998"/>
    <n v="0.32878000000000002"/>
    <n v="5.747E-2"/>
    <n v="0"/>
  </r>
  <r>
    <x v="0"/>
    <x v="146"/>
    <n v="147"/>
    <n v="3.681"/>
    <n v="36.81"/>
    <n v="0.20824000000000001"/>
    <n v="10.412000000000001"/>
    <n v="0.66800999999999999"/>
    <n v="33.400500000000001"/>
    <n v="0.46721000000000001"/>
    <n v="23.360500000000002"/>
    <n v="0.19184000000000001"/>
    <n v="8.1240000000000007E-2"/>
    <n v="0"/>
  </r>
  <r>
    <x v="0"/>
    <x v="147"/>
    <n v="148"/>
    <n v="3.6779999999999999"/>
    <n v="36.78"/>
    <n v="7.85E-2"/>
    <n v="3.9249999999999998"/>
    <n v="0"/>
    <n v="0"/>
    <n v="6.6989999999999994E-2"/>
    <n v="3.3494999999999999"/>
    <n v="0.48879"/>
    <n v="8.2890000000000005E-2"/>
    <n v="0"/>
  </r>
  <r>
    <x v="0"/>
    <x v="148"/>
    <n v="149"/>
    <n v="3.6669999999999998"/>
    <n v="36.67"/>
    <n v="0.34193000000000001"/>
    <n v="17.096499999999999"/>
    <n v="0.76061999999999996"/>
    <n v="38.030999999999999"/>
    <n v="0.15010000000000001"/>
    <n v="7.5050000000000008"/>
    <n v="0.23501"/>
    <n v="5.2690000000000001E-2"/>
    <n v="0"/>
  </r>
  <r>
    <x v="0"/>
    <x v="149"/>
    <n v="150"/>
    <n v="3.6560000000000001"/>
    <n v="36.56"/>
    <n v="0.17416999999999999"/>
    <n v="8.708499999999999"/>
    <n v="0.46475"/>
    <n v="23.237500000000001"/>
    <n v="0.24009"/>
    <n v="12.0045"/>
    <n v="0.37724999999999997"/>
    <n v="0.12139"/>
    <n v="0"/>
  </r>
  <r>
    <x v="0"/>
    <x v="150"/>
    <n v="151"/>
    <n v="3.6549999999999998"/>
    <n v="36.549999999999997"/>
    <n v="0.46533999999999998"/>
    <n v="23.266999999999999"/>
    <n v="0.77115"/>
    <n v="38.557499999999997"/>
    <n v="0.15185000000000001"/>
    <n v="7.5925000000000002"/>
    <n v="0.46866000000000002"/>
    <n v="0.17921999999999999"/>
    <n v="0"/>
  </r>
  <r>
    <x v="0"/>
    <x v="151"/>
    <n v="152"/>
    <n v="3.5870000000000002"/>
    <n v="35.870000000000005"/>
    <n v="0.25812000000000002"/>
    <n v="12.906000000000001"/>
    <n v="0.85187999999999997"/>
    <n v="42.594000000000001"/>
    <n v="0.27124999999999999"/>
    <n v="13.5625"/>
    <n v="0.39493"/>
    <n v="0.12831999999999999"/>
    <n v="0"/>
  </r>
  <r>
    <x v="0"/>
    <x v="152"/>
    <n v="153"/>
    <n v="3.5750000000000002"/>
    <n v="35.75"/>
    <n v="0.31981999999999999"/>
    <n v="15.991"/>
    <n v="0.30285000000000001"/>
    <n v="15.1425"/>
    <n v="0.30335000000000001"/>
    <n v="15.1675"/>
    <n v="0.23413999999999999"/>
    <n v="9.7189999999999999E-2"/>
    <n v="0"/>
  </r>
  <r>
    <x v="0"/>
    <x v="153"/>
    <n v="154"/>
    <n v="3.4649999999999999"/>
    <n v="34.65"/>
    <n v="0.22208"/>
    <n v="11.103999999999999"/>
    <n v="0.77370000000000005"/>
    <n v="38.685000000000002"/>
    <n v="0.42864000000000002"/>
    <n v="21.432000000000002"/>
    <n v="0.59201000000000004"/>
    <n v="0.55191000000000001"/>
    <n v="0"/>
  </r>
  <r>
    <x v="0"/>
    <x v="154"/>
    <n v="155"/>
    <n v="3.34"/>
    <n v="33.4"/>
    <n v="0.28665000000000002"/>
    <n v="14.332500000000001"/>
    <n v="0.35386000000000001"/>
    <n v="17.693000000000001"/>
    <n v="0.31909999999999999"/>
    <n v="15.955"/>
    <n v="0.48449999999999999"/>
    <n v="8.0100000000000005E-2"/>
    <n v="0"/>
  </r>
  <r>
    <x v="0"/>
    <x v="155"/>
    <n v="156"/>
    <n v="3.0059999999999998"/>
    <n v="30.059999999999995"/>
    <n v="0.66320000000000001"/>
    <n v="33.160000000000004"/>
    <n v="0.47488999999999998"/>
    <n v="23.744499999999999"/>
    <n v="0.72192999999999996"/>
    <n v="36.096499999999999"/>
    <n v="0.15684000000000001"/>
    <n v="0.18906000000000001"/>
    <n v="0"/>
  </r>
  <r>
    <x v="0"/>
    <x v="156"/>
    <n v="157"/>
    <n v="2.9049999999999998"/>
    <n v="29.05"/>
    <n v="1.5299999999999999E-2"/>
    <n v="0.76500000000000001"/>
    <n v="0.41587000000000002"/>
    <n v="20.793500000000002"/>
    <n v="0.22395999999999999"/>
    <n v="11.198"/>
    <n v="0.11849999999999999"/>
    <n v="0.10062"/>
    <n v="0"/>
  </r>
  <r>
    <x v="0"/>
    <x v="157"/>
    <n v="158"/>
    <n v="2.839"/>
    <n v="28.389999999999997"/>
    <n v="0.20868"/>
    <n v="10.434000000000001"/>
    <n v="0.13994999999999999"/>
    <n v="6.9974999999999996"/>
    <n v="0.28443000000000002"/>
    <n v="14.221500000000001"/>
    <n v="0.36453000000000002"/>
    <n v="0.10731"/>
    <n v="0"/>
  </r>
  <r>
    <x v="1"/>
    <x v="2"/>
    <n v="1"/>
    <n v="7.5259999999999998"/>
    <n v="75.260000000000005"/>
    <n v="1.4417800000000001"/>
    <n v="72.088999999999999"/>
    <n v="1.16374"/>
    <n v="58.186999999999998"/>
    <n v="0.79503999999999997"/>
    <n v="39.751999999999995"/>
    <n v="0.57940999999999998"/>
    <n v="0.44452999999999998"/>
    <n v="0.36170999999999998"/>
  </r>
  <r>
    <x v="1"/>
    <x v="0"/>
    <n v="2"/>
    <n v="7.5090000000000003"/>
    <n v="75.09"/>
    <n v="1.5273300000000001"/>
    <n v="76.366500000000002"/>
    <n v="1.14524"/>
    <n v="57.262"/>
    <n v="0.86302999999999996"/>
    <n v="43.151499999999999"/>
    <n v="0.58557000000000003"/>
    <n v="0.41203000000000001"/>
    <n v="0.28083000000000002"/>
  </r>
  <r>
    <x v="1"/>
    <x v="1"/>
    <n v="3"/>
    <n v="7.5010000000000003"/>
    <n v="75.010000000000005"/>
    <n v="1.42666"/>
    <n v="71.332999999999998"/>
    <n v="1.18326"/>
    <n v="59.162999999999997"/>
    <n v="0.86733000000000005"/>
    <n v="43.366500000000002"/>
    <n v="0.56623999999999997"/>
    <n v="0.14974999999999999"/>
    <n v="0.47677999999999998"/>
  </r>
  <r>
    <x v="1"/>
    <x v="3"/>
    <n v="4"/>
    <n v="7.4980000000000002"/>
    <n v="74.98"/>
    <n v="1.57744"/>
    <n v="78.872"/>
    <n v="1.1269"/>
    <n v="56.344999999999999"/>
    <n v="0.79579"/>
    <n v="39.789499999999997"/>
    <n v="0.59609000000000001"/>
    <n v="0.35776000000000002"/>
    <n v="0.37895000000000001"/>
  </r>
  <r>
    <x v="1"/>
    <x v="5"/>
    <n v="5"/>
    <n v="7.4130000000000003"/>
    <n v="74.13000000000001"/>
    <n v="1.40598"/>
    <n v="70.299000000000007"/>
    <n v="1.1346400000000001"/>
    <n v="56.732000000000006"/>
    <n v="0.81091000000000002"/>
    <n v="40.545500000000004"/>
    <n v="0.57103999999999999"/>
    <n v="0.41004000000000002"/>
    <n v="0.25491999999999998"/>
  </r>
  <r>
    <x v="1"/>
    <x v="4"/>
    <n v="6"/>
    <n v="7.4039999999999999"/>
    <n v="74.039999999999992"/>
    <n v="1.44015"/>
    <n v="72.007500000000007"/>
    <n v="1.0961000000000001"/>
    <n v="54.805000000000007"/>
    <n v="0.8276"/>
    <n v="41.38"/>
    <n v="0.57369999999999999"/>
    <n v="0.31329000000000001"/>
    <n v="0.44834000000000002"/>
  </r>
  <r>
    <x v="1"/>
    <x v="6"/>
    <n v="7"/>
    <n v="7.3390000000000004"/>
    <n v="73.390000000000015"/>
    <n v="1.46468"/>
    <n v="73.233999999999995"/>
    <n v="1.02912"/>
    <n v="51.456000000000003"/>
    <n v="0.81230999999999998"/>
    <n v="40.615499999999997"/>
    <n v="0.55210999999999999"/>
    <n v="0.29926999999999998"/>
    <n v="0.47416000000000003"/>
  </r>
  <r>
    <x v="1"/>
    <x v="8"/>
    <n v="8"/>
    <n v="7.3339999999999996"/>
    <n v="73.34"/>
    <n v="1.36066"/>
    <n v="68.033000000000001"/>
    <n v="1.1727799999999999"/>
    <n v="58.638999999999996"/>
    <n v="0.83096000000000003"/>
    <n v="41.548000000000002"/>
    <n v="0.58147000000000004"/>
    <n v="0.41904000000000002"/>
    <n v="0.49401"/>
  </r>
  <r>
    <x v="1"/>
    <x v="9"/>
    <n v="9"/>
    <n v="7.3129999999999997"/>
    <n v="73.13"/>
    <n v="1.4444300000000001"/>
    <n v="72.221500000000006"/>
    <n v="1.10476"/>
    <n v="55.238"/>
    <n v="0.85119999999999996"/>
    <n v="42.559999999999995"/>
    <n v="0.56837000000000004"/>
    <n v="0.32330999999999999"/>
    <n v="0.47406999999999999"/>
  </r>
  <r>
    <x v="1"/>
    <x v="7"/>
    <n v="10"/>
    <n v="7.2910000000000004"/>
    <n v="72.91"/>
    <n v="1.45181"/>
    <n v="72.590500000000006"/>
    <n v="1.0876399999999999"/>
    <n v="54.381999999999998"/>
    <n v="0.83121"/>
    <n v="41.560499999999998"/>
    <n v="0.58218000000000003"/>
    <n v="0.40866999999999998"/>
    <n v="0.38253999999999999"/>
  </r>
  <r>
    <x v="1"/>
    <x v="10"/>
    <n v="11"/>
    <n v="7.2670000000000003"/>
    <n v="72.67"/>
    <n v="1.3376600000000001"/>
    <n v="66.88300000000001"/>
    <n v="0.99536999999999998"/>
    <n v="49.768499999999996"/>
    <n v="0.84916999999999998"/>
    <n v="42.458500000000001"/>
    <n v="0.36431999999999998"/>
    <n v="8.7279999999999996E-2"/>
    <n v="0.32288"/>
  </r>
  <r>
    <x v="1"/>
    <x v="12"/>
    <n v="12"/>
    <n v="7.1189999999999998"/>
    <n v="71.19"/>
    <n v="1.45038"/>
    <n v="72.519000000000005"/>
    <n v="1.0838300000000001"/>
    <n v="54.191500000000005"/>
    <n v="0.80564999999999998"/>
    <n v="40.282499999999999"/>
    <n v="0.54354999999999998"/>
    <n v="0.21348"/>
    <n v="0.32865"/>
  </r>
  <r>
    <x v="1"/>
    <x v="14"/>
    <n v="13"/>
    <n v="7.1040000000000001"/>
    <n v="71.039999999999992"/>
    <n v="1.50796"/>
    <n v="75.397999999999996"/>
    <n v="1.04782"/>
    <n v="52.390999999999998"/>
    <n v="0.77900000000000003"/>
    <n v="38.950000000000003"/>
    <n v="0.48163"/>
    <n v="0.14868000000000001"/>
    <n v="0.41077000000000002"/>
  </r>
  <r>
    <x v="1"/>
    <x v="11"/>
    <n v="14"/>
    <n v="7.0869999999999997"/>
    <n v="70.86999999999999"/>
    <n v="1.0687899999999999"/>
    <n v="53.439499999999995"/>
    <n v="1.02152"/>
    <n v="51.076000000000001"/>
    <n v="0.76146000000000003"/>
    <n v="38.073"/>
    <n v="0.55225000000000002"/>
    <n v="0.10546999999999999"/>
    <n v="0.22553000000000001"/>
  </r>
  <r>
    <x v="1"/>
    <x v="158"/>
    <n v="15"/>
    <n v="7.0389999999999997"/>
    <n v="70.39"/>
    <n v="1.3594299999999999"/>
    <n v="67.971499999999992"/>
    <n v="1.0811299999999999"/>
    <n v="54.0565"/>
    <n v="0.77758000000000005"/>
    <n v="38.879000000000005"/>
    <n v="0.46822999999999998"/>
    <n v="0.12275"/>
    <n v="0.22202"/>
  </r>
  <r>
    <x v="1"/>
    <x v="25"/>
    <n v="16"/>
    <n v="6.9939999999999998"/>
    <n v="69.94"/>
    <n v="1.44787"/>
    <n v="72.393500000000003"/>
    <n v="1.0977399999999999"/>
    <n v="54.887"/>
    <n v="0.81486999999999998"/>
    <n v="40.743499999999997"/>
    <n v="0.53466000000000002"/>
    <n v="0.28550999999999999"/>
    <n v="0.30452000000000001"/>
  </r>
  <r>
    <x v="1"/>
    <x v="15"/>
    <n v="17"/>
    <n v="6.952"/>
    <n v="69.52000000000001"/>
    <n v="1.08754"/>
    <n v="54.376999999999995"/>
    <n v="1.03938"/>
    <n v="51.969000000000001"/>
    <n v="0.61414999999999997"/>
    <n v="30.7075"/>
    <n v="0.40425"/>
    <n v="0.14166000000000001"/>
    <n v="0.15776000000000001"/>
  </r>
  <r>
    <x v="1"/>
    <x v="18"/>
    <n v="18"/>
    <n v="6.9290000000000003"/>
    <n v="69.289999999999992"/>
    <n v="1.4253899999999999"/>
    <n v="71.269499999999994"/>
    <n v="1.0524899999999999"/>
    <n v="52.624499999999998"/>
    <n v="0.81959000000000004"/>
    <n v="40.979500000000002"/>
    <n v="0.51354"/>
    <n v="0.26247999999999999"/>
    <n v="0.2424"/>
  </r>
  <r>
    <x v="1"/>
    <x v="17"/>
    <n v="19"/>
    <n v="6.907"/>
    <n v="69.070000000000007"/>
    <n v="1.4834099999999999"/>
    <n v="74.17049999999999"/>
    <n v="1.16157"/>
    <n v="58.078499999999998"/>
    <n v="0.81455"/>
    <n v="40.727499999999999"/>
    <n v="0.54008"/>
    <n v="0.29754000000000003"/>
    <n v="0.44962999999999997"/>
  </r>
  <r>
    <x v="1"/>
    <x v="16"/>
    <n v="20"/>
    <n v="6.8710000000000004"/>
    <n v="68.710000000000008"/>
    <n v="1.6975199999999999"/>
    <n v="84.875999999999991"/>
    <n v="1.03999"/>
    <n v="51.999499999999998"/>
    <n v="0.84541999999999995"/>
    <n v="42.271000000000001"/>
    <n v="0.54869999999999997"/>
    <n v="0.35328999999999999"/>
    <n v="0.27571000000000001"/>
  </r>
  <r>
    <x v="1"/>
    <x v="13"/>
    <n v="21"/>
    <n v="6.7779999999999996"/>
    <n v="67.78"/>
    <n v="1.1150800000000001"/>
    <n v="55.754000000000005"/>
    <n v="0.71460000000000001"/>
    <n v="35.730000000000004"/>
    <n v="0.71143000000000001"/>
    <n v="35.5715"/>
    <n v="0.37708999999999998"/>
    <n v="0.18354999999999999"/>
    <n v="0.11735"/>
  </r>
  <r>
    <x v="1"/>
    <x v="23"/>
    <n v="22"/>
    <n v="6.7389999999999999"/>
    <n v="67.39"/>
    <n v="1.6455500000000001"/>
    <n v="82.277500000000003"/>
    <n v="0.86758000000000002"/>
    <n v="43.378999999999998"/>
    <n v="0.94718999999999998"/>
    <n v="47.359499999999997"/>
    <n v="0.48770000000000002"/>
    <n v="0.46987000000000001"/>
    <n v="0.32706000000000002"/>
  </r>
  <r>
    <x v="1"/>
    <x v="20"/>
    <n v="23"/>
    <n v="6.7249999999999996"/>
    <n v="67.25"/>
    <n v="1.40283"/>
    <n v="70.141500000000008"/>
    <n v="1.0867199999999999"/>
    <n v="54.335999999999999"/>
    <n v="0.80991000000000002"/>
    <n v="40.4955"/>
    <n v="0.50036000000000003"/>
    <n v="0.27399000000000001"/>
    <n v="0.50156000000000001"/>
  </r>
  <r>
    <x v="1"/>
    <x v="26"/>
    <n v="24"/>
    <n v="6.7050000000000001"/>
    <n v="67.05"/>
    <n v="1.2166999999999999"/>
    <n v="60.834999999999994"/>
    <n v="0.90586999999999995"/>
    <n v="45.293499999999995"/>
    <n v="0.81882999999999995"/>
    <n v="40.941499999999998"/>
    <n v="0.37789"/>
    <n v="0.11451"/>
    <n v="0.31595000000000001"/>
  </r>
  <r>
    <x v="1"/>
    <x v="24"/>
    <n v="25"/>
    <n v="6.7009999999999996"/>
    <n v="67.009999999999991"/>
    <n v="1.18306"/>
    <n v="59.152999999999999"/>
    <n v="0.98912"/>
    <n v="49.456000000000003"/>
    <n v="0.70835000000000004"/>
    <n v="35.417500000000004"/>
    <n v="0.48926999999999998"/>
    <n v="8.4229999999999999E-2"/>
    <n v="0.24179999999999999"/>
  </r>
  <r>
    <x v="1"/>
    <x v="29"/>
    <n v="26"/>
    <n v="6.65"/>
    <n v="66.5"/>
    <n v="1.15137"/>
    <n v="57.5685"/>
    <n v="1.06612"/>
    <n v="53.305999999999997"/>
    <n v="0.69711000000000001"/>
    <n v="34.855499999999999"/>
    <n v="0.42283999999999999"/>
    <n v="7.2959999999999997E-2"/>
    <n v="0.10989"/>
  </r>
  <r>
    <x v="1"/>
    <x v="30"/>
    <n v="27"/>
    <n v="6.5960000000000001"/>
    <n v="65.960000000000008"/>
    <n v="1.30915"/>
    <n v="65.457499999999996"/>
    <n v="1.00793"/>
    <n v="50.396500000000003"/>
    <n v="0.76375999999999999"/>
    <n v="38.188000000000002"/>
    <n v="0.41417999999999999"/>
    <n v="3.986E-2"/>
    <n v="9.9290000000000003E-2"/>
  </r>
  <r>
    <x v="1"/>
    <x v="19"/>
    <n v="28"/>
    <n v="6.5730000000000004"/>
    <n v="65.73"/>
    <n v="1.57352"/>
    <n v="78.676000000000002"/>
    <n v="0.87114000000000003"/>
    <n v="43.557000000000002"/>
    <n v="0.72992999999999997"/>
    <n v="36.496499999999997"/>
    <n v="0.56215000000000004"/>
    <n v="0.35560999999999998"/>
    <n v="0.26590999999999998"/>
  </r>
  <r>
    <x v="1"/>
    <x v="31"/>
    <n v="29"/>
    <n v="6.5449999999999999"/>
    <n v="65.45"/>
    <n v="1.18157"/>
    <n v="59.078499999999998"/>
    <n v="1.0314300000000001"/>
    <n v="51.5715"/>
    <n v="0.72182999999999997"/>
    <n v="36.091499999999996"/>
    <n v="0.54388000000000003"/>
    <n v="0.21393999999999999"/>
    <n v="0.18056"/>
  </r>
  <r>
    <x v="1"/>
    <x v="36"/>
    <n v="30"/>
    <n v="6.4880000000000004"/>
    <n v="64.88000000000001"/>
    <n v="1.30782"/>
    <n v="65.391000000000005"/>
    <n v="1.0987899999999999"/>
    <n v="54.939499999999995"/>
    <n v="0.80315000000000003"/>
    <n v="40.157499999999999"/>
    <n v="0.54993999999999998"/>
    <n v="0.17554"/>
    <n v="0.56237000000000004"/>
  </r>
  <r>
    <x v="1"/>
    <x v="32"/>
    <n v="31"/>
    <n v="6.4809999999999999"/>
    <n v="64.81"/>
    <n v="1.0303199999999999"/>
    <n v="51.515999999999998"/>
    <n v="1.02169"/>
    <n v="51.084499999999998"/>
    <n v="0.59658999999999995"/>
    <n v="29.829499999999996"/>
    <n v="0.44735000000000003"/>
    <n v="5.3990000000000003E-2"/>
    <n v="0.15626000000000001"/>
  </r>
  <r>
    <x v="1"/>
    <x v="28"/>
    <n v="32"/>
    <n v="6.4779999999999998"/>
    <n v="64.78"/>
    <n v="1.3948799999999999"/>
    <n v="69.744"/>
    <n v="1.00508"/>
    <n v="50.253999999999998"/>
    <n v="0.83794999999999997"/>
    <n v="41.897500000000001"/>
    <n v="0.46561999999999998"/>
    <n v="0.17807999999999999"/>
    <n v="0.1216"/>
  </r>
  <r>
    <x v="1"/>
    <x v="33"/>
    <n v="33"/>
    <n v="6.4740000000000002"/>
    <n v="64.739999999999995"/>
    <n v="1.0892999999999999"/>
    <n v="54.464999999999996"/>
    <n v="1.04477"/>
    <n v="52.238500000000002"/>
    <n v="0.64915"/>
    <n v="32.457500000000003"/>
    <n v="0.49553000000000003"/>
    <n v="2.8330000000000001E-2"/>
    <n v="0.58696000000000004"/>
  </r>
  <r>
    <x v="1"/>
    <x v="34"/>
    <n v="34"/>
    <n v="6.3789999999999996"/>
    <n v="63.79"/>
    <n v="1.48953"/>
    <n v="74.476500000000001"/>
    <n v="0.84828999999999999"/>
    <n v="42.414499999999997"/>
    <n v="0.59267000000000003"/>
    <n v="29.633500000000002"/>
    <n v="0.37903999999999999"/>
    <n v="0.30008000000000001"/>
    <n v="0.15457000000000001"/>
  </r>
  <r>
    <x v="1"/>
    <x v="37"/>
    <n v="34"/>
    <n v="6.3789999999999996"/>
    <n v="63.79"/>
    <n v="1.3972899999999999"/>
    <n v="69.864499999999992"/>
    <n v="0.92623999999999995"/>
    <n v="46.311999999999998"/>
    <n v="0.79564999999999997"/>
    <n v="39.782499999999999"/>
    <n v="0.32377"/>
    <n v="6.6299999999999998E-2"/>
    <n v="0.25495000000000001"/>
  </r>
  <r>
    <x v="1"/>
    <x v="27"/>
    <n v="36"/>
    <n v="6.375"/>
    <n v="63.75"/>
    <n v="1.8242700000000001"/>
    <n v="91.213499999999996"/>
    <n v="0.87963999999999998"/>
    <n v="43.981999999999999"/>
    <n v="0.71723000000000003"/>
    <n v="35.861499999999999"/>
    <n v="0.56679000000000002"/>
    <n v="0.48048999999999997"/>
    <n v="0.32388"/>
  </r>
  <r>
    <x v="1"/>
    <x v="35"/>
    <n v="37"/>
    <n v="6.3609999999999998"/>
    <n v="63.61"/>
    <n v="1.34253"/>
    <n v="67.126499999999993"/>
    <n v="1.1294500000000001"/>
    <n v="56.472500000000004"/>
    <n v="0.87895999999999996"/>
    <n v="43.948"/>
    <n v="0.37545000000000001"/>
    <n v="6.1370000000000001E-2"/>
    <n v="0.17665"/>
  </r>
  <r>
    <x v="1"/>
    <x v="67"/>
    <n v="38"/>
    <n v="6.3550000000000004"/>
    <n v="63.55"/>
    <n v="1.0526599999999999"/>
    <n v="52.632999999999996"/>
    <n v="0.83309"/>
    <n v="41.654499999999999"/>
    <n v="0.61804000000000003"/>
    <n v="30.902000000000001"/>
    <n v="0.21006"/>
    <n v="0.16156999999999999"/>
    <n v="7.0440000000000003E-2"/>
  </r>
  <r>
    <x v="1"/>
    <x v="42"/>
    <n v="39"/>
    <n v="6.3239999999999998"/>
    <n v="63.239999999999995"/>
    <n v="0.83453999999999995"/>
    <n v="41.726999999999997"/>
    <n v="0.87119000000000002"/>
    <n v="43.5595"/>
    <n v="0.54039000000000004"/>
    <n v="27.019500000000001"/>
    <n v="0.50378999999999996"/>
    <n v="8.7010000000000004E-2"/>
    <n v="0.28808"/>
  </r>
  <r>
    <x v="1"/>
    <x v="39"/>
    <n v="40"/>
    <n v="6.2690000000000001"/>
    <n v="62.69"/>
    <n v="1.0968599999999999"/>
    <n v="54.842999999999996"/>
    <n v="0.77866000000000002"/>
    <n v="38.933"/>
    <n v="0.50932999999999995"/>
    <n v="25.466499999999996"/>
    <n v="0.52234000000000003"/>
    <n v="0.12692000000000001"/>
    <n v="0.16664999999999999"/>
  </r>
  <r>
    <x v="1"/>
    <x v="38"/>
    <n v="41"/>
    <n v="6.2389999999999999"/>
    <n v="62.39"/>
    <n v="1.61714"/>
    <n v="80.856999999999999"/>
    <n v="0.87758000000000003"/>
    <n v="43.879000000000005"/>
    <n v="0.63568999999999998"/>
    <n v="31.784499999999998"/>
    <n v="0.43165999999999999"/>
    <n v="0.23669000000000001"/>
    <n v="0.15964999999999999"/>
  </r>
  <r>
    <x v="1"/>
    <x v="48"/>
    <n v="42"/>
    <n v="6.218"/>
    <n v="62.179999999999993"/>
    <n v="1.44024"/>
    <n v="72.012"/>
    <n v="0.94396999999999998"/>
    <n v="47.198499999999996"/>
    <n v="0.65695999999999999"/>
    <n v="32.847999999999999"/>
    <n v="0.47375"/>
    <n v="0.25772"/>
    <n v="0.17147000000000001"/>
  </r>
  <r>
    <x v="1"/>
    <x v="40"/>
    <n v="43"/>
    <n v="6.1680000000000001"/>
    <n v="61.680000000000007"/>
    <n v="1.32572"/>
    <n v="66.286000000000001"/>
    <n v="0.98568999999999996"/>
    <n v="49.284499999999994"/>
    <n v="0.52607999999999999"/>
    <n v="26.303999999999998"/>
    <n v="0.48453000000000002"/>
    <n v="1.2409999999999999E-2"/>
    <n v="0.31935000000000002"/>
  </r>
  <r>
    <x v="1"/>
    <x v="22"/>
    <n v="44"/>
    <n v="6.0839999999999996"/>
    <n v="60.839999999999996"/>
    <n v="1.13367"/>
    <n v="56.683499999999995"/>
    <n v="1.03302"/>
    <n v="51.651000000000003"/>
    <n v="0.61904000000000003"/>
    <n v="30.952000000000002"/>
    <n v="0.19847000000000001"/>
    <n v="8.3040000000000003E-2"/>
    <n v="4.2500000000000003E-2"/>
  </r>
  <r>
    <x v="1"/>
    <x v="44"/>
    <n v="45"/>
    <n v="6.0780000000000003"/>
    <n v="60.780000000000008"/>
    <n v="1.27973"/>
    <n v="63.986499999999999"/>
    <n v="1.0826800000000001"/>
    <n v="54.134000000000007"/>
    <n v="0.70367000000000002"/>
    <n v="35.183500000000002"/>
    <n v="0.23391000000000001"/>
    <n v="2.947E-2"/>
    <n v="0.13836999999999999"/>
  </r>
  <r>
    <x v="1"/>
    <x v="41"/>
    <n v="46"/>
    <n v="6.0679999999999996"/>
    <n v="60.679999999999993"/>
    <n v="0.87370000000000003"/>
    <n v="43.685000000000002"/>
    <n v="0.80974999999999997"/>
    <n v="40.487499999999997"/>
    <n v="0.59599999999999997"/>
    <n v="29.799999999999997"/>
    <n v="0.37269000000000002"/>
    <n v="0.10613"/>
    <n v="8.8770000000000002E-2"/>
  </r>
  <r>
    <x v="1"/>
    <x v="60"/>
    <n v="47"/>
    <n v="6.0049999999999999"/>
    <n v="60.05"/>
    <n v="1.25142"/>
    <n v="62.570999999999998"/>
    <n v="0.88024999999999998"/>
    <n v="44.012499999999996"/>
    <n v="0.62365999999999999"/>
    <n v="31.183"/>
    <n v="0.39030999999999999"/>
    <n v="9.0810000000000002E-2"/>
    <n v="0.41474"/>
  </r>
  <r>
    <x v="1"/>
    <x v="56"/>
    <n v="48"/>
    <n v="5.992"/>
    <n v="59.92"/>
    <n v="0.69384000000000001"/>
    <n v="34.692"/>
    <n v="0.89520999999999995"/>
    <n v="44.7605"/>
    <n v="0.65212999999999999"/>
    <n v="32.606499999999997"/>
    <n v="0.46582000000000001"/>
    <n v="0.16292000000000001"/>
    <n v="0.29772999999999999"/>
  </r>
  <r>
    <x v="1"/>
    <x v="43"/>
    <n v="49"/>
    <n v="5.9870000000000001"/>
    <n v="59.870000000000005"/>
    <n v="0.73590999999999995"/>
    <n v="36.795499999999997"/>
    <n v="1.1680999999999999"/>
    <n v="58.404999999999994"/>
    <n v="0.50163000000000002"/>
    <n v="25.081500000000002"/>
    <n v="0.60848000000000002"/>
    <n v="0.28333000000000003"/>
    <n v="0.34326000000000001"/>
  </r>
  <r>
    <x v="1"/>
    <x v="49"/>
    <n v="50"/>
    <n v="5.9770000000000003"/>
    <n v="59.77"/>
    <n v="1.3549500000000001"/>
    <n v="67.747500000000002"/>
    <n v="1.0416700000000001"/>
    <n v="52.083500000000008"/>
    <n v="0.85102"/>
    <n v="42.551000000000002"/>
    <n v="0.18826999999999999"/>
    <n v="2.5559999999999999E-2"/>
    <n v="0.16683999999999999"/>
  </r>
  <r>
    <x v="1"/>
    <x v="47"/>
    <n v="51"/>
    <n v="5.976"/>
    <n v="59.760000000000005"/>
    <n v="0.97306000000000004"/>
    <n v="48.652999999999999"/>
    <n v="0.85973999999999995"/>
    <n v="42.986999999999995"/>
    <n v="0.68613000000000002"/>
    <n v="34.3065"/>
    <n v="0.4027"/>
    <n v="0.18037"/>
    <n v="0.10074"/>
  </r>
  <r>
    <x v="1"/>
    <x v="159"/>
    <n v="52"/>
    <n v="5.9560000000000004"/>
    <n v="59.56"/>
    <n v="0.87616000000000005"/>
    <n v="43.808"/>
    <n v="0.68654999999999999"/>
    <n v="34.327500000000001"/>
    <n v="0.45568999999999998"/>
    <n v="22.784499999999998"/>
    <n v="0.51231000000000004"/>
    <n v="0.10771"/>
    <n v="0.23683999999999999"/>
  </r>
  <r>
    <x v="1"/>
    <x v="45"/>
    <n v="53"/>
    <n v="5.9210000000000003"/>
    <n v="59.21"/>
    <n v="1.3800699999999999"/>
    <n v="69.003500000000003"/>
    <n v="1.06054"/>
    <n v="53.027000000000001"/>
    <n v="0.91491"/>
    <n v="45.7455"/>
    <n v="0.46761000000000003"/>
    <n v="0.18984999999999999"/>
    <n v="0.10224"/>
  </r>
  <r>
    <x v="1"/>
    <x v="53"/>
    <n v="54"/>
    <n v="5.9189999999999996"/>
    <n v="59.19"/>
    <n v="1.22943"/>
    <n v="61.471499999999999"/>
    <n v="0.95543999999999996"/>
    <n v="47.771999999999998"/>
    <n v="0.57386000000000004"/>
    <n v="28.693000000000001"/>
    <n v="0.4052"/>
    <n v="0.11132"/>
    <n v="0.15010999999999999"/>
  </r>
  <r>
    <x v="1"/>
    <x v="51"/>
    <n v="55"/>
    <n v="5.8970000000000002"/>
    <n v="58.970000000000006"/>
    <n v="0.69177"/>
    <n v="34.588499999999996"/>
    <n v="0.83131999999999995"/>
    <n v="41.565999999999995"/>
    <n v="0.52309000000000005"/>
    <n v="26.154500000000002"/>
    <n v="0.25202000000000002"/>
    <n v="1.9029999999999998E-2"/>
    <n v="0.19997000000000001"/>
  </r>
  <r>
    <x v="1"/>
    <x v="63"/>
    <n v="56"/>
    <n v="5.8559999999999999"/>
    <n v="58.56"/>
    <n v="1.23228"/>
    <n v="61.614000000000004"/>
    <n v="1.05261"/>
    <n v="52.630500000000005"/>
    <n v="0.58991000000000005"/>
    <n v="29.495500000000003"/>
    <n v="0.32682"/>
    <n v="3.5860000000000003E-2"/>
    <n v="2.7359999999999999E-2"/>
  </r>
  <r>
    <x v="1"/>
    <x v="59"/>
    <n v="57"/>
    <n v="5.835"/>
    <n v="58.35"/>
    <n v="1.2458499999999999"/>
    <n v="62.292499999999997"/>
    <n v="1.0468500000000001"/>
    <n v="52.342500000000001"/>
    <n v="0.69057999999999997"/>
    <n v="34.528999999999996"/>
    <n v="0.45190000000000002"/>
    <n v="5.5E-2"/>
    <n v="0.14443"/>
  </r>
  <r>
    <x v="1"/>
    <x v="46"/>
    <n v="57"/>
    <n v="5.835"/>
    <n v="58.35"/>
    <n v="1.35948"/>
    <n v="67.974000000000004"/>
    <n v="0.72194000000000003"/>
    <n v="36.097000000000001"/>
    <n v="0.88644999999999996"/>
    <n v="44.322499999999998"/>
    <n v="0.25168000000000001"/>
    <n v="7.7160000000000006E-2"/>
    <n v="0.18823999999999999"/>
  </r>
  <r>
    <x v="1"/>
    <x v="50"/>
    <n v="59"/>
    <n v="5.8220000000000001"/>
    <n v="58.220000000000006"/>
    <n v="0.79422000000000004"/>
    <n v="39.710999999999999"/>
    <n v="0.83779000000000003"/>
    <n v="41.889499999999998"/>
    <n v="0.46970000000000001"/>
    <n v="23.484999999999999"/>
    <n v="0.50961000000000001"/>
    <n v="7.7460000000000001E-2"/>
    <n v="0.21698000000000001"/>
  </r>
  <r>
    <x v="1"/>
    <x v="55"/>
    <n v="60"/>
    <n v="5.8129999999999997"/>
    <n v="58.129999999999995"/>
    <n v="1.2692000000000001"/>
    <n v="63.460000000000008"/>
    <n v="1.0641099999999999"/>
    <n v="53.205499999999994"/>
    <n v="0.64673999999999998"/>
    <n v="32.336999999999996"/>
    <n v="0.18929000000000001"/>
    <n v="1.8200000000000001E-2"/>
    <n v="2.0250000000000001E-2"/>
  </r>
  <r>
    <x v="1"/>
    <x v="58"/>
    <n v="61"/>
    <n v="5.8019999999999996"/>
    <n v="58.019999999999996"/>
    <n v="1.13062"/>
    <n v="56.530999999999999"/>
    <n v="1.04993"/>
    <n v="52.496500000000005"/>
    <n v="0.63104000000000005"/>
    <n v="31.552000000000003"/>
    <n v="0.29091"/>
    <n v="0.17457"/>
    <n v="0.13941999999999999"/>
  </r>
  <r>
    <x v="1"/>
    <x v="65"/>
    <n v="62"/>
    <n v="5.7709999999999999"/>
    <n v="57.71"/>
    <n v="1.31141"/>
    <n v="65.570499999999996"/>
    <n v="0.81825999999999999"/>
    <n v="40.912999999999997"/>
    <n v="0.84141999999999995"/>
    <n v="42.070999999999998"/>
    <n v="0.43596000000000001"/>
    <n v="0.16578000000000001"/>
    <n v="0.26322000000000001"/>
  </r>
  <r>
    <x v="1"/>
    <x v="54"/>
    <n v="63"/>
    <n v="5.7679999999999998"/>
    <n v="57.679999999999993"/>
    <n v="1.2994699999999999"/>
    <n v="64.973500000000001"/>
    <n v="1.05613"/>
    <n v="52.8065"/>
    <n v="0.79151000000000005"/>
    <n v="39.575500000000005"/>
    <n v="0.53164"/>
    <n v="3.635E-2"/>
    <n v="0.25738"/>
  </r>
  <r>
    <x v="1"/>
    <x v="57"/>
    <n v="64"/>
    <n v="5.7430000000000003"/>
    <n v="57.430000000000007"/>
    <n v="0.99602000000000002"/>
    <n v="49.801000000000002"/>
    <n v="0.81254999999999999"/>
    <n v="40.627499999999998"/>
    <n v="0.62994000000000006"/>
    <n v="31.497000000000003"/>
    <n v="0.37502000000000002"/>
    <n v="5.2920000000000002E-2"/>
    <n v="0.14527000000000001"/>
  </r>
  <r>
    <x v="1"/>
    <x v="69"/>
    <n v="65"/>
    <n v="5.6580000000000004"/>
    <n v="56.580000000000005"/>
    <n v="1.0801700000000001"/>
    <n v="54.008500000000005"/>
    <n v="1.03817"/>
    <n v="51.908500000000004"/>
    <n v="0.44006000000000001"/>
    <n v="22.003"/>
    <n v="0.37408000000000002"/>
    <n v="0.28466999999999998"/>
    <n v="0.22567000000000001"/>
  </r>
  <r>
    <x v="1"/>
    <x v="70"/>
    <n v="66"/>
    <n v="5.6479999999999997"/>
    <n v="56.48"/>
    <n v="1.1437200000000001"/>
    <n v="57.186000000000007"/>
    <n v="0.75695000000000001"/>
    <n v="37.847500000000004"/>
    <n v="0.66188999999999998"/>
    <n v="33.094499999999996"/>
    <n v="0.46145000000000003"/>
    <n v="5.203E-2"/>
    <n v="0.36951000000000001"/>
  </r>
  <r>
    <x v="1"/>
    <x v="62"/>
    <n v="67"/>
    <n v="5.6150000000000002"/>
    <n v="56.15"/>
    <n v="1.0668800000000001"/>
    <n v="53.344000000000001"/>
    <n v="0.95076000000000005"/>
    <n v="47.538000000000004"/>
    <n v="0.52303999999999995"/>
    <n v="26.151999999999997"/>
    <n v="0.40672000000000003"/>
    <n v="0.10339"/>
    <n v="0.17086999999999999"/>
  </r>
  <r>
    <x v="1"/>
    <x v="88"/>
    <n v="68"/>
    <n v="5.56"/>
    <n v="55.6"/>
    <n v="1.2178800000000001"/>
    <n v="60.894000000000005"/>
    <n v="0.95025000000000004"/>
    <n v="47.512500000000003"/>
    <n v="0.63951999999999998"/>
    <n v="31.975999999999999"/>
    <n v="0.27995999999999999"/>
    <n v="8.8900000000000007E-2"/>
    <n v="0.17444999999999999"/>
  </r>
  <r>
    <x v="1"/>
    <x v="66"/>
    <n v="69"/>
    <n v="5.5460000000000003"/>
    <n v="55.46"/>
    <n v="1.31857"/>
    <n v="65.9285"/>
    <n v="0.70696999999999999"/>
    <n v="35.348500000000001"/>
    <n v="0.8488"/>
    <n v="42.44"/>
    <n v="0.29507"/>
    <n v="5.228E-2"/>
    <n v="0.27905999999999997"/>
  </r>
  <r>
    <x v="1"/>
    <x v="52"/>
    <n v="70"/>
    <n v="5.5380000000000003"/>
    <n v="55.38000000000001"/>
    <n v="0.89373000000000002"/>
    <n v="44.686500000000002"/>
    <n v="1.11111"/>
    <n v="55.555500000000002"/>
    <n v="0.58294999999999997"/>
    <n v="29.147499999999997"/>
    <n v="0.46234999999999998"/>
    <n v="7.3959999999999998E-2"/>
    <n v="0.25296000000000002"/>
  </r>
  <r>
    <x v="1"/>
    <x v="85"/>
    <n v="71"/>
    <n v="5.5279999999999996"/>
    <n v="55.279999999999994"/>
    <n v="1.1697"/>
    <n v="58.484999999999999"/>
    <n v="0.72802999999999995"/>
    <n v="36.401499999999999"/>
    <n v="0.67601999999999995"/>
    <n v="33.800999999999995"/>
    <n v="0.36712"/>
    <n v="6.79E-3"/>
    <n v="0.12889"/>
  </r>
  <r>
    <x v="1"/>
    <x v="72"/>
    <n v="72"/>
    <n v="5.5170000000000003"/>
    <n v="55.17"/>
    <n v="1.2796400000000001"/>
    <n v="63.982000000000006"/>
    <n v="1.0516300000000001"/>
    <n v="52.581500000000005"/>
    <n v="0.68098000000000003"/>
    <n v="34.048999999999999"/>
    <n v="0.41510999999999998"/>
    <n v="0.18518999999999999"/>
    <n v="8.4229999999999999E-2"/>
  </r>
  <r>
    <x v="1"/>
    <x v="64"/>
    <n v="73"/>
    <n v="5.51"/>
    <n v="55.1"/>
    <n v="0.89332999999999996"/>
    <n v="44.666499999999999"/>
    <n v="0.96372000000000002"/>
    <n v="48.186"/>
    <n v="0.59469000000000005"/>
    <n v="29.734500000000004"/>
    <n v="0.43597000000000002"/>
    <n v="4.2939999999999999E-2"/>
    <n v="0.22245000000000001"/>
  </r>
  <r>
    <x v="1"/>
    <x v="61"/>
    <n v="74"/>
    <n v="5.4880000000000004"/>
    <n v="54.88000000000001"/>
    <n v="1.18649"/>
    <n v="59.3245"/>
    <n v="0.60809000000000002"/>
    <n v="30.404500000000002"/>
    <n v="0.70523999999999998"/>
    <n v="35.262"/>
    <n v="0.23907"/>
    <n v="4.002E-2"/>
    <n v="0.18434"/>
  </r>
  <r>
    <x v="1"/>
    <x v="71"/>
    <n v="75"/>
    <n v="5.4580000000000002"/>
    <n v="54.580000000000005"/>
    <n v="1.5106999999999999"/>
    <n v="75.534999999999997"/>
    <n v="0.87021000000000004"/>
    <n v="43.5105"/>
    <n v="0.95277000000000001"/>
    <n v="47.638500000000001"/>
    <n v="0.48079"/>
    <n v="0.31646999999999997"/>
    <n v="0.40096999999999999"/>
  </r>
  <r>
    <x v="1"/>
    <x v="160"/>
    <n v="76"/>
    <n v="5.44"/>
    <n v="54.4"/>
    <n v="0"/>
    <n v="0"/>
    <n v="0.33612999999999998"/>
    <n v="16.8065"/>
    <n v="0.11466"/>
    <n v="5.7329999999999997"/>
    <n v="0.56777999999999995"/>
    <n v="0.31180000000000002"/>
    <n v="0.27224999999999999"/>
  </r>
  <r>
    <x v="1"/>
    <x v="68"/>
    <n v="77"/>
    <n v="5.4009999999999998"/>
    <n v="54.010000000000005"/>
    <n v="0.90144999999999997"/>
    <n v="45.072499999999998"/>
    <n v="0.66061999999999999"/>
    <n v="33.030999999999999"/>
    <n v="0.54"/>
    <n v="27"/>
    <n v="0.14396"/>
    <n v="6.547E-2"/>
    <n v="0.27992"/>
  </r>
  <r>
    <x v="1"/>
    <x v="75"/>
    <n v="78"/>
    <n v="5.3890000000000002"/>
    <n v="53.89"/>
    <n v="1.16492"/>
    <n v="58.245999999999995"/>
    <n v="0.87717000000000001"/>
    <n v="43.858499999999999"/>
    <n v="0.64717999999999998"/>
    <n v="32.359000000000002"/>
    <n v="0.23888999999999999"/>
    <n v="0.12348000000000001"/>
    <n v="4.7070000000000001E-2"/>
  </r>
  <r>
    <x v="1"/>
    <x v="73"/>
    <n v="79"/>
    <n v="5.3140000000000001"/>
    <n v="53.14"/>
    <n v="0.95104"/>
    <n v="47.552"/>
    <n v="0.87624999999999997"/>
    <n v="43.8125"/>
    <n v="0.49374000000000001"/>
    <n v="24.687000000000001"/>
    <n v="0.39237"/>
    <n v="3.2200000000000002E-3"/>
    <n v="0.56520999999999999"/>
  </r>
  <r>
    <x v="1"/>
    <x v="81"/>
    <n v="80"/>
    <n v="5.3029999999999999"/>
    <n v="53.029999999999994"/>
    <n v="0.99673"/>
    <n v="49.836500000000001"/>
    <n v="0.86216000000000004"/>
    <n v="43.108000000000004"/>
    <n v="0.60711999999999999"/>
    <n v="30.355999999999998"/>
    <n v="0.36022999999999999"/>
    <n v="0.13297"/>
    <n v="0.14262"/>
  </r>
  <r>
    <x v="1"/>
    <x v="79"/>
    <n v="81"/>
    <n v="5.2910000000000004"/>
    <n v="52.910000000000004"/>
    <n v="1.1237299999999999"/>
    <n v="56.186499999999995"/>
    <n v="0.76041999999999998"/>
    <n v="38.021000000000001"/>
    <n v="0.54503999999999997"/>
    <n v="27.251999999999999"/>
    <n v="0.35326999999999997"/>
    <n v="0.17913999999999999"/>
    <n v="5.6399999999999999E-2"/>
  </r>
  <r>
    <x v="1"/>
    <x v="89"/>
    <n v="82"/>
    <n v="5.2789999999999999"/>
    <n v="52.79"/>
    <n v="0.81216999999999995"/>
    <n v="40.608499999999999"/>
    <n v="0.87877000000000005"/>
    <n v="43.938500000000005"/>
    <n v="0.47036"/>
    <n v="23.518000000000001"/>
    <n v="0.54854000000000003"/>
    <n v="0.11756999999999999"/>
    <n v="0.21673999999999999"/>
  </r>
  <r>
    <x v="1"/>
    <x v="83"/>
    <n v="83"/>
    <n v="5.2450000000000001"/>
    <n v="52.45"/>
    <n v="1.0278"/>
    <n v="51.39"/>
    <n v="0.79381000000000002"/>
    <n v="39.6905"/>
    <n v="0.73560999999999999"/>
    <n v="36.780499999999996"/>
    <n v="0.44012000000000001"/>
    <n v="2.7449999999999999E-2"/>
    <n v="4.9590000000000002E-2"/>
  </r>
  <r>
    <x v="1"/>
    <x v="78"/>
    <n v="84"/>
    <n v="5.1959999999999997"/>
    <n v="51.96"/>
    <n v="0.85270000000000001"/>
    <n v="42.634999999999998"/>
    <n v="0.90835999999999995"/>
    <n v="45.417999999999999"/>
    <n v="0.49758999999999998"/>
    <n v="24.8795"/>
    <n v="0.46073999999999998"/>
    <n v="0.16159999999999999"/>
    <n v="0.48546"/>
  </r>
  <r>
    <x v="1"/>
    <x v="76"/>
    <n v="85"/>
    <n v="5.1849999999999996"/>
    <n v="51.85"/>
    <n v="0.56044000000000005"/>
    <n v="28.022000000000002"/>
    <n v="0.95433999999999997"/>
    <n v="47.716999999999999"/>
    <n v="0.55449000000000004"/>
    <n v="27.724500000000003"/>
    <n v="0.40211999999999998"/>
    <n v="4.7620000000000003E-2"/>
    <n v="0.38431999999999999"/>
  </r>
  <r>
    <x v="1"/>
    <x v="86"/>
    <n v="86"/>
    <n v="5.1769999999999996"/>
    <n v="51.769999999999996"/>
    <n v="1.03437"/>
    <n v="51.718499999999999"/>
    <n v="0.81328999999999996"/>
    <n v="40.664499999999997"/>
    <n v="0.64580000000000004"/>
    <n v="32.29"/>
    <n v="0.15717999999999999"/>
    <n v="4.3389999999999998E-2"/>
    <n v="0.20737"/>
  </r>
  <r>
    <x v="1"/>
    <x v="95"/>
    <n v="87"/>
    <n v="5.1630000000000003"/>
    <n v="51.63000000000001"/>
    <n v="0.93383000000000005"/>
    <n v="46.691500000000005"/>
    <n v="0.64366999999999996"/>
    <n v="32.183499999999995"/>
    <n v="0.70765999999999996"/>
    <n v="35.382999999999996"/>
    <n v="9.511E-2"/>
    <n v="0"/>
    <n v="0.29888999999999999"/>
  </r>
  <r>
    <x v="1"/>
    <x v="82"/>
    <n v="88"/>
    <n v="5.1609999999999996"/>
    <n v="51.609999999999992"/>
    <n v="1.0783799999999999"/>
    <n v="53.918999999999997"/>
    <n v="0.74173"/>
    <n v="37.086500000000001"/>
    <n v="0.63532999999999995"/>
    <n v="31.766499999999997"/>
    <n v="0.15110999999999999"/>
    <n v="0.12720999999999999"/>
    <n v="0.17191000000000001"/>
  </r>
  <r>
    <x v="1"/>
    <x v="97"/>
    <n v="89"/>
    <n v="5.1550000000000002"/>
    <n v="51.55"/>
    <n v="1.0278700000000001"/>
    <n v="51.393500000000003"/>
    <n v="0.99495999999999996"/>
    <n v="49.747999999999998"/>
    <n v="0.57669000000000004"/>
    <n v="28.834500000000002"/>
    <n v="0.52259"/>
    <n v="0.12372"/>
    <n v="0.21285999999999999"/>
  </r>
  <r>
    <x v="1"/>
    <x v="91"/>
    <n v="90"/>
    <n v="5.1509999999999998"/>
    <n v="51.510000000000005"/>
    <n v="0.84057999999999999"/>
    <n v="42.028999999999996"/>
    <n v="0.38595000000000002"/>
    <n v="19.297499999999999"/>
    <n v="0.59470999999999996"/>
    <n v="29.735499999999998"/>
    <n v="0.25646000000000002"/>
    <n v="8.4040000000000004E-2"/>
    <n v="4.0529999999999997E-2"/>
  </r>
  <r>
    <x v="1"/>
    <x v="103"/>
    <n v="91"/>
    <n v="5.1449999999999996"/>
    <n v="51.45"/>
    <n v="1.24142"/>
    <n v="62.070999999999998"/>
    <n v="0.93164000000000002"/>
    <n v="46.582000000000001"/>
    <n v="0.67608000000000001"/>
    <n v="33.804000000000002"/>
    <n v="0.19769999999999999"/>
    <n v="4.4720000000000003E-2"/>
    <n v="9.9000000000000005E-2"/>
  </r>
  <r>
    <x v="1"/>
    <x v="80"/>
    <n v="92"/>
    <n v="5.1319999999999997"/>
    <n v="51.319999999999993"/>
    <n v="0.68815999999999999"/>
    <n v="34.408000000000001"/>
    <n v="0.26135000000000003"/>
    <n v="13.067500000000001"/>
    <n v="0.40305999999999997"/>
    <n v="20.152999999999999"/>
    <n v="0.14621999999999999"/>
    <n v="0.13880000000000001"/>
    <n v="0.31185000000000002"/>
  </r>
  <r>
    <x v="1"/>
    <x v="102"/>
    <n v="93"/>
    <n v="5.1289999999999996"/>
    <n v="51.29"/>
    <n v="1.1226799999999999"/>
    <n v="56.133999999999993"/>
    <n v="0.64183999999999997"/>
    <n v="32.091999999999999"/>
    <n v="0.76171"/>
    <n v="38.085500000000003"/>
    <n v="0.26228000000000001"/>
    <n v="3.0609999999999998E-2"/>
    <n v="0.23693"/>
  </r>
  <r>
    <x v="1"/>
    <x v="87"/>
    <n v="94"/>
    <n v="5.1230000000000002"/>
    <n v="51.230000000000004"/>
    <n v="1.27607"/>
    <n v="63.8035"/>
    <n v="0.94367000000000001"/>
    <n v="47.183500000000002"/>
    <n v="0.79362999999999995"/>
    <n v="39.6815"/>
    <n v="0.44727"/>
    <n v="1.521E-2"/>
    <n v="0.11691"/>
  </r>
  <r>
    <x v="1"/>
    <x v="92"/>
    <n v="95"/>
    <n v="5.1210000000000004"/>
    <n v="51.21"/>
    <n v="1.0193000000000001"/>
    <n v="50.965000000000003"/>
    <n v="0.78236000000000006"/>
    <n v="39.118000000000002"/>
    <n v="0.64737999999999996"/>
    <n v="32.369"/>
    <n v="0.27667999999999998"/>
    <n v="7.0470000000000005E-2"/>
    <n v="0.23507"/>
  </r>
  <r>
    <x v="1"/>
    <x v="74"/>
    <n v="96"/>
    <n v="5.0609999999999999"/>
    <n v="50.61"/>
    <n v="0.74036999999999997"/>
    <n v="37.018499999999996"/>
    <n v="0.79117000000000004"/>
    <n v="39.558500000000002"/>
    <n v="0.66156999999999999"/>
    <n v="33.078499999999998"/>
    <n v="0.55954000000000004"/>
    <n v="0.11556"/>
    <n v="0.25074999999999997"/>
  </r>
  <r>
    <x v="1"/>
    <x v="90"/>
    <n v="97"/>
    <n v="5.0570000000000004"/>
    <n v="50.570000000000007"/>
    <n v="0.25557999999999997"/>
    <n v="12.778999999999998"/>
    <n v="0.75861999999999996"/>
    <n v="37.930999999999997"/>
    <n v="0.33107999999999999"/>
    <n v="16.553999999999998"/>
    <n v="0.39129999999999998"/>
    <n v="0.36793999999999999"/>
    <n v="0.51478999999999997"/>
  </r>
  <r>
    <x v="1"/>
    <x v="106"/>
    <n v="98"/>
    <n v="5.0449999999999999"/>
    <n v="50.45"/>
    <n v="0.97724"/>
    <n v="48.862000000000002"/>
    <n v="0.43164999999999998"/>
    <n v="21.5825"/>
    <n v="0.59577000000000002"/>
    <n v="29.788500000000003"/>
    <n v="0.23552999999999999"/>
    <n v="8.1699999999999995E-2"/>
    <n v="3.9359999999999999E-2"/>
  </r>
  <r>
    <x v="1"/>
    <x v="101"/>
    <n v="99"/>
    <n v="5.0330000000000004"/>
    <n v="50.33"/>
    <n v="1.2488600000000001"/>
    <n v="62.443000000000005"/>
    <n v="0.75473000000000001"/>
    <n v="37.736499999999999"/>
    <n v="0.80028999999999995"/>
    <n v="40.014499999999998"/>
    <n v="5.8220000000000001E-2"/>
    <n v="4.1270000000000001E-2"/>
    <n v="0"/>
  </r>
  <r>
    <x v="1"/>
    <x v="105"/>
    <n v="100"/>
    <n v="4.9960000000000004"/>
    <n v="49.96"/>
    <n v="0.48835000000000001"/>
    <n v="24.4175"/>
    <n v="0.75602000000000003"/>
    <n v="37.801000000000002"/>
    <n v="0.53119000000000005"/>
    <n v="26.559500000000003"/>
    <n v="0.43408000000000002"/>
    <n v="0.13508999999999999"/>
    <n v="0.25997999999999999"/>
  </r>
  <r>
    <x v="1"/>
    <x v="99"/>
    <n v="101"/>
    <n v="4.907"/>
    <n v="49.07"/>
    <n v="0.98853000000000002"/>
    <n v="49.426500000000004"/>
    <n v="1.0898300000000001"/>
    <n v="54.491500000000002"/>
    <n v="0.55469000000000002"/>
    <n v="27.734500000000001"/>
    <n v="0.35971999999999998"/>
    <n v="3.2849999999999997E-2"/>
    <n v="0.34538999999999997"/>
  </r>
  <r>
    <x v="1"/>
    <x v="98"/>
    <n v="102"/>
    <n v="4.8760000000000003"/>
    <n v="48.760000000000005"/>
    <n v="0.68042000000000002"/>
    <n v="34.021000000000001"/>
    <n v="0.54969999999999997"/>
    <n v="27.484999999999999"/>
    <n v="0.38290999999999997"/>
    <n v="19.145499999999998"/>
    <n v="0.52168000000000003"/>
    <n v="0.22423000000000001"/>
    <n v="0.43079000000000001"/>
  </r>
  <r>
    <x v="1"/>
    <x v="77"/>
    <n v="103"/>
    <n v="4.875"/>
    <n v="48.75"/>
    <n v="0.75216000000000005"/>
    <n v="37.608000000000004"/>
    <n v="0.64498"/>
    <n v="32.249000000000002"/>
    <n v="5.108E-2"/>
    <n v="2.5539999999999998"/>
    <n v="0.27854000000000001"/>
    <n v="3.0499999999999999E-2"/>
    <n v="0.23219000000000001"/>
  </r>
  <r>
    <x v="1"/>
    <x v="104"/>
    <n v="104"/>
    <n v="4.8710000000000004"/>
    <n v="48.71"/>
    <n v="0.69428999999999996"/>
    <n v="34.714500000000001"/>
    <n v="0.75595999999999997"/>
    <n v="37.798000000000002"/>
    <n v="0.58382999999999996"/>
    <n v="29.191499999999998"/>
    <n v="0.26755000000000001"/>
    <n v="6.9059999999999996E-2"/>
    <n v="0.2044"/>
  </r>
  <r>
    <x v="1"/>
    <x v="109"/>
    <n v="105"/>
    <n v="4.8129999999999997"/>
    <n v="48.129999999999995"/>
    <n v="1.11758"/>
    <n v="55.878999999999998"/>
    <n v="0.38857000000000003"/>
    <n v="19.4285"/>
    <n v="0.64232"/>
    <n v="32.116"/>
    <n v="0.22544"/>
    <n v="5.57E-2"/>
    <n v="0.38538"/>
  </r>
  <r>
    <x v="1"/>
    <x v="84"/>
    <n v="106"/>
    <n v="4.7949999999999999"/>
    <n v="47.95"/>
    <n v="0.61202000000000001"/>
    <n v="30.600999999999999"/>
    <n v="0.63759999999999994"/>
    <n v="31.879999999999995"/>
    <n v="0.23573"/>
    <n v="11.7865"/>
    <n v="0.42662"/>
    <n v="0.11479"/>
    <n v="0.17866000000000001"/>
  </r>
  <r>
    <x v="1"/>
    <x v="120"/>
    <n v="107"/>
    <n v="4.7930000000000001"/>
    <n v="47.93"/>
    <n v="0.44625999999999999"/>
    <n v="22.312999999999999"/>
    <n v="0.69699"/>
    <n v="34.849499999999999"/>
    <n v="0.50073000000000001"/>
    <n v="25.0365"/>
    <n v="0.37012"/>
    <n v="7.0080000000000003E-2"/>
    <n v="0.38159999999999999"/>
  </r>
  <r>
    <x v="1"/>
    <x v="107"/>
    <n v="108"/>
    <n v="4.7539999999999996"/>
    <n v="47.54"/>
    <n v="0.67023999999999995"/>
    <n v="33.512"/>
    <n v="0.71628999999999998"/>
    <n v="35.814500000000002"/>
    <n v="0.56843999999999995"/>
    <n v="28.421999999999997"/>
    <n v="0.17743999999999999"/>
    <n v="0.10613"/>
    <n v="0.11154"/>
  </r>
  <r>
    <x v="1"/>
    <x v="94"/>
    <n v="109"/>
    <n v="4.6550000000000002"/>
    <n v="46.55"/>
    <n v="0.95530000000000004"/>
    <n v="47.765000000000001"/>
    <n v="0.50163000000000002"/>
    <n v="25.081500000000002"/>
    <n v="0.73007"/>
    <n v="36.503500000000003"/>
    <n v="0.31866"/>
    <n v="5.3010000000000002E-2"/>
    <n v="0.16839999999999999"/>
  </r>
  <r>
    <x v="1"/>
    <x v="108"/>
    <n v="110"/>
    <n v="4.6429999999999998"/>
    <n v="46.429999999999993"/>
    <n v="0.54176999999999997"/>
    <n v="27.0885"/>
    <n v="0.24748999999999999"/>
    <n v="12.374499999999999"/>
    <n v="0.52988999999999997"/>
    <n v="26.494499999999999"/>
    <n v="0.39778000000000002"/>
    <n v="0.12583"/>
    <n v="0.19131999999999999"/>
  </r>
  <r>
    <x v="1"/>
    <x v="122"/>
    <n v="111"/>
    <n v="4.6349999999999998"/>
    <n v="46.35"/>
    <n v="0.36485000000000001"/>
    <n v="18.2425"/>
    <n v="0.628"/>
    <n v="31.4"/>
    <n v="0"/>
    <n v="0"/>
    <n v="0.30685000000000001"/>
    <n v="8.1960000000000005E-2"/>
    <n v="0.23896999999999999"/>
  </r>
  <r>
    <x v="1"/>
    <x v="111"/>
    <n v="112"/>
    <n v="4.5750000000000002"/>
    <n v="45.75"/>
    <n v="1.07474"/>
    <n v="53.737000000000002"/>
    <n v="0.59204999999999997"/>
    <n v="29.602499999999999"/>
    <n v="0.51075999999999999"/>
    <n v="25.538"/>
    <n v="0.24856"/>
    <n v="0.13636000000000001"/>
    <n v="0.19589000000000001"/>
  </r>
  <r>
    <x v="1"/>
    <x v="161"/>
    <n v="113"/>
    <n v="4.5739999999999998"/>
    <n v="45.739999999999995"/>
    <n v="0.93286999999999998"/>
    <n v="46.643499999999996"/>
    <n v="0.70362000000000002"/>
    <n v="35.181000000000004"/>
    <n v="0.34744999999999998"/>
    <n v="17.372499999999999"/>
    <n v="0.48614000000000002"/>
    <n v="0.10398"/>
    <n v="7.7950000000000005E-2"/>
  </r>
  <r>
    <x v="1"/>
    <x v="132"/>
    <n v="114"/>
    <n v="4.5129999999999999"/>
    <n v="45.13"/>
    <n v="0.52497000000000005"/>
    <n v="26.248500000000003"/>
    <n v="0.62541999999999998"/>
    <n v="31.270999999999997"/>
    <n v="0.12698000000000001"/>
    <n v="6.3490000000000002"/>
    <n v="0.42736000000000002"/>
    <n v="6.1260000000000002E-2"/>
    <n v="0.2268"/>
  </r>
  <r>
    <x v="1"/>
    <x v="121"/>
    <n v="115"/>
    <n v="4.508"/>
    <n v="45.08"/>
    <n v="0.29282999999999998"/>
    <n v="14.641499999999999"/>
    <n v="0.37931999999999999"/>
    <n v="18.966000000000001"/>
    <n v="0.34577999999999998"/>
    <n v="17.288999999999998"/>
    <n v="0.36703000000000002"/>
    <n v="0.17169999999999999"/>
    <n v="0.29521999999999998"/>
  </r>
  <r>
    <x v="1"/>
    <x v="112"/>
    <n v="116"/>
    <n v="4.4589999999999996"/>
    <n v="44.589999999999996"/>
    <n v="1.02416"/>
    <n v="51.207999999999998"/>
    <n v="0.96052999999999999"/>
    <n v="48.026499999999999"/>
    <n v="0.18611"/>
    <n v="9.3055000000000003"/>
    <n v="0.42482999999999999"/>
    <n v="8.4150000000000003E-2"/>
    <n v="0.13655999999999999"/>
  </r>
  <r>
    <x v="1"/>
    <x v="131"/>
    <n v="117"/>
    <n v="4.415"/>
    <n v="44.15"/>
    <n v="0.97318000000000005"/>
    <n v="48.658999999999999"/>
    <n v="0.84782999999999997"/>
    <n v="42.391500000000001"/>
    <n v="0.62007000000000001"/>
    <n v="31.003499999999999"/>
    <n v="0.50817000000000001"/>
    <n v="7.9640000000000002E-2"/>
    <n v="0.46977999999999998"/>
  </r>
  <r>
    <x v="1"/>
    <x v="116"/>
    <n v="118"/>
    <n v="4.4039999999999999"/>
    <n v="44.04"/>
    <n v="0.74036000000000002"/>
    <n v="37.018000000000001"/>
    <n v="0.29247000000000001"/>
    <n v="14.6235"/>
    <n v="0.45090999999999998"/>
    <n v="22.545500000000001"/>
    <n v="0.40284999999999999"/>
    <n v="8.7220000000000006E-2"/>
    <n v="0.25028"/>
  </r>
  <r>
    <x v="1"/>
    <x v="128"/>
    <n v="119"/>
    <n v="4.3949999999999996"/>
    <n v="43.949999999999996"/>
    <n v="0.34111999999999998"/>
    <n v="17.055999999999997"/>
    <n v="0.69981000000000004"/>
    <n v="34.990500000000004"/>
    <n v="0.39879999999999999"/>
    <n v="19.939999999999998"/>
    <n v="0.42692000000000002"/>
    <n v="0.20243"/>
    <n v="0.81971000000000005"/>
  </r>
  <r>
    <x v="1"/>
    <x v="134"/>
    <n v="120"/>
    <n v="4.3620000000000001"/>
    <n v="43.62"/>
    <n v="0.95394999999999996"/>
    <n v="47.697499999999998"/>
    <n v="0.49813000000000002"/>
    <n v="24.906500000000001"/>
    <n v="0.52115999999999996"/>
    <n v="26.057999999999996"/>
    <n v="0.18847"/>
    <n v="0.10392999999999999"/>
    <n v="0.12706000000000001"/>
  </r>
  <r>
    <x v="1"/>
    <x v="126"/>
    <n v="121"/>
    <n v="4.3600000000000003"/>
    <n v="43.600000000000009"/>
    <n v="0.86085999999999996"/>
    <n v="43.042999999999999"/>
    <n v="0.62477000000000005"/>
    <n v="31.238500000000002"/>
    <n v="0.64083000000000001"/>
    <n v="32.041499999999999"/>
    <n v="0.14036999999999999"/>
    <n v="3.6159999999999998E-2"/>
    <n v="7.7929999999999999E-2"/>
  </r>
  <r>
    <x v="1"/>
    <x v="124"/>
    <n v="122"/>
    <n v="4.3559999999999999"/>
    <n v="43.559999999999995"/>
    <n v="0.52266999999999997"/>
    <n v="26.133499999999998"/>
    <n v="0.76239999999999997"/>
    <n v="38.119999999999997"/>
    <n v="0.30147000000000002"/>
    <n v="15.073500000000001"/>
    <n v="0.40576000000000001"/>
    <n v="6.6860000000000003E-2"/>
    <n v="0.41327999999999998"/>
  </r>
  <r>
    <x v="1"/>
    <x v="110"/>
    <n v="123"/>
    <n v="4.3239999999999998"/>
    <n v="43.239999999999995"/>
    <n v="0.87287000000000003"/>
    <n v="43.643500000000003"/>
    <n v="1.01413"/>
    <n v="50.706499999999998"/>
    <n v="0.58628000000000002"/>
    <n v="29.314"/>
    <n v="0.12859000000000001"/>
    <n v="1.8290000000000001E-2"/>
    <n v="0.20363000000000001"/>
  </r>
  <r>
    <x v="1"/>
    <x v="113"/>
    <n v="124"/>
    <n v="4.2759999999999998"/>
    <n v="42.76"/>
    <n v="0.63107000000000002"/>
    <n v="31.5535"/>
    <n v="0.49353000000000002"/>
    <n v="24.676500000000001"/>
    <n v="0.29681000000000002"/>
    <n v="14.8405"/>
    <n v="0.40972999999999998"/>
    <n v="3.2599999999999997E-2"/>
    <n v="0.21203"/>
  </r>
  <r>
    <x v="1"/>
    <x v="119"/>
    <n v="125"/>
    <n v="4.2720000000000002"/>
    <n v="42.720000000000006"/>
    <n v="5.6610000000000001E-2"/>
    <n v="2.8305000000000002"/>
    <n v="0.80676000000000003"/>
    <n v="40.338000000000001"/>
    <n v="0.188"/>
    <n v="9.4"/>
    <n v="0.15601999999999999"/>
    <n v="6.0749999999999998E-2"/>
    <n v="0.25457999999999997"/>
  </r>
  <r>
    <x v="1"/>
    <x v="129"/>
    <n v="126"/>
    <n v="4.2519999999999998"/>
    <n v="42.519999999999996"/>
    <n v="0.83792"/>
    <n v="41.896000000000001"/>
    <n v="0.19248999999999999"/>
    <n v="9.6244999999999994"/>
    <n v="0.64034999999999997"/>
    <n v="32.017499999999998"/>
    <n v="0.32461000000000001"/>
    <n v="0.31879999999999997"/>
    <n v="6.7860000000000004E-2"/>
  </r>
  <r>
    <x v="1"/>
    <x v="138"/>
    <n v="127"/>
    <n v="4.2359999999999998"/>
    <n v="42.36"/>
    <n v="0.77109000000000005"/>
    <n v="38.554500000000004"/>
    <n v="0.47799000000000003"/>
    <n v="23.8995"/>
    <n v="0.28211999999999998"/>
    <n v="14.106"/>
    <n v="0.37938"/>
    <n v="9.7530000000000006E-2"/>
    <n v="0.12077"/>
  </r>
  <r>
    <x v="1"/>
    <x v="141"/>
    <n v="128"/>
    <n v="4.2190000000000003"/>
    <n v="42.190000000000005"/>
    <n v="0.44313999999999998"/>
    <n v="22.157"/>
    <n v="0.77415999999999996"/>
    <n v="38.707999999999998"/>
    <n v="0.40456999999999999"/>
    <n v="20.2285"/>
    <n v="0.31056"/>
    <n v="0.11681"/>
    <n v="0.19103000000000001"/>
  </r>
  <r>
    <x v="1"/>
    <x v="133"/>
    <n v="129"/>
    <n v="4.2169999999999996"/>
    <n v="42.17"/>
    <n v="1.1130599999999999"/>
    <n v="55.652999999999999"/>
    <n v="0.92542000000000002"/>
    <n v="46.271000000000001"/>
    <n v="0.67806"/>
    <n v="33.902999999999999"/>
    <n v="0.21218999999999999"/>
    <n v="6.1500000000000001E-3"/>
    <n v="0.12792999999999999"/>
  </r>
  <r>
    <x v="1"/>
    <x v="123"/>
    <n v="130"/>
    <n v="4.2009999999999996"/>
    <n v="42.01"/>
    <n v="0.61390999999999996"/>
    <n v="30.695499999999999"/>
    <n v="0.84141999999999995"/>
    <n v="42.070999999999998"/>
    <n v="0.28638999999999998"/>
    <n v="14.3195"/>
    <n v="0.1268"/>
    <n v="0.17954999999999999"/>
    <n v="0.22686000000000001"/>
  </r>
  <r>
    <x v="1"/>
    <x v="114"/>
    <n v="131"/>
    <n v="4.1929999999999996"/>
    <n v="41.929999999999993"/>
    <n v="0.35041"/>
    <n v="17.520499999999998"/>
    <n v="0.71477999999999997"/>
    <n v="35.738999999999997"/>
    <n v="0.1595"/>
    <n v="7.9750000000000005"/>
    <n v="0.25429000000000002"/>
    <n v="8.5819999999999994E-2"/>
    <n v="0.18503"/>
  </r>
  <r>
    <x v="1"/>
    <x v="130"/>
    <n v="132"/>
    <n v="4.1559999999999997"/>
    <n v="41.559999999999995"/>
    <n v="8.7090000000000001E-2"/>
    <n v="4.3544999999999998"/>
    <n v="0.14699999999999999"/>
    <n v="7.35"/>
    <n v="0.29364000000000001"/>
    <n v="14.682"/>
    <n v="0.4143"/>
    <n v="7.5639999999999999E-2"/>
    <n v="0.30968000000000001"/>
  </r>
  <r>
    <x v="1"/>
    <x v="117"/>
    <n v="133"/>
    <n v="4.1390000000000002"/>
    <n v="41.39"/>
    <n v="0.63068999999999997"/>
    <n v="31.534499999999998"/>
    <n v="0.81928000000000001"/>
    <n v="40.963999999999999"/>
    <n v="0.29759000000000002"/>
    <n v="14.8795"/>
    <n v="0"/>
    <n v="0.10038999999999999"/>
    <n v="0.18076999999999999"/>
  </r>
  <r>
    <x v="1"/>
    <x v="142"/>
    <n v="134"/>
    <n v="4.1210000000000004"/>
    <n v="41.21"/>
    <n v="1.1585099999999999"/>
    <n v="57.9255"/>
    <n v="0.72367999999999999"/>
    <n v="36.183999999999997"/>
    <n v="0.34939999999999999"/>
    <n v="17.47"/>
    <n v="0.28098000000000001"/>
    <n v="9.3140000000000001E-2"/>
    <n v="6.2440000000000002E-2"/>
  </r>
  <r>
    <x v="1"/>
    <x v="137"/>
    <n v="135"/>
    <n v="4.0730000000000004"/>
    <n v="40.730000000000004"/>
    <n v="0.31291999999999998"/>
    <n v="15.645999999999999"/>
    <n v="0.86333000000000004"/>
    <n v="43.166499999999999"/>
    <n v="0.16347"/>
    <n v="8.1735000000000007"/>
    <n v="0.27544000000000002"/>
    <n v="0.13647000000000001"/>
    <n v="0.21063999999999999"/>
  </r>
  <r>
    <x v="1"/>
    <x v="118"/>
    <n v="136"/>
    <n v="4.0279999999999996"/>
    <n v="40.279999999999994"/>
    <n v="0.34097"/>
    <n v="17.048500000000001"/>
    <n v="0.29560999999999998"/>
    <n v="14.7805"/>
    <n v="0.27494000000000002"/>
    <n v="13.747000000000002"/>
    <n v="0.12071999999999999"/>
    <n v="0.14476"/>
    <n v="0.47958000000000001"/>
  </r>
  <r>
    <x v="1"/>
    <x v="127"/>
    <n v="137"/>
    <n v="3.9740000000000002"/>
    <n v="39.74"/>
    <n v="1.09426"/>
    <n v="54.713000000000001"/>
    <n v="0.89185999999999999"/>
    <n v="44.592999999999996"/>
    <n v="0.34752"/>
    <n v="17.376000000000001"/>
    <n v="0.44089"/>
    <n v="0.10768999999999999"/>
    <n v="0.12425"/>
  </r>
  <r>
    <x v="1"/>
    <x v="139"/>
    <n v="138"/>
    <n v="3.956"/>
    <n v="39.56"/>
    <n v="0.27509"/>
    <n v="13.7545"/>
    <n v="0.60323000000000004"/>
    <n v="30.161500000000004"/>
    <n v="0.29981000000000002"/>
    <n v="14.990500000000001"/>
    <n v="0.15412000000000001"/>
    <n v="0.18437000000000001"/>
    <n v="0.1827"/>
  </r>
  <r>
    <x v="1"/>
    <x v="150"/>
    <n v="139"/>
    <n v="3.9159999999999999"/>
    <n v="39.159999999999997"/>
    <n v="0.55506999999999995"/>
    <n v="27.753499999999999"/>
    <n v="0.57576000000000005"/>
    <n v="28.788000000000004"/>
    <n v="4.4760000000000001E-2"/>
    <n v="2.238"/>
    <n v="0.40662999999999999"/>
    <n v="0.15529999999999999"/>
    <n v="0.20338000000000001"/>
  </r>
  <r>
    <x v="1"/>
    <x v="144"/>
    <n v="140"/>
    <n v="3.907"/>
    <n v="39.07"/>
    <n v="0.55603999999999998"/>
    <n v="27.802"/>
    <n v="0.53749999999999998"/>
    <n v="26.875"/>
    <n v="0.42493999999999998"/>
    <n v="21.247"/>
    <n v="0.58852000000000004"/>
    <n v="8.0920000000000006E-2"/>
    <n v="0.40339000000000003"/>
  </r>
  <r>
    <x v="1"/>
    <x v="136"/>
    <n v="141"/>
    <n v="3.8660000000000001"/>
    <n v="38.660000000000004"/>
    <n v="0.84731000000000001"/>
    <n v="42.365499999999997"/>
    <n v="0.66366000000000003"/>
    <n v="33.183"/>
    <n v="4.9910000000000003E-2"/>
    <n v="2.4955000000000003"/>
    <n v="5.8900000000000003E-3"/>
    <n v="8.4339999999999998E-2"/>
    <n v="0.12071"/>
  </r>
  <r>
    <x v="1"/>
    <x v="143"/>
    <n v="142"/>
    <n v="3.8559999999999999"/>
    <n v="38.559999999999995"/>
    <n v="0.13270000000000001"/>
    <n v="6.6350000000000007"/>
    <n v="0.60529999999999995"/>
    <n v="30.264999999999997"/>
    <n v="0.26162000000000002"/>
    <n v="13.081000000000001"/>
    <n v="0.38041000000000003"/>
    <n v="0.17176"/>
    <n v="0.2097"/>
  </r>
  <r>
    <x v="1"/>
    <x v="162"/>
    <n v="143"/>
    <n v="3.8319999999999999"/>
    <n v="38.32"/>
    <n v="0.39394000000000001"/>
    <n v="19.696999999999999"/>
    <n v="0.18518999999999999"/>
    <n v="9.2594999999999992"/>
    <n v="0.15781000000000001"/>
    <n v="7.8905000000000003"/>
    <n v="0.19661999999999999"/>
    <n v="0.13014999999999999"/>
    <n v="0.25899"/>
  </r>
  <r>
    <x v="1"/>
    <x v="148"/>
    <n v="144"/>
    <n v="3.7629999999999999"/>
    <n v="37.630000000000003"/>
    <n v="0.42214000000000002"/>
    <n v="21.106999999999999"/>
    <n v="0.63178000000000001"/>
    <n v="31.588999999999999"/>
    <n v="3.8240000000000003E-2"/>
    <n v="1.9120000000000001"/>
    <n v="0.12806999999999999"/>
    <n v="4.9520000000000002E-2"/>
    <n v="0.18667"/>
  </r>
  <r>
    <x v="1"/>
    <x v="151"/>
    <n v="145"/>
    <n v="3.7389999999999999"/>
    <n v="37.39"/>
    <n v="0.31995000000000001"/>
    <n v="15.9975"/>
    <n v="0.63053999999999999"/>
    <n v="31.527000000000001"/>
    <n v="0.21296999999999999"/>
    <n v="10.6485"/>
    <n v="0.3337"/>
    <n v="0.12533"/>
    <n v="0.24353"/>
  </r>
  <r>
    <x v="1"/>
    <x v="140"/>
    <n v="145"/>
    <n v="3.7389999999999999"/>
    <n v="37.39"/>
    <n v="0.34719"/>
    <n v="17.359500000000001"/>
    <n v="0.90981000000000001"/>
    <n v="45.490499999999997"/>
    <n v="0.19625000000000001"/>
    <n v="9.8125"/>
    <n v="0.43652999999999997"/>
    <n v="6.4420000000000005E-2"/>
    <n v="0.27101999999999998"/>
  </r>
  <r>
    <x v="1"/>
    <x v="135"/>
    <n v="147"/>
    <n v="3.7240000000000002"/>
    <n v="37.24"/>
    <n v="0.57938999999999996"/>
    <n v="28.969499999999996"/>
    <n v="0.47493000000000002"/>
    <n v="23.746500000000001"/>
    <n v="0.31047999999999998"/>
    <n v="15.523999999999999"/>
    <n v="0.22869999999999999"/>
    <n v="5.892E-2"/>
    <n v="9.8210000000000006E-2"/>
  </r>
  <r>
    <x v="1"/>
    <x v="146"/>
    <n v="148"/>
    <n v="3.6949999999999998"/>
    <n v="36.950000000000003"/>
    <n v="0.27954000000000001"/>
    <n v="13.977"/>
    <n v="0.46115"/>
    <n v="23.057500000000001"/>
    <n v="0.37108999999999998"/>
    <n v="18.554499999999997"/>
    <n v="0.13683999999999999"/>
    <n v="7.5060000000000002E-2"/>
    <n v="0.22040000000000001"/>
  </r>
  <r>
    <x v="1"/>
    <x v="145"/>
    <n v="149"/>
    <n v="3.6659999999999999"/>
    <n v="36.659999999999997"/>
    <n v="0.47155000000000002"/>
    <n v="23.577500000000001"/>
    <n v="0.77622999999999998"/>
    <n v="38.811499999999995"/>
    <n v="0.35699999999999998"/>
    <n v="17.849999999999998"/>
    <n v="0.31759999999999999"/>
    <n v="5.0990000000000001E-2"/>
    <n v="0.31472"/>
  </r>
  <r>
    <x v="1"/>
    <x v="115"/>
    <n v="150"/>
    <n v="3.6219999999999999"/>
    <n v="36.22"/>
    <n v="0.10706"/>
    <n v="5.3529999999999998"/>
    <n v="0.50353000000000003"/>
    <n v="25.176500000000001"/>
    <n v="0.23164999999999999"/>
    <n v="11.5825"/>
    <n v="0.25747999999999999"/>
    <n v="4.8520000000000001E-2"/>
    <n v="0.24063000000000001"/>
  </r>
  <r>
    <x v="1"/>
    <x v="149"/>
    <n v="151"/>
    <n v="3.6070000000000002"/>
    <n v="36.070000000000007"/>
    <n v="0.22414999999999999"/>
    <n v="11.2075"/>
    <n v="0.31090000000000001"/>
    <n v="15.545"/>
    <n v="0.18829000000000001"/>
    <n v="9.4145000000000003"/>
    <n v="0.30953000000000003"/>
    <n v="0.1192"/>
    <n v="0.29914000000000002"/>
  </r>
  <r>
    <x v="1"/>
    <x v="153"/>
    <n v="152"/>
    <n v="3.5150000000000001"/>
    <n v="35.15"/>
    <n v="0.32845999999999997"/>
    <n v="16.422999999999998"/>
    <n v="0.61585999999999996"/>
    <n v="30.792999999999999"/>
    <n v="0.31864999999999999"/>
    <n v="15.932499999999999"/>
    <n v="0.54320000000000002"/>
    <n v="0.50521000000000005"/>
    <n v="0.23552000000000001"/>
  </r>
  <r>
    <x v="1"/>
    <x v="154"/>
    <n v="153"/>
    <n v="3.484"/>
    <n v="34.839999999999996"/>
    <n v="0.39499000000000001"/>
    <n v="19.749500000000001"/>
    <n v="0.10419"/>
    <n v="5.2095000000000002"/>
    <n v="0.21027999999999999"/>
    <n v="10.513999999999999"/>
    <n v="0.39746999999999999"/>
    <n v="6.6809999999999994E-2"/>
    <n v="0.20180000000000001"/>
  </r>
  <r>
    <x v="1"/>
    <x v="152"/>
    <n v="154"/>
    <n v="3.36"/>
    <n v="33.6"/>
    <n v="0.38227"/>
    <n v="19.113499999999998"/>
    <n v="0.11037"/>
    <n v="5.5184999999999995"/>
    <n v="0.17344000000000001"/>
    <n v="8.6720000000000006"/>
    <n v="0.1643"/>
    <n v="7.1120000000000003E-2"/>
    <n v="0.31268000000000001"/>
  </r>
  <r>
    <x v="1"/>
    <x v="157"/>
    <n v="155"/>
    <n v="3.3029999999999999"/>
    <n v="33.03"/>
    <n v="0.28122999999999998"/>
    <n v="14.061499999999999"/>
    <n v="0"/>
    <n v="0"/>
    <n v="0.24811"/>
    <n v="12.4055"/>
    <n v="0.34677999999999998"/>
    <n v="0.11587"/>
    <n v="0.17516999999999999"/>
  </r>
  <r>
    <x v="1"/>
    <x v="155"/>
    <n v="156"/>
    <n v="3.069"/>
    <n v="30.689999999999998"/>
    <n v="0.74719000000000002"/>
    <n v="37.359500000000004"/>
    <n v="0.14865999999999999"/>
    <n v="7.4329999999999989"/>
    <n v="0.62994000000000006"/>
    <n v="31.497000000000003"/>
    <n v="6.9120000000000001E-2"/>
    <n v="0.17233000000000001"/>
    <n v="0.48397000000000001"/>
  </r>
  <r>
    <x v="1"/>
    <x v="156"/>
    <n v="157"/>
    <n v="2.9049999999999998"/>
    <n v="29.05"/>
    <n v="6.8309999999999996E-2"/>
    <n v="3.4154999999999998"/>
    <n v="0.23441999999999999"/>
    <n v="11.721"/>
    <n v="0.15747"/>
    <n v="7.8734999999999999"/>
    <n v="4.3200000000000002E-2"/>
    <n v="9.4189999999999996E-2"/>
    <n v="0.2029"/>
  </r>
  <r>
    <x v="2"/>
    <x v="3"/>
    <n v="1"/>
    <n v="7.5370001792907697"/>
    <n v="75.370001792907686"/>
    <n v="1.6164631843566899"/>
    <n v="80.823159217834501"/>
    <n v="1.5335235595703101"/>
    <n v="76.676177978515497"/>
    <n v="0.79666650295257602"/>
    <n v="39.833325147628798"/>
    <n v="0.63542258739471402"/>
    <n v="0.315963834524155"/>
    <n v="0.36201223731040999"/>
  </r>
  <r>
    <x v="2"/>
    <x v="2"/>
    <n v="2"/>
    <n v="7.5219998359680202"/>
    <n v="75.219998359680204"/>
    <n v="1.48238301277161"/>
    <n v="74.119150638580493"/>
    <n v="1.5511215925216699"/>
    <n v="77.556079626083502"/>
    <n v="0.79256552457809404"/>
    <n v="39.628276228904703"/>
    <n v="0.62600672245025601"/>
    <n v="0.40077006816864003"/>
    <n v="0.35528048872947698"/>
  </r>
  <r>
    <x v="2"/>
    <x v="1"/>
    <n v="3"/>
    <n v="7.5040001869201696"/>
    <n v="75.040001869201689"/>
    <n v="1.4806330204010001"/>
    <n v="74.031651020050006"/>
    <n v="1.6105740070343"/>
    <n v="80.528700351715003"/>
    <n v="0.83355212211608898"/>
    <n v="41.67760610580445"/>
    <n v="0.62716263532638505"/>
    <n v="0.15352655947208399"/>
    <n v="0.475540220737457"/>
  </r>
  <r>
    <x v="2"/>
    <x v="0"/>
    <n v="4"/>
    <n v="7.4939999580383301"/>
    <n v="74.939999580383301"/>
    <n v="1.56497955322266"/>
    <n v="78.248977661132997"/>
    <n v="1.51691174507141"/>
    <n v="75.8455872535705"/>
    <n v="0.85813128948211703"/>
    <n v="42.906564474105849"/>
    <n v="0.62007057666778598"/>
    <n v="0.367007285356522"/>
    <n v="0.29054927825927701"/>
  </r>
  <r>
    <x v="2"/>
    <x v="5"/>
    <n v="5"/>
    <n v="7.4689998626709002"/>
    <n v="74.689998626709013"/>
    <n v="1.4435719251632699"/>
    <n v="72.178596258163495"/>
    <n v="1.5402467250823999"/>
    <n v="77.012336254120001"/>
    <n v="0.80915766954421997"/>
    <n v="40.457883477210999"/>
    <n v="0.61795085668563798"/>
    <n v="0.38261154294013999"/>
    <n v="0.24548277258873"/>
  </r>
  <r>
    <x v="2"/>
    <x v="6"/>
    <n v="6"/>
    <n v="7.3769998550415004"/>
    <n v="73.769998550415011"/>
    <n v="1.50394463539124"/>
    <n v="75.197231769561995"/>
    <n v="1.42893922328949"/>
    <n v="71.446961164474502"/>
    <n v="0.81069612503051802"/>
    <n v="40.5348062515259"/>
    <n v="0.58538448810577404"/>
    <n v="0.28266182541847201"/>
    <n v="0.47048982977867099"/>
  </r>
  <r>
    <x v="2"/>
    <x v="4"/>
    <n v="7"/>
    <n v="7.31599998474121"/>
    <n v="73.159999847412095"/>
    <n v="1.47920441627502"/>
    <n v="73.960220813750993"/>
    <n v="1.4813489913940401"/>
    <n v="74.067449569702006"/>
    <n v="0.83455765247345004"/>
    <n v="41.7278826236725"/>
    <n v="0.61110091209411599"/>
    <n v="0.287371516227722"/>
    <n v="0.43553972244262701"/>
  </r>
  <r>
    <x v="2"/>
    <x v="8"/>
    <n v="8"/>
    <n v="7.3140001296997097"/>
    <n v="73.140001296997099"/>
    <n v="1.40570604801178"/>
    <n v="70.285302400589003"/>
    <n v="1.54819512367249"/>
    <n v="77.409756183624495"/>
    <n v="0.81675970554351796"/>
    <n v="40.837985277175896"/>
    <n v="0.61406213045120195"/>
    <n v="0.382816702127457"/>
    <n v="0.50000512599945102"/>
  </r>
  <r>
    <x v="2"/>
    <x v="7"/>
    <n v="9"/>
    <n v="7.2839999198913601"/>
    <n v="72.839999198913603"/>
    <n v="1.4943872690200799"/>
    <n v="74.719363451004"/>
    <n v="1.4781621694564799"/>
    <n v="73.908108472823997"/>
    <n v="0.83087515830993697"/>
    <n v="41.543757915496847"/>
    <n v="0.61292409896850597"/>
    <n v="0.38439872860908503"/>
    <n v="0.38539925217628501"/>
  </r>
  <r>
    <x v="2"/>
    <x v="9"/>
    <n v="10"/>
    <n v="7.2839999198913601"/>
    <n v="72.839999198913603"/>
    <n v="1.484414935112"/>
    <n v="74.220746755600004"/>
    <n v="1.51004195213318"/>
    <n v="75.502097606659007"/>
    <n v="0.84388679265975997"/>
    <n v="42.194339632987997"/>
    <n v="0.60160738229751598"/>
    <n v="0.30118373036384599"/>
    <n v="0.47769924998283397"/>
  </r>
  <r>
    <x v="2"/>
    <x v="10"/>
    <n v="11"/>
    <n v="7.2129998207092303"/>
    <n v="72.129998207092314"/>
    <n v="1.37538242340088"/>
    <n v="68.769121170044002"/>
    <n v="1.3762899637222299"/>
    <n v="68.814498186111493"/>
    <n v="0.83840399980545"/>
    <n v="41.920199990272501"/>
    <n v="0.40598860383033802"/>
    <n v="8.5242100059986101E-2"/>
    <n v="0.33008265495300299"/>
  </r>
  <r>
    <x v="2"/>
    <x v="11"/>
    <n v="12"/>
    <n v="7.0789999961853001"/>
    <n v="70.789999961852999"/>
    <n v="1.1097062826156601"/>
    <n v="55.485314130783003"/>
    <n v="1.41640365123749"/>
    <n v="70.820182561874503"/>
    <n v="0.75950926542282104"/>
    <n v="37.975463271141052"/>
    <n v="0.58013164997100797"/>
    <n v="0.100106589496136"/>
    <n v="0.21461322903633101"/>
  </r>
  <r>
    <x v="2"/>
    <x v="12"/>
    <n v="13"/>
    <n v="7.0060000419616699"/>
    <n v="70.060000419616699"/>
    <n v="1.4870972633361801"/>
    <n v="74.354863166809011"/>
    <n v="1.4599449634552"/>
    <n v="72.997248172759996"/>
    <n v="0.81532841920852706"/>
    <n v="40.766420960426352"/>
    <n v="0.56776618957519498"/>
    <n v="0.221060365438461"/>
    <n v="0.31647232174873402"/>
  </r>
  <r>
    <x v="2"/>
    <x v="14"/>
    <n v="14"/>
    <n v="6.9930000305175799"/>
    <n v="69.93000030517581"/>
    <n v="1.54625928401947"/>
    <n v="77.312964200973497"/>
    <n v="1.4199205636978101"/>
    <n v="70.996028184890505"/>
    <n v="0.77428662776946999"/>
    <n v="38.714331388473497"/>
    <n v="0.50574052333831798"/>
    <n v="0.135638788342476"/>
    <n v="0.39257878065109297"/>
  </r>
  <r>
    <x v="2"/>
    <x v="17"/>
    <n v="15"/>
    <n v="6.9770002365112296"/>
    <n v="69.77000236511229"/>
    <n v="1.53570663928986"/>
    <n v="76.785331964492997"/>
    <n v="1.5582311153411901"/>
    <n v="77.911555767059497"/>
    <n v="0.80978262424469005"/>
    <n v="40.489131212234504"/>
    <n v="0.57311034202575695"/>
    <n v="0.29838815331459001"/>
    <n v="0.42785832285880998"/>
  </r>
  <r>
    <x v="2"/>
    <x v="25"/>
    <n v="16"/>
    <n v="6.9510002136230504"/>
    <n v="69.510002136230497"/>
    <n v="1.4879233837127701"/>
    <n v="74.396169185638499"/>
    <n v="1.4725203514099101"/>
    <n v="73.626017570495506"/>
    <n v="0.79895073175430298"/>
    <n v="39.947536587715149"/>
    <n v="0.56251138448715199"/>
    <n v="0.276731938123703"/>
    <n v="0.33626917004585299"/>
  </r>
  <r>
    <x v="2"/>
    <x v="18"/>
    <n v="17"/>
    <n v="6.8909997940063503"/>
    <n v="68.909997940063505"/>
    <n v="1.4637807607650799"/>
    <n v="73.189038038253997"/>
    <n v="1.46231269836426"/>
    <n v="73.115634918213004"/>
    <n v="0.81809186935424805"/>
    <n v="40.904593467712402"/>
    <n v="0.53977072238922097"/>
    <n v="0.25134313106536899"/>
    <n v="0.23150333762168901"/>
  </r>
  <r>
    <x v="2"/>
    <x v="16"/>
    <n v="18"/>
    <n v="6.8629999160766602"/>
    <n v="68.629999160766602"/>
    <n v="1.74194359779358"/>
    <n v="87.097179889678998"/>
    <n v="1.4575836658477801"/>
    <n v="72.879183292389001"/>
    <n v="0.84508949518203702"/>
    <n v="42.254474759101853"/>
    <n v="0.59662789106368996"/>
    <n v="0.31883442401885997"/>
    <n v="0.283180981874466"/>
  </r>
  <r>
    <x v="2"/>
    <x v="20"/>
    <n v="19"/>
    <n v="6.7140002250671396"/>
    <n v="67.140002250671401"/>
    <n v="1.44163393974304"/>
    <n v="72.081696987152"/>
    <n v="1.49646008014679"/>
    <n v="74.823004007339506"/>
    <n v="0.80533593893051103"/>
    <n v="40.266796946525552"/>
    <n v="0.50819003582000699"/>
    <n v="0.265428066253662"/>
    <n v="0.492774158716202"/>
  </r>
  <r>
    <x v="2"/>
    <x v="26"/>
    <n v="20"/>
    <n v="6.65199995040894"/>
    <n v="66.519999504089398"/>
    <n v="1.25278460979462"/>
    <n v="62.639230489730998"/>
    <n v="1.28402495384216"/>
    <n v="64.201247692107998"/>
    <n v="0.81947970390319802"/>
    <n v="40.973985195159898"/>
    <n v="0.37689527869224498"/>
    <n v="8.2287982106208801E-2"/>
    <n v="0.32666242122650102"/>
  </r>
  <r>
    <x v="2"/>
    <x v="19"/>
    <n v="21"/>
    <n v="6.6479997634887704"/>
    <n v="66.47999763488771"/>
    <n v="1.62634336948395"/>
    <n v="81.317168474197501"/>
    <n v="1.2664102315902701"/>
    <n v="63.320511579513507"/>
    <n v="0.726798236370087"/>
    <n v="36.339911818504348"/>
    <n v="0.60834527015686002"/>
    <n v="0.32448956370353699"/>
    <n v="0.36094194650650002"/>
  </r>
  <r>
    <x v="2"/>
    <x v="15"/>
    <n v="22"/>
    <n v="6.6350002288818404"/>
    <n v="66.350002288818402"/>
    <n v="1.1073532104492201"/>
    <n v="55.367660522461001"/>
    <n v="1.4313060045242301"/>
    <n v="71.565300226211505"/>
    <n v="0.61655235290527299"/>
    <n v="30.827617645263651"/>
    <n v="0.43745374679565402"/>
    <n v="0.111092761158943"/>
    <n v="0.16234989464283001"/>
  </r>
  <r>
    <x v="2"/>
    <x v="30"/>
    <n v="23"/>
    <n v="6.6090002059936497"/>
    <n v="66.090002059936495"/>
    <n v="1.35268235206604"/>
    <n v="67.634117603302002"/>
    <n v="1.4338852167129501"/>
    <n v="71.694260835647512"/>
    <n v="0.75444400310516402"/>
    <n v="37.7222001552582"/>
    <n v="0.49094617366790799"/>
    <n v="3.6872927099466303E-2"/>
    <n v="8.8106758892536205E-2"/>
  </r>
  <r>
    <x v="2"/>
    <x v="29"/>
    <n v="24"/>
    <n v="6.59899997711182"/>
    <n v="65.989999771118192"/>
    <n v="1.1852954626083401"/>
    <n v="59.264773130417005"/>
    <n v="1.44045114517212"/>
    <n v="72.022557258606"/>
    <n v="0.69513708353042603"/>
    <n v="34.756854176521301"/>
    <n v="0.494519203901291"/>
    <n v="5.9739887714386E-2"/>
    <n v="0.109457060694695"/>
  </r>
  <r>
    <x v="2"/>
    <x v="13"/>
    <n v="25"/>
    <n v="6.5780000686645499"/>
    <n v="65.780000686645494"/>
    <n v="1.1531838178634599"/>
    <n v="57.659190893172998"/>
    <n v="1.2108621597289999"/>
    <n v="60.543107986449996"/>
    <n v="0.70997899770736705"/>
    <n v="35.498949885368354"/>
    <n v="0.41273000836372398"/>
    <n v="0.13277411460876501"/>
    <n v="0.120990432798862"/>
  </r>
  <r>
    <x v="2"/>
    <x v="23"/>
    <n v="26"/>
    <n v="6.57200002670288"/>
    <n v="65.720000267028794"/>
    <n v="1.69227766990662"/>
    <n v="84.613883495330995"/>
    <n v="1.35381436347961"/>
    <n v="67.6907181739805"/>
    <n v="0.94949239492416404"/>
    <n v="47.474619746208205"/>
    <n v="0.54984056949615501"/>
    <n v="0.46430778503418002"/>
    <n v="0.34596598148345897"/>
  </r>
  <r>
    <x v="2"/>
    <x v="36"/>
    <n v="27"/>
    <n v="6.52699995040894"/>
    <n v="65.269999504089398"/>
    <n v="1.3432798385620099"/>
    <n v="67.163991928100501"/>
    <n v="1.4884116649627701"/>
    <n v="74.420583248138499"/>
    <n v="0.82194423675537098"/>
    <n v="41.097211837768548"/>
    <n v="0.58876705169677701"/>
    <n v="0.15306606888771099"/>
    <n v="0.57473057508468595"/>
  </r>
  <r>
    <x v="2"/>
    <x v="31"/>
    <n v="28"/>
    <n v="6.4539999961853001"/>
    <n v="64.539999961852999"/>
    <n v="1.2175596952438399"/>
    <n v="60.877984762191993"/>
    <n v="1.4122278690338099"/>
    <n v="70.611393451690503"/>
    <n v="0.71921682357788097"/>
    <n v="35.96084117889405"/>
    <n v="0.57939225435257002"/>
    <n v="0.178061872720718"/>
    <n v="0.17509692907333399"/>
  </r>
  <r>
    <x v="2"/>
    <x v="42"/>
    <n v="29"/>
    <n v="6.4539999961853001"/>
    <n v="64.539999961852999"/>
    <n v="0.87200194597244296"/>
    <n v="43.600097298622146"/>
    <n v="1.2555851936340301"/>
    <n v="62.779259681701504"/>
    <n v="0.54023998975753795"/>
    <n v="27.011999487876899"/>
    <n v="0.53131061792373702"/>
    <n v="7.72232785820961E-2"/>
    <n v="0.28348839282989502"/>
  </r>
  <r>
    <x v="2"/>
    <x v="24"/>
    <n v="30"/>
    <n v="6.4520001411437997"/>
    <n v="64.520001411438002"/>
    <n v="1.23374843597412"/>
    <n v="61.687421798705998"/>
    <n v="1.3731925487518299"/>
    <n v="68.659627437591496"/>
    <n v="0.70615613460540805"/>
    <n v="35.3078067302704"/>
    <n v="0.55002683401107799"/>
    <n v="7.0983923971652998E-2"/>
    <n v="0.21055693924426999"/>
  </r>
  <r>
    <x v="2"/>
    <x v="28"/>
    <n v="31"/>
    <n v="6.4419999122619602"/>
    <n v="64.4199991226196"/>
    <n v="1.4309234619140601"/>
    <n v="71.546173095702997"/>
    <n v="1.3877768516540501"/>
    <n v="69.388842582702509"/>
    <n v="0.844465851783752"/>
    <n v="42.223292589187601"/>
    <n v="0.47022211551666299"/>
    <n v="0.17250242829322801"/>
    <n v="0.12976230680942499"/>
  </r>
  <r>
    <x v="2"/>
    <x v="33"/>
    <n v="32"/>
    <n v="6.4239997863769496"/>
    <n v="64.239997863769503"/>
    <n v="1.12786877155304"/>
    <n v="56.393438577651999"/>
    <n v="1.42579245567322"/>
    <n v="71.289622783661002"/>
    <n v="0.647239029407501"/>
    <n v="32.361951470375047"/>
    <n v="0.58020073175430298"/>
    <n v="3.16127352416515E-2"/>
    <n v="0.57212311029434204"/>
  </r>
  <r>
    <x v="2"/>
    <x v="163"/>
    <n v="33"/>
    <n v="6.4219999313354501"/>
    <n v="64.219999313354506"/>
    <n v="1.43362653255463"/>
    <n v="71.681326627731494"/>
    <n v="1.38456535339355"/>
    <n v="69.228267669677507"/>
    <n v="0.793984234333038"/>
    <n v="39.699211716651902"/>
    <n v="0.36146658658981301"/>
    <n v="6.3829235732555403E-2"/>
    <n v="0.258360475301743"/>
  </r>
  <r>
    <x v="2"/>
    <x v="35"/>
    <n v="34"/>
    <n v="6.4029998779296902"/>
    <n v="64.029998779296903"/>
    <n v="1.3843978643417401"/>
    <n v="69.219893217087005"/>
    <n v="1.5320909023284901"/>
    <n v="76.604545116424504"/>
    <n v="0.88896059989929199"/>
    <n v="44.4480299949646"/>
    <n v="0.40878123044967701"/>
    <n v="7.0914097130298601E-2"/>
    <n v="0.190133571624756"/>
  </r>
  <r>
    <x v="2"/>
    <x v="27"/>
    <n v="35"/>
    <n v="6.375"/>
    <n v="63.75"/>
    <n v="1.87076568603516"/>
    <n v="93.538284301757997"/>
    <n v="1.27429687976837"/>
    <n v="63.714843988418501"/>
    <n v="0.71009808778762795"/>
    <n v="35.504904389381394"/>
    <n v="0.60413098335266102"/>
    <n v="0.439299255609512"/>
    <n v="0.33047387003898598"/>
  </r>
  <r>
    <x v="2"/>
    <x v="32"/>
    <n v="36"/>
    <n v="6.3569998741149902"/>
    <n v="63.569998741149902"/>
    <n v="1.07062232494354"/>
    <n v="53.531116247177003"/>
    <n v="1.4021829366684"/>
    <n v="70.109146833419999"/>
    <n v="0.59502792358398404"/>
    <n v="29.751396179199201"/>
    <n v="0.47748741507530201"/>
    <n v="4.6668741852045101E-2"/>
    <n v="0.149014472961426"/>
  </r>
  <r>
    <x v="2"/>
    <x v="34"/>
    <n v="37"/>
    <n v="6.3439998626709002"/>
    <n v="63.439998626709006"/>
    <n v="1.53062355518341"/>
    <n v="76.531177759170504"/>
    <n v="1.28667759895325"/>
    <n v="64.333879947662496"/>
    <n v="0.59014832973480202"/>
    <n v="29.507416486740102"/>
    <n v="0.44975057244300798"/>
    <n v="0.27343225479125999"/>
    <n v="0.14761601388454401"/>
  </r>
  <r>
    <x v="2"/>
    <x v="40"/>
    <n v="38"/>
    <n v="6.1680002212524396"/>
    <n v="61.680002212524393"/>
    <n v="1.36135590076447"/>
    <n v="68.067795038223494"/>
    <n v="1.3802285194396999"/>
    <n v="69.011425971984991"/>
    <n v="0.51998329162597701"/>
    <n v="25.999164581298849"/>
    <n v="0.51863074302673295"/>
    <n v="8.9648161083459906E-3"/>
    <n v="0.325296461582184"/>
  </r>
  <r>
    <x v="2"/>
    <x v="38"/>
    <n v="39"/>
    <n v="6.1050000190734899"/>
    <n v="61.050000190734899"/>
    <n v="1.63295245170593"/>
    <n v="81.647622585296503"/>
    <n v="1.25969874858856"/>
    <n v="62.984937429428001"/>
    <n v="0.63210570812225297"/>
    <n v="31.60528540611265"/>
    <n v="0.49633759260177601"/>
    <n v="0.21515955030918099"/>
    <n v="0.22828979790210699"/>
  </r>
  <r>
    <x v="2"/>
    <x v="44"/>
    <n v="40"/>
    <n v="6.09800004959106"/>
    <n v="60.980000495910602"/>
    <n v="1.3253935575485201"/>
    <n v="66.269677877426005"/>
    <n v="1.50505924224854"/>
    <n v="75.252962112426999"/>
    <n v="0.71273291110992398"/>
    <n v="35.636645555496202"/>
    <n v="0.29581746459007302"/>
    <n v="2.4210851639509201E-2"/>
    <n v="0.13654448091983801"/>
  </r>
  <r>
    <x v="2"/>
    <x v="48"/>
    <n v="41"/>
    <n v="6.0869998931884801"/>
    <n v="60.869998931884801"/>
    <n v="1.4884122610092201"/>
    <n v="74.420613050461"/>
    <n v="1.3231104612350499"/>
    <n v="66.15552306175249"/>
    <n v="0.65313303470611594"/>
    <n v="32.6566517353058"/>
    <n v="0.53674691915512096"/>
    <n v="0.25704216957092302"/>
    <n v="0.172668486833572"/>
  </r>
  <r>
    <x v="2"/>
    <x v="60"/>
    <n v="42"/>
    <n v="6.0840001106262198"/>
    <n v="60.840001106262193"/>
    <n v="1.29121541976929"/>
    <n v="64.560770988464498"/>
    <n v="1.28464603424072"/>
    <n v="64.232301712036005"/>
    <n v="0.61878442764282204"/>
    <n v="30.939221382141103"/>
    <n v="0.40226498246192899"/>
    <n v="6.5600708127021803E-2"/>
    <n v="0.41660892963409402"/>
  </r>
  <r>
    <x v="2"/>
    <x v="56"/>
    <n v="43"/>
    <n v="6.0710000991821298"/>
    <n v="60.710000991821303"/>
    <n v="0.737299203872681"/>
    <n v="36.864960193634047"/>
    <n v="1.28721570968628"/>
    <n v="64.360785484313993"/>
    <n v="0.65309596061706499"/>
    <n v="32.65479803085325"/>
    <n v="0.44755184650421098"/>
    <n v="0.130687981843948"/>
    <n v="0.30167421698570301"/>
  </r>
  <r>
    <x v="2"/>
    <x v="47"/>
    <n v="44"/>
    <n v="6.0079998970031703"/>
    <n v="60.079998970031703"/>
    <n v="1.00082039833069"/>
    <n v="50.041019916534502"/>
    <n v="1.2861688137054399"/>
    <n v="64.308440685271989"/>
    <n v="0.68563622236251798"/>
    <n v="34.281811118125901"/>
    <n v="0.45519819855690002"/>
    <n v="0.140134647488594"/>
    <n v="0.150112465023994"/>
  </r>
  <r>
    <x v="2"/>
    <x v="41"/>
    <n v="45"/>
    <n v="6.0029997825622603"/>
    <n v="60.029997825622601"/>
    <n v="0.909784495830536"/>
    <n v="45.489224791526802"/>
    <n v="1.1821250915527299"/>
    <n v="59.106254577636498"/>
    <n v="0.59601855278015103"/>
    <n v="29.800927639007551"/>
    <n v="0.43245252966880798"/>
    <n v="8.9980959892272894E-2"/>
    <n v="7.8257985413074493E-2"/>
  </r>
  <r>
    <x v="2"/>
    <x v="59"/>
    <n v="46"/>
    <n v="5.97300004959106"/>
    <n v="59.730000495910602"/>
    <n v="1.29178786277771"/>
    <n v="64.589393138885498"/>
    <n v="1.44571197032928"/>
    <n v="72.285598516464006"/>
    <n v="0.69947534799575795"/>
    <n v="34.973767399787896"/>
    <n v="0.52034211158752397"/>
    <n v="5.9307806193828597E-2"/>
    <n v="0.158465966582298"/>
  </r>
  <r>
    <x v="2"/>
    <x v="43"/>
    <n v="47"/>
    <n v="5.9710001945495597"/>
    <n v="59.710001945495591"/>
    <n v="0.78644108772277799"/>
    <n v="39.322054386138902"/>
    <n v="1.5489691495895399"/>
    <n v="77.448457479477"/>
    <n v="0.49827262759208701"/>
    <n v="24.91363137960435"/>
    <n v="0.65824866294860795"/>
    <n v="0.24652822315692899"/>
    <n v="0.415983647108078"/>
  </r>
  <r>
    <x v="2"/>
    <x v="49"/>
    <n v="48"/>
    <n v="5.9640002250671396"/>
    <n v="59.640002250671401"/>
    <n v="1.3950666189193699"/>
    <n v="69.7533309459685"/>
    <n v="1.44492328166962"/>
    <n v="72.246164083481005"/>
    <n v="0.85314434766769398"/>
    <n v="42.657217383384697"/>
    <n v="0.25645071268081698"/>
    <n v="2.8028091415762901E-2"/>
    <n v="0.17278964817524001"/>
  </r>
  <r>
    <x v="2"/>
    <x v="63"/>
    <n v="49"/>
    <n v="5.9629998207092303"/>
    <n v="59.629998207092306"/>
    <n v="1.28177809715271"/>
    <n v="64.088904857635498"/>
    <n v="1.46928238868713"/>
    <n v="73.464119434356505"/>
    <n v="0.547349333763123"/>
    <n v="27.367466688156149"/>
    <n v="0.37378311157226601"/>
    <n v="3.2962881028652198E-2"/>
    <n v="5.2263822406530401E-2"/>
  </r>
  <r>
    <x v="2"/>
    <x v="159"/>
    <n v="50"/>
    <n v="5.9559998512268102"/>
    <n v="59.559998512268102"/>
    <n v="0.90797531604766801"/>
    <n v="45.398765802383402"/>
    <n v="1.0814177989959699"/>
    <n v="54.070889949798499"/>
    <n v="0.45019176602363598"/>
    <n v="22.5095883011818"/>
    <n v="0.54750937223434404"/>
    <n v="9.6581071615219102E-2"/>
    <n v="0.24001564085483601"/>
  </r>
  <r>
    <x v="2"/>
    <x v="45"/>
    <n v="51"/>
    <n v="5.9200000762939498"/>
    <n v="59.200000762939496"/>
    <n v="1.41691517829895"/>
    <n v="70.845758914947496"/>
    <n v="1.4363378286361701"/>
    <n v="71.8168914318085"/>
    <n v="0.91347587108612105"/>
    <n v="45.673793554306052"/>
    <n v="0.50562554597854603"/>
    <n v="0.163760736584663"/>
    <n v="0.12057276815176"/>
  </r>
  <r>
    <x v="2"/>
    <x v="55"/>
    <n v="52"/>
    <n v="5.90199995040894"/>
    <n v="59.019999504089398"/>
    <n v="1.3145823478698699"/>
    <n v="65.729117393493496"/>
    <n v="1.47351610660553"/>
    <n v="73.675805330276503"/>
    <n v="0.62894994020462003"/>
    <n v="31.447497010231"/>
    <n v="0.23423178493976601"/>
    <n v="1.18656428530812E-2"/>
    <n v="1.0164656676352E-2"/>
  </r>
  <r>
    <x v="2"/>
    <x v="67"/>
    <n v="53"/>
    <n v="5.8720002174377397"/>
    <n v="58.720002174377399"/>
    <n v="1.09186446666718"/>
    <n v="54.593223333358999"/>
    <n v="1.1462174654007"/>
    <n v="57.310873270035003"/>
    <n v="0.61758464574813798"/>
    <n v="30.8792322874069"/>
    <n v="0.23333580791950201"/>
    <n v="0.14609611034393299"/>
    <n v="6.9436646997928606E-2"/>
  </r>
  <r>
    <x v="2"/>
    <x v="88"/>
    <n v="54"/>
    <n v="5.8499999046325701"/>
    <n v="58.499999046325705"/>
    <n v="1.26074862480164"/>
    <n v="63.037431240082"/>
    <n v="1.4047149419784499"/>
    <n v="70.235747098922502"/>
    <n v="0.63856697082519498"/>
    <n v="31.928348541259748"/>
    <n v="0.32570791244506803"/>
    <n v="7.3842726647853907E-2"/>
    <n v="0.153074786067009"/>
  </r>
  <r>
    <x v="2"/>
    <x v="46"/>
    <n v="55"/>
    <n v="5.8379998207092303"/>
    <n v="58.379998207092306"/>
    <n v="1.40167844295502"/>
    <n v="70.083922147750997"/>
    <n v="1.12827444076538"/>
    <n v="56.413722038269"/>
    <n v="0.90021407604217496"/>
    <n v="45.01070380210875"/>
    <n v="0.25792166590690602"/>
    <n v="6.3282668590545696E-2"/>
    <n v="0.20667436718940699"/>
  </r>
  <r>
    <x v="2"/>
    <x v="51"/>
    <n v="56"/>
    <n v="5.8379998207092303"/>
    <n v="58.379998207092306"/>
    <n v="0.728870630264282"/>
    <n v="36.443531513214097"/>
    <n v="1.25182557106018"/>
    <n v="62.591278553008998"/>
    <n v="0.58946520090103105"/>
    <n v="29.473260045051553"/>
    <n v="0.24072904884815199"/>
    <n v="1.00912861526012E-2"/>
    <n v="0.208779126405716"/>
  </r>
  <r>
    <x v="2"/>
    <x v="85"/>
    <n v="57"/>
    <n v="5.8249998092651403"/>
    <n v="58.249998092651403"/>
    <n v="1.21768391132355"/>
    <n v="60.884195566177503"/>
    <n v="1.15009129047394"/>
    <n v="57.504564523696999"/>
    <n v="0.68515831232070901"/>
    <n v="34.257915616035447"/>
    <n v="0.45700374245643599"/>
    <n v="4.3879006989300303E-3"/>
    <n v="0.133519917726517"/>
  </r>
  <r>
    <x v="2"/>
    <x v="50"/>
    <n v="58"/>
    <n v="5.8229999542236301"/>
    <n v="58.229999542236307"/>
    <n v="0.83375656604766801"/>
    <n v="41.687828302383402"/>
    <n v="1.2276190519332899"/>
    <n v="61.380952596664493"/>
    <n v="0.47363024950027499"/>
    <n v="23.681512475013751"/>
    <n v="0.55873292684555098"/>
    <n v="6.0477726161479901E-2"/>
    <n v="0.22556072473526001"/>
  </r>
  <r>
    <x v="2"/>
    <x v="69"/>
    <n v="59"/>
    <n v="5.82200002670288"/>
    <n v="58.220000267028794"/>
    <n v="1.13077676296234"/>
    <n v="56.538838148117001"/>
    <n v="1.4931491613388099"/>
    <n v="74.657458066940492"/>
    <n v="0.437726080417633"/>
    <n v="21.886304020881649"/>
    <n v="0.41827192902565002"/>
    <n v="0.259270340204239"/>
    <n v="0.24992498755455"/>
  </r>
  <r>
    <x v="2"/>
    <x v="53"/>
    <n v="60"/>
    <n v="5.8189997673034703"/>
    <n v="58.189997673034703"/>
    <n v="1.28455626964569"/>
    <n v="64.227813482284503"/>
    <n v="1.3843690156936601"/>
    <n v="69.218450784683"/>
    <n v="0.60604155063629195"/>
    <n v="30.302077531814597"/>
    <n v="0.437454283237457"/>
    <n v="0.119282886385918"/>
    <n v="0.20196442306041701"/>
  </r>
  <r>
    <x v="2"/>
    <x v="65"/>
    <n v="61"/>
    <n v="5.8099999427795401"/>
    <n v="58.099999427795396"/>
    <n v="1.3469113111496001"/>
    <n v="67.345565557480001"/>
    <n v="1.1863033771514899"/>
    <n v="59.315168857574498"/>
    <n v="0.83464723825454701"/>
    <n v="41.732361912727349"/>
    <n v="0.47120362520217901"/>
    <n v="0.15535335242748299"/>
    <n v="0.266845703125"/>
  </r>
  <r>
    <x v="2"/>
    <x v="54"/>
    <n v="62"/>
    <n v="5.7579998970031703"/>
    <n v="57.579998970031703"/>
    <n v="1.3412059545517001"/>
    <n v="67.060297727585009"/>
    <n v="1.4525188207626301"/>
    <n v="72.625941038131501"/>
    <n v="0.79082822799682595"/>
    <n v="39.541411399841294"/>
    <n v="0.57257580757141102"/>
    <n v="4.5128978788852699E-2"/>
    <n v="0.24264909327030201"/>
  </r>
  <r>
    <x v="2"/>
    <x v="57"/>
    <n v="63"/>
    <n v="5.7150001525878897"/>
    <n v="57.150001525878892"/>
    <n v="1.0352252721786499"/>
    <n v="51.761263608932495"/>
    <n v="1.2187703847885101"/>
    <n v="60.938519239425503"/>
    <n v="0.63016611337661699"/>
    <n v="31.50830566883085"/>
    <n v="0.45000287890434298"/>
    <n v="4.7049086540937403E-2"/>
    <n v="0.12681971490383101"/>
  </r>
  <r>
    <x v="2"/>
    <x v="70"/>
    <n v="64"/>
    <n v="5.6290001869201696"/>
    <n v="56.290001869201696"/>
    <n v="1.1893955469131501"/>
    <n v="59.469777345657505"/>
    <n v="1.20956099033356"/>
    <n v="60.478049516677999"/>
    <n v="0.63800746202468905"/>
    <n v="31.900373101234454"/>
    <n v="0.49124732613563499"/>
    <n v="4.2181555181741701E-2"/>
    <n v="0.36093375086784402"/>
  </r>
  <r>
    <x v="2"/>
    <x v="66"/>
    <n v="65"/>
    <n v="5.6209998130798304"/>
    <n v="56.209998130798304"/>
    <n v="1.3559380769729601"/>
    <n v="67.796903848648"/>
    <n v="1.13136327266693"/>
    <n v="56.568163633346501"/>
    <n v="0.84471470117569003"/>
    <n v="42.235735058784499"/>
    <n v="0.35511153936386097"/>
    <n v="4.1237976402044303E-2"/>
    <n v="0.27125430107116699"/>
  </r>
  <r>
    <x v="2"/>
    <x v="72"/>
    <n v="66"/>
    <n v="5.6110000610351598"/>
    <n v="56.110000610351598"/>
    <n v="1.32087934017181"/>
    <n v="66.043967008590499"/>
    <n v="1.4766710996627801"/>
    <n v="73.83355498313901"/>
    <n v="0.695168316364288"/>
    <n v="34.758415818214402"/>
    <n v="0.479131430387497"/>
    <n v="0.183248922228813"/>
    <n v="9.8890811204910306E-2"/>
  </r>
  <r>
    <x v="2"/>
    <x v="58"/>
    <n v="67"/>
    <n v="5.5689997673034703"/>
    <n v="55.689997673034703"/>
    <n v="1.1565575599670399"/>
    <n v="57.827877998351994"/>
    <n v="1.44494521617889"/>
    <n v="72.247260808944503"/>
    <n v="0.63771426677703902"/>
    <n v="31.88571333885195"/>
    <n v="0.29540026187896701"/>
    <n v="0.156313821673393"/>
    <n v="0.15513750910759"/>
  </r>
  <r>
    <x v="2"/>
    <x v="62"/>
    <n v="68"/>
    <n v="5.5250000953674299"/>
    <n v="55.250000953674295"/>
    <n v="1.1018030643463099"/>
    <n v="55.090153217315496"/>
    <n v="1.3575643301010101"/>
    <n v="67.878216505050503"/>
    <n v="0.52016901969909701"/>
    <n v="26.008450984954852"/>
    <n v="0.46573323011398299"/>
    <n v="9.2610210180282607E-2"/>
    <n v="0.15207366645336201"/>
  </r>
  <r>
    <x v="2"/>
    <x v="75"/>
    <n v="69"/>
    <n v="5.5"/>
    <n v="55"/>
    <n v="1.19827437400818"/>
    <n v="59.913718700408999"/>
    <n v="1.3377531766891499"/>
    <n v="66.887658834457497"/>
    <n v="0.63760560750961304"/>
    <n v="31.880280375480652"/>
    <n v="0.30074059963226302"/>
    <n v="9.9671579897403703E-2"/>
    <n v="4.6693041920661899E-2"/>
  </r>
  <r>
    <x v="2"/>
    <x v="52"/>
    <n v="70"/>
    <n v="5.4930000305175799"/>
    <n v="54.930000305175803"/>
    <n v="0.93253731727600098"/>
    <n v="46.626865863800049"/>
    <n v="1.50728487968445"/>
    <n v="75.364243984222497"/>
    <n v="0.57925069332122803"/>
    <n v="28.962534666061401"/>
    <n v="0.47350779175758401"/>
    <n v="9.1065913438796997E-2"/>
    <n v="0.22415065765380901"/>
  </r>
  <r>
    <x v="2"/>
    <x v="164"/>
    <n v="71"/>
    <n v="5.4720001220703098"/>
    <n v="54.720001220703104"/>
    <n v="1.55167484283447"/>
    <n v="77.583742141723505"/>
    <n v="1.2627909183502199"/>
    <n v="63.139545917511001"/>
    <n v="0.943062424659729"/>
    <n v="47.15312123298645"/>
    <n v="0.49096864461898798"/>
    <n v="0.29393374919891402"/>
    <n v="0.37446579337120101"/>
  </r>
  <r>
    <x v="2"/>
    <x v="89"/>
    <n v="72"/>
    <n v="5.4299998283386204"/>
    <n v="54.299998283386209"/>
    <n v="0.85769921541214"/>
    <n v="42.884960770607002"/>
    <n v="1.25391757488251"/>
    <n v="62.695878744125501"/>
    <n v="0.46800905466079701"/>
    <n v="23.400452733039849"/>
    <n v="0.58521467447280895"/>
    <n v="9.9331893026828794E-2"/>
    <n v="0.193513423204422"/>
  </r>
  <r>
    <x v="2"/>
    <x v="86"/>
    <n v="73"/>
    <n v="5.3949999809265101"/>
    <n v="53.949999809265101"/>
    <n v="1.0693175792694101"/>
    <n v="53.465878963470502"/>
    <n v="1.25818979740143"/>
    <n v="62.909489870071496"/>
    <n v="0.65078467130661"/>
    <n v="32.539233565330498"/>
    <n v="0.20871552824974099"/>
    <n v="4.0903780609369299E-2"/>
    <n v="0.22012588381767301"/>
  </r>
  <r>
    <x v="2"/>
    <x v="81"/>
    <n v="74"/>
    <n v="5.3359999656677202"/>
    <n v="53.359999656677203"/>
    <n v="0.99101239442825295"/>
    <n v="49.550619721412644"/>
    <n v="1.2390888929367101"/>
    <n v="61.954444646835505"/>
    <n v="0.60459005832672097"/>
    <n v="30.229502916336049"/>
    <n v="0.41842114925384499"/>
    <n v="0.11980327218771"/>
    <n v="0.172170460224152"/>
  </r>
  <r>
    <x v="2"/>
    <x v="103"/>
    <n v="75"/>
    <n v="5.3239998817443803"/>
    <n v="53.239998817443805"/>
    <n v="1.2860119342803999"/>
    <n v="64.300596714020003"/>
    <n v="1.34313309192657"/>
    <n v="67.156654596328508"/>
    <n v="0.687763452529907"/>
    <n v="34.388172626495347"/>
    <n v="0.17586351931095101"/>
    <n v="3.66369374096394E-2"/>
    <n v="7.84016624093056E-2"/>
  </r>
  <r>
    <x v="2"/>
    <x v="64"/>
    <n v="76"/>
    <n v="5.3109998703002903"/>
    <n v="53.109998703002908"/>
    <n v="0.92557930946350098"/>
    <n v="46.278965473175049"/>
    <n v="1.3682180643081701"/>
    <n v="68.410903215408496"/>
    <n v="0.64102238416671797"/>
    <n v="32.051119208335898"/>
    <n v="0.47430723905563399"/>
    <n v="5.5267781019210802E-2"/>
    <n v="0.23381833732128099"/>
  </r>
  <r>
    <x v="2"/>
    <x v="61"/>
    <n v="77"/>
    <n v="5.2930002212524396"/>
    <n v="52.930002212524393"/>
    <n v="1.22255623340607"/>
    <n v="61.127811670303501"/>
    <n v="0.96798300743103005"/>
    <n v="48.399150371551499"/>
    <n v="0.701288521289825"/>
    <n v="35.064426064491251"/>
    <n v="0.25577229261398299"/>
    <n v="4.3103110045194598E-2"/>
    <n v="0.24800297617912301"/>
  </r>
  <r>
    <x v="2"/>
    <x v="68"/>
    <n v="78"/>
    <n v="5.2789998054504403"/>
    <n v="52.789998054504409"/>
    <n v="0.95148438215255704"/>
    <n v="47.574219107627854"/>
    <n v="1.1378535032272299"/>
    <n v="56.892675161361495"/>
    <n v="0.54145205020904497"/>
    <n v="27.072602510452249"/>
    <n v="0.26028794050216703"/>
    <n v="5.7471618056297302E-2"/>
    <n v="0.31993144750595098"/>
  </r>
  <r>
    <x v="2"/>
    <x v="83"/>
    <n v="79"/>
    <n v="5.2729997634887704"/>
    <n v="52.72999763488771"/>
    <n v="1.08116579055786"/>
    <n v="54.058289527893002"/>
    <n v="1.1608374118804901"/>
    <n v="58.041870594024502"/>
    <n v="0.74141550064086903"/>
    <n v="37.07077503204345"/>
    <n v="0.47278770804405201"/>
    <n v="2.2794274613261199E-2"/>
    <n v="2.8806841000914601E-2"/>
  </r>
  <r>
    <x v="2"/>
    <x v="80"/>
    <n v="80"/>
    <n v="5.2690000534057599"/>
    <n v="52.690000534057596"/>
    <n v="0.72688353061676003"/>
    <n v="36.344176530837998"/>
    <n v="0.672690689563751"/>
    <n v="33.634534478187547"/>
    <n v="0.40204778313636802"/>
    <n v="20.102389156818401"/>
    <n v="0.23521526157855999"/>
    <n v="0.124348066747189"/>
    <n v="0.31544601917266801"/>
  </r>
  <r>
    <x v="2"/>
    <x v="73"/>
    <n v="81"/>
    <n v="5.2620000839233398"/>
    <n v="52.620000839233398"/>
    <n v="0.99553859233856201"/>
    <n v="49.776929616928101"/>
    <n v="1.2744446992874101"/>
    <n v="63.722234964370507"/>
    <n v="0.492345720529556"/>
    <n v="24.6172860264778"/>
    <n v="0.44332346320152299"/>
    <n v="1.5317135490477101E-2"/>
    <n v="0.61170458793640103"/>
  </r>
  <r>
    <x v="2"/>
    <x v="22"/>
    <n v="82"/>
    <n v="5.25"/>
    <n v="52.5"/>
    <n v="1.1284312009811399"/>
    <n v="56.421560049056993"/>
    <n v="1.4313375949859599"/>
    <n v="71.566879749297996"/>
    <n v="0.61714422702789296"/>
    <n v="30.857211351394646"/>
    <n v="0.153997123241425"/>
    <n v="6.4491122961044298E-2"/>
    <n v="6.5019629895687103E-2"/>
  </r>
  <r>
    <x v="2"/>
    <x v="82"/>
    <n v="83"/>
    <n v="5.23699998855591"/>
    <n v="52.369999885559103"/>
    <n v="1.1211290359497099"/>
    <n v="56.056451797485494"/>
    <n v="1.23837649822235"/>
    <n v="61.918824911117497"/>
    <n v="0.66746467351913497"/>
    <n v="33.373233675956747"/>
    <n v="0.19498905539512601"/>
    <n v="8.8174194097518893E-2"/>
    <n v="0.19791102409362801"/>
  </r>
  <r>
    <x v="2"/>
    <x v="91"/>
    <n v="84"/>
    <n v="5.2350001335143999"/>
    <n v="52.350001335144"/>
    <n v="0.87811458110809304"/>
    <n v="43.905729055404649"/>
    <n v="0.77486443519592296"/>
    <n v="38.74322175979615"/>
    <n v="0.59771066904068004"/>
    <n v="29.885533452034004"/>
    <n v="0.40815833210945102"/>
    <n v="8.7763182818889604E-2"/>
    <n v="3.2209955155849498E-2"/>
  </r>
  <r>
    <x v="2"/>
    <x v="79"/>
    <n v="85"/>
    <n v="5.2340002059936497"/>
    <n v="52.340002059936502"/>
    <n v="1.1536017656326301"/>
    <n v="57.680088281631505"/>
    <n v="1.15240025520325"/>
    <n v="57.620012760162496"/>
    <n v="0.54077577590942405"/>
    <n v="27.038788795471202"/>
    <n v="0.398155838251114"/>
    <n v="0.18098750710487399"/>
    <n v="4.5269340276718098E-2"/>
  </r>
  <r>
    <x v="2"/>
    <x v="97"/>
    <n v="86"/>
    <n v="5.2300000190734899"/>
    <n v="52.300000190734899"/>
    <n v="1.07937383651733"/>
    <n v="53.9686918258665"/>
    <n v="1.40241670608521"/>
    <n v="70.120835304260495"/>
    <n v="0.57487374544143699"/>
    <n v="28.743687272071849"/>
    <n v="0.55258983373642001"/>
    <n v="0.113945253193378"/>
    <n v="0.18696784973144501"/>
  </r>
  <r>
    <x v="2"/>
    <x v="101"/>
    <n v="87"/>
    <n v="5.2270002365112296"/>
    <n v="52.27000236511229"/>
    <n v="1.2894874811172501"/>
    <n v="64.474374055862498"/>
    <n v="1.2394145727157599"/>
    <n v="61.970728635787999"/>
    <n v="0.81019890308380105"/>
    <n v="40.509945154190049"/>
    <n v="9.5731250941753401E-2"/>
    <n v="4.3289776891469997E-2"/>
    <n v="0"/>
  </r>
  <r>
    <x v="2"/>
    <x v="102"/>
    <n v="88"/>
    <n v="5.2249999046325701"/>
    <n v="52.249999046325705"/>
    <n v="1.0749875307083101"/>
    <n v="53.749376535415507"/>
    <n v="1.1296242475509599"/>
    <n v="56.481212377547998"/>
    <n v="0.73508107662200906"/>
    <n v="36.75405383110045"/>
    <n v="0.288515985012054"/>
    <n v="3.7513829767704003E-2"/>
    <n v="0.26445075869560197"/>
  </r>
  <r>
    <x v="2"/>
    <x v="87"/>
    <n v="89"/>
    <n v="5.1950001716613796"/>
    <n v="51.950001716613791"/>
    <n v="1.3151752948761"/>
    <n v="65.758764743805003"/>
    <n v="1.36704301834106"/>
    <n v="68.352150917052995"/>
    <n v="0.79584354162216198"/>
    <n v="39.7921770811081"/>
    <n v="0.49846529960632302"/>
    <n v="1.5869451686739901E-2"/>
    <n v="9.5102712512016296E-2"/>
  </r>
  <r>
    <x v="2"/>
    <x v="95"/>
    <n v="90"/>
    <n v="5.1820001602172896"/>
    <n v="51.820001602172894"/>
    <n v="0.98240941762924205"/>
    <n v="49.120470881462104"/>
    <n v="1.0693359375"/>
    <n v="53.466796875"/>
    <n v="0.705186307430267"/>
    <n v="35.259315371513352"/>
    <n v="0.204403176903725"/>
    <n v="0"/>
    <n v="0.32886749505996699"/>
  </r>
  <r>
    <x v="2"/>
    <x v="104"/>
    <n v="91"/>
    <n v="5.1810002326965297"/>
    <n v="51.810002326965297"/>
    <n v="0.73057311773300204"/>
    <n v="36.5286558866501"/>
    <n v="1.1439449787139899"/>
    <n v="57.197248935699498"/>
    <n v="0.582569479942322"/>
    <n v="29.1284739971161"/>
    <n v="0.34807986021041898"/>
    <n v="7.3345452547073406E-2"/>
    <n v="0.23618887364864299"/>
  </r>
  <r>
    <x v="2"/>
    <x v="92"/>
    <n v="92"/>
    <n v="5.1750001907348597"/>
    <n v="51.750001907348597"/>
    <n v="1.0645779371261599"/>
    <n v="53.228896856307998"/>
    <n v="1.2078930139541599"/>
    <n v="60.394650697707995"/>
    <n v="0.64494818449020397"/>
    <n v="32.2474092245102"/>
    <n v="0.32590597867965698"/>
    <n v="6.0277793556451797E-2"/>
    <n v="0.25376096367835999"/>
  </r>
  <r>
    <x v="2"/>
    <x v="160"/>
    <n v="93"/>
    <n v="5.15100002288818"/>
    <n v="51.5100002288818"/>
    <n v="2.2643184289336201E-2"/>
    <n v="1.13215921446681"/>
    <n v="0.72115135192871105"/>
    <n v="36.057567596435554"/>
    <n v="0.113989137113094"/>
    <n v="5.6994568556546996"/>
    <n v="0.60212695598602295"/>
    <n v="0.28241032361984297"/>
    <n v="0.29163131117820701"/>
  </r>
  <r>
    <x v="2"/>
    <x v="74"/>
    <n v="94"/>
    <n v="5.0739998817443803"/>
    <n v="50.739998817443805"/>
    <n v="0.78854757547378496"/>
    <n v="39.427378773689249"/>
    <n v="1.2774913311004601"/>
    <n v="63.874566555023002"/>
    <n v="0.652168989181519"/>
    <n v="32.608449459075949"/>
    <n v="0.57105559110641502"/>
    <n v="8.7633237242698697E-2"/>
    <n v="0.234968051314354"/>
  </r>
  <r>
    <x v="2"/>
    <x v="77"/>
    <n v="95"/>
    <n v="5.0739998817443803"/>
    <n v="50.739998817443805"/>
    <n v="0.78375625610351596"/>
    <n v="39.187812805175795"/>
    <n v="1.21577048301697"/>
    <n v="60.788524150848502"/>
    <n v="5.6915730237960802E-2"/>
    <n v="2.8457865118980399"/>
    <n v="0.39495256543159502"/>
    <n v="2.61215660721064E-2"/>
    <n v="0.23094719648361201"/>
  </r>
  <r>
    <x v="2"/>
    <x v="105"/>
    <n v="96"/>
    <n v="5.0409998893737802"/>
    <n v="50.409998893737807"/>
    <n v="0.524713635444641"/>
    <n v="26.235681772232049"/>
    <n v="1.27146327495575"/>
    <n v="63.573163747787497"/>
    <n v="0.52923512458801303"/>
    <n v="26.461756229400653"/>
    <n v="0.47156670689582803"/>
    <n v="0.14637714624404899"/>
    <n v="0.24899764358997301"/>
  </r>
  <r>
    <x v="2"/>
    <x v="78"/>
    <n v="97"/>
    <n v="5.0110001564025897"/>
    <n v="50.110001564025893"/>
    <n v="0.88541638851165805"/>
    <n v="44.2708194255829"/>
    <n v="1.34012651443481"/>
    <n v="67.006325721740495"/>
    <n v="0.49587929248809798"/>
    <n v="24.7939646244049"/>
    <n v="0.50153768062591597"/>
    <n v="0.17338038980960799"/>
    <n v="0.474054545164108"/>
  </r>
  <r>
    <x v="2"/>
    <x v="76"/>
    <n v="98"/>
    <n v="5.0040001869201696"/>
    <n v="50.040001869201696"/>
    <n v="0.59622007608413696"/>
    <n v="29.811003804206848"/>
    <n v="1.3942385911941499"/>
    <n v="69.711929559707499"/>
    <n v="0.55345779657363903"/>
    <n v="27.672889828681953"/>
    <n v="0.45494338870048501"/>
    <n v="3.9439179003238699E-2"/>
    <n v="0.42858037352562001"/>
  </r>
  <r>
    <x v="2"/>
    <x v="120"/>
    <n v="99"/>
    <n v="4.9619998931884801"/>
    <n v="49.619998931884801"/>
    <n v="0.47982019186019897"/>
    <n v="23.991009593009949"/>
    <n v="1.17928326129913"/>
    <n v="58.964163064956502"/>
    <n v="0.50413078069686901"/>
    <n v="25.206539034843452"/>
    <n v="0.44030594825744601"/>
    <n v="7.2975546121597304E-2"/>
    <n v="0.39409616589546198"/>
  </r>
  <r>
    <x v="2"/>
    <x v="99"/>
    <n v="100"/>
    <n v="4.9549999237060502"/>
    <n v="49.549999237060504"/>
    <n v="1.0272358655929601"/>
    <n v="51.361793279648005"/>
    <n v="1.4930112361907999"/>
    <n v="74.650561809539994"/>
    <n v="0.55778348445892301"/>
    <n v="27.889174222946149"/>
    <n v="0.39414396882057201"/>
    <n v="3.2902289181947701E-2"/>
    <n v="0.33846423029899603"/>
  </r>
  <r>
    <x v="2"/>
    <x v="112"/>
    <n v="101"/>
    <n v="4.8289999961853001"/>
    <n v="48.289999961852999"/>
    <n v="1.05469870567322"/>
    <n v="52.734935283661002"/>
    <n v="1.38478863239288"/>
    <n v="69.239431619643995"/>
    <n v="0.18708007037639601"/>
    <n v="9.3540035188198001"/>
    <n v="0.479246735572815"/>
    <n v="7.2509497404098497E-2"/>
    <n v="0.13936237990856201"/>
  </r>
  <r>
    <x v="2"/>
    <x v="106"/>
    <n v="102"/>
    <n v="4.8049998283386204"/>
    <n v="48.049998283386202"/>
    <n v="1.0072658061981199"/>
    <n v="50.363290309905992"/>
    <n v="0.86835145950317405"/>
    <n v="43.417572975158706"/>
    <n v="0.61321204900741599"/>
    <n v="30.660602450370799"/>
    <n v="0.28968068957328802"/>
    <n v="8.6723148822784396E-2"/>
    <n v="4.96933571994305E-2"/>
  </r>
  <r>
    <x v="2"/>
    <x v="107"/>
    <n v="103"/>
    <n v="4.7750000953674299"/>
    <n v="47.750000953674302"/>
    <n v="0.71624922752380404"/>
    <n v="35.8124613761902"/>
    <n v="1.1556471586227399"/>
    <n v="57.782357931137"/>
    <n v="0.56566697359085105"/>
    <n v="28.283348679542552"/>
    <n v="0.25471106171607999"/>
    <n v="8.9282602071762099E-2"/>
    <n v="0.114173173904419"/>
  </r>
  <r>
    <x v="2"/>
    <x v="134"/>
    <n v="104"/>
    <n v="4.7350001335143999"/>
    <n v="47.350001335144"/>
    <n v="0.989701807498932"/>
    <n v="49.485090374946601"/>
    <n v="0.99747139215469405"/>
    <n v="49.873569607734701"/>
    <n v="0.52018725872039795"/>
    <n v="26.009362936019897"/>
    <n v="0.282110154628754"/>
    <n v="0.114381365478039"/>
    <n v="0.12863144278526301"/>
  </r>
  <r>
    <x v="2"/>
    <x v="133"/>
    <n v="105"/>
    <n v="4.7140002250671396"/>
    <n v="47.140002250671401"/>
    <n v="1.1614590883255"/>
    <n v="58.072954416275003"/>
    <n v="1.4343794584274301"/>
    <n v="71.718972921371503"/>
    <n v="0.70821768045425404"/>
    <n v="35.4108840227127"/>
    <n v="0.289231717586517"/>
    <n v="1.1051530949771401E-2"/>
    <n v="0.11317769438028299"/>
  </r>
  <r>
    <x v="2"/>
    <x v="122"/>
    <n v="106"/>
    <n v="4.7090001106262198"/>
    <n v="47.090001106262193"/>
    <n v="0.36842092871665999"/>
    <n v="18.421046435832999"/>
    <n v="0.98413604497909501"/>
    <n v="49.206802248954752"/>
    <n v="5.5647538974881198E-3"/>
    <n v="0.27823769487440597"/>
    <n v="0.31869769096374501"/>
    <n v="7.1095176041126307E-2"/>
    <n v="0.293040901422501"/>
  </r>
  <r>
    <x v="2"/>
    <x v="132"/>
    <n v="107"/>
    <n v="4.6950001716613796"/>
    <n v="46.950001716613798"/>
    <n v="0.56430536508560203"/>
    <n v="28.215268254280101"/>
    <n v="0.94601821899414096"/>
    <n v="47.300910949707045"/>
    <n v="0.13289211690425901"/>
    <n v="6.6446058452129506"/>
    <n v="0.43038874864578203"/>
    <n v="5.1306631416082403E-2"/>
    <n v="0.23629845678806299"/>
  </r>
  <r>
    <x v="2"/>
    <x v="109"/>
    <n v="108"/>
    <n v="4.6919999122619602"/>
    <n v="46.9199991226196"/>
    <n v="1.1568731069564799"/>
    <n v="57.843655347823997"/>
    <n v="0.71155124902725198"/>
    <n v="35.577562451362596"/>
    <n v="0.63933318853378296"/>
    <n v="31.966659426689148"/>
    <n v="0.24932260811328899"/>
    <n v="4.8761073499917998E-2"/>
    <n v="0.38724291324615501"/>
  </r>
  <r>
    <x v="2"/>
    <x v="94"/>
    <n v="109"/>
    <n v="4.6440000534057599"/>
    <n v="46.440000534057603"/>
    <n v="0.99619275331497203"/>
    <n v="49.809637665748603"/>
    <n v="0.80368524789810203"/>
    <n v="40.184262394905105"/>
    <n v="0.73115974664688099"/>
    <n v="36.557987332344048"/>
    <n v="0.38149863481521601"/>
    <n v="3.9864215999841697E-2"/>
    <n v="0.20131294429302199"/>
  </r>
  <r>
    <x v="2"/>
    <x v="108"/>
    <n v="110"/>
    <n v="4.6079998016357404"/>
    <n v="46.079998016357408"/>
    <n v="0.58668297529220603"/>
    <n v="29.334148764610301"/>
    <n v="0.73513174057006803"/>
    <n v="36.756587028503404"/>
    <n v="0.53324103355407704"/>
    <n v="26.66205167770385"/>
    <n v="0.47835665941238398"/>
    <n v="0.123717859387398"/>
    <n v="0.17225535213947299"/>
  </r>
  <r>
    <x v="2"/>
    <x v="161"/>
    <n v="111"/>
    <n v="4.5739998817443803"/>
    <n v="45.739998817443805"/>
    <n v="0.96443432569503795"/>
    <n v="48.221716284751899"/>
    <n v="1.0984708070755"/>
    <n v="54.923540353775003"/>
    <n v="0.33861181139946001"/>
    <n v="16.930590569972999"/>
    <n v="0.52030354738235496"/>
    <n v="9.3146972358226804E-2"/>
    <n v="7.7133744955062894E-2"/>
  </r>
  <r>
    <x v="2"/>
    <x v="124"/>
    <n v="112"/>
    <n v="4.55299997329712"/>
    <n v="45.529999732971206"/>
    <n v="0.56047946214675903"/>
    <n v="28.023973107337952"/>
    <n v="1.0679507255554199"/>
    <n v="53.397536277770996"/>
    <n v="0.30998834967613198"/>
    <n v="15.499417483806599"/>
    <n v="0.45276376605033902"/>
    <n v="6.4641319215297699E-2"/>
    <n v="0.444860309362411"/>
  </r>
  <r>
    <x v="2"/>
    <x v="93"/>
    <n v="113"/>
    <n v="4.5500001907348597"/>
    <n v="45.500001907348597"/>
    <n v="0.234305649995804"/>
    <n v="11.715282499790201"/>
    <n v="0.87070101499557495"/>
    <n v="43.535050749778748"/>
    <n v="0.106654435396194"/>
    <n v="5.3327217698096998"/>
    <n v="0.48079109191894498"/>
    <n v="0.179436385631561"/>
    <n v="0.322228103876114"/>
  </r>
  <r>
    <x v="2"/>
    <x v="128"/>
    <n v="114"/>
    <n v="4.5450000762939498"/>
    <n v="45.450000762939496"/>
    <n v="0.36711055040359503"/>
    <n v="18.355527520179752"/>
    <n v="1.12323594093323"/>
    <n v="56.161797046661498"/>
    <n v="0.39752256870269798"/>
    <n v="19.876128435134898"/>
    <n v="0.51449203491210904"/>
    <n v="0.18881620466709101"/>
    <n v="0.83807516098022505"/>
  </r>
  <r>
    <x v="2"/>
    <x v="141"/>
    <n v="115"/>
    <n v="4.5349998474121103"/>
    <n v="45.349998474121108"/>
    <n v="0.479309022426605"/>
    <n v="23.965451121330251"/>
    <n v="1.17969191074371"/>
    <n v="58.984595537185506"/>
    <n v="0.409362852573395"/>
    <n v="20.468142628669749"/>
    <n v="0.37792226672172502"/>
    <n v="0.115460447967052"/>
    <n v="0.183468893170357"/>
  </r>
  <r>
    <x v="2"/>
    <x v="84"/>
    <n v="116"/>
    <n v="4.5139999389648402"/>
    <n v="45.139999389648402"/>
    <n v="0.63640677928924605"/>
    <n v="31.820338964462302"/>
    <n v="1.0031872987747199"/>
    <n v="50.159364938735997"/>
    <n v="0.25783589482307401"/>
    <n v="12.891794741153701"/>
    <n v="0.46160349249839799"/>
    <n v="7.8213550150394398E-2"/>
    <n v="0.24958014488220201"/>
  </r>
  <r>
    <x v="2"/>
    <x v="111"/>
    <n v="117"/>
    <n v="4.4970002174377397"/>
    <n v="44.970002174377399"/>
    <n v="1.10271048545837"/>
    <n v="55.135524272918502"/>
    <n v="0.97861319780349698"/>
    <n v="48.930659890174852"/>
    <n v="0.50118046998977706"/>
    <n v="25.059023499488852"/>
    <n v="0.28855553269386303"/>
    <n v="0.10721575468778601"/>
    <n v="0.19963726401328999"/>
  </r>
  <r>
    <x v="2"/>
    <x v="142"/>
    <n v="118"/>
    <n v="4.4650001525878897"/>
    <n v="44.650001525878892"/>
    <n v="1.1982102394103999"/>
    <n v="59.910511970519998"/>
    <n v="1.1556202173232999"/>
    <n v="57.781010866164998"/>
    <n v="0.356578588485718"/>
    <n v="17.828929424285899"/>
    <n v="0.31232857704162598"/>
    <n v="7.6046787202358204E-2"/>
    <n v="4.3785378336906398E-2"/>
  </r>
  <r>
    <x v="2"/>
    <x v="121"/>
    <n v="119"/>
    <n v="4.46000003814697"/>
    <n v="44.600000381469698"/>
    <n v="0.33923384547233598"/>
    <n v="16.961692273616798"/>
    <n v="0.86466920375823997"/>
    <n v="43.233460187912002"/>
    <n v="0.35340970754623402"/>
    <n v="17.670485377311699"/>
    <n v="0.40884274244308499"/>
    <n v="0.16545571386814101"/>
    <n v="0.31265074014663702"/>
  </r>
  <r>
    <x v="2"/>
    <x v="131"/>
    <n v="120"/>
    <n v="4.4400000572204599"/>
    <n v="44.400000572204604"/>
    <n v="1.0098501443862899"/>
    <n v="50.492507219314497"/>
    <n v="1.25997638702393"/>
    <n v="62.998819351196502"/>
    <n v="0.62513083219528198"/>
    <n v="31.256541609764099"/>
    <n v="0.56121325492858898"/>
    <n v="7.36539661884308E-2"/>
    <n v="0.49086356163024902"/>
  </r>
  <r>
    <x v="2"/>
    <x v="126"/>
    <n v="121"/>
    <n v="4.3759999275207502"/>
    <n v="43.759999275207505"/>
    <n v="0.90059673786163297"/>
    <n v="45.029836893081651"/>
    <n v="1.0074837207794201"/>
    <n v="50.374186038971004"/>
    <n v="0.63752442598342896"/>
    <n v="31.876221299171448"/>
    <n v="0.198303267359734"/>
    <n v="2.66744215041399E-2"/>
    <n v="8.3488091826438904E-2"/>
  </r>
  <r>
    <x v="2"/>
    <x v="116"/>
    <n v="122"/>
    <n v="4.3150000572204599"/>
    <n v="43.150000572204604"/>
    <n v="0.79222124814987205"/>
    <n v="39.611062407493606"/>
    <n v="0.75437259674072299"/>
    <n v="37.718629837036147"/>
    <n v="0.455427616834641"/>
    <n v="22.77138084173205"/>
    <n v="0.46998700499534601"/>
    <n v="9.22268852591515E-2"/>
    <n v="0.23153848946094499"/>
  </r>
  <r>
    <x v="2"/>
    <x v="123"/>
    <n v="123"/>
    <n v="4.2919998168945304"/>
    <n v="42.919998168945298"/>
    <n v="0.64845728874206499"/>
    <n v="32.42286443710325"/>
    <n v="1.2720308303832999"/>
    <n v="63.601541519164996"/>
    <n v="0.28534927964210499"/>
    <n v="14.26746398210525"/>
    <n v="9.6098043024539906E-2"/>
    <n v="0.13695700466632801"/>
    <n v="0.20187002420425401"/>
  </r>
  <r>
    <x v="2"/>
    <x v="138"/>
    <n v="124"/>
    <n v="4.2909998893737802"/>
    <n v="42.909998893737807"/>
    <n v="0.80896425247192405"/>
    <n v="40.448212623596206"/>
    <n v="0.83204436302185103"/>
    <n v="41.602218151092551"/>
    <n v="0.28995743393897999"/>
    <n v="14.497871696949"/>
    <n v="0.43502587080001798"/>
    <n v="7.9618133604526506E-2"/>
    <n v="0.120852127671242"/>
  </r>
  <r>
    <x v="2"/>
    <x v="129"/>
    <n v="125"/>
    <n v="4.2859997749328604"/>
    <n v="42.859997749328599"/>
    <n v="0.95061266422271695"/>
    <n v="47.53063321113585"/>
    <n v="0.57061493396759"/>
    <n v="28.530746698379499"/>
    <n v="0.64954698085784901"/>
    <n v="32.477349042892449"/>
    <n v="0.30941003561019897"/>
    <n v="0.25166663527488697"/>
    <n v="5.4008815437555299E-2"/>
  </r>
  <r>
    <x v="2"/>
    <x v="119"/>
    <n v="126"/>
    <n v="4.2800002098083496"/>
    <n v="42.800002098083496"/>
    <n v="9.2102348804473905E-2"/>
    <n v="4.6051174402236956"/>
    <n v="1.2290234565734901"/>
    <n v="61.451172828674508"/>
    <n v="0.191407024860382"/>
    <n v="9.5703512430191005"/>
    <n v="0.23596134781837499"/>
    <n v="6.02413564920425E-2"/>
    <n v="0.246455833315849"/>
  </r>
  <r>
    <x v="2"/>
    <x v="137"/>
    <n v="127"/>
    <n v="4.1900000572204599"/>
    <n v="41.900000572204604"/>
    <n v="0.47618049383163502"/>
    <n v="23.809024691581751"/>
    <n v="1.2814733982086199"/>
    <n v="64.073669910430993"/>
    <n v="0.169365674257278"/>
    <n v="8.4682837128639008"/>
    <n v="0.30661374330520602"/>
    <n v="0.10497024655342101"/>
    <n v="0.18335419893264801"/>
  </r>
  <r>
    <x v="2"/>
    <x v="150"/>
    <n v="128"/>
    <n v="4.1799998283386204"/>
    <n v="41.799998283386202"/>
    <n v="0.60304892063140902"/>
    <n v="30.152446031570452"/>
    <n v="0.90478003025054898"/>
    <n v="45.239001512527452"/>
    <n v="4.8642169684171697E-2"/>
    <n v="2.4321084842085847"/>
    <n v="0.44770619273185702"/>
    <n v="0.130061775445938"/>
    <n v="0.20123746991157501"/>
  </r>
  <r>
    <x v="2"/>
    <x v="144"/>
    <n v="129"/>
    <n v="4.1680002212524396"/>
    <n v="41.6800022125244"/>
    <n v="0.601765096187592"/>
    <n v="30.088254809379599"/>
    <n v="1.0062383413314799"/>
    <n v="50.311917066573997"/>
    <n v="0.42978340387344399"/>
    <n v="21.489170193672198"/>
    <n v="0.63337582349777199"/>
    <n v="6.8105950951576205E-2"/>
    <n v="0.38592296838760398"/>
  </r>
  <r>
    <x v="2"/>
    <x v="117"/>
    <n v="130"/>
    <n v="4.1389999389648402"/>
    <n v="41.389999389648402"/>
    <n v="0.65951669216155995"/>
    <n v="32.975834608077996"/>
    <n v="1.2140085697174099"/>
    <n v="60.700428485870496"/>
    <n v="0.29092082381248502"/>
    <n v="14.546041190624251"/>
    <n v="1.49958552792668E-2"/>
    <n v="8.9847519993782002E-2"/>
    <n v="0.182317450642586"/>
  </r>
  <r>
    <x v="2"/>
    <x v="113"/>
    <n v="131"/>
    <n v="4.1199998855590803"/>
    <n v="41.199998855590806"/>
    <n v="0.66722482442855802"/>
    <n v="33.361241221427903"/>
    <n v="0.87366473674774203"/>
    <n v="43.683236837387099"/>
    <n v="0.295637726783752"/>
    <n v="14.781886339187601"/>
    <n v="0.423026293516159"/>
    <n v="2.5336369872093201E-2"/>
    <n v="0.25692394375801098"/>
  </r>
  <r>
    <x v="2"/>
    <x v="110"/>
    <n v="132"/>
    <n v="4.0960001945495597"/>
    <n v="40.960001945495591"/>
    <n v="0.89465194940567005"/>
    <n v="44.732597470283501"/>
    <n v="1.39453756809235"/>
    <n v="69.726878404617494"/>
    <n v="0.57590395212173495"/>
    <n v="28.795197606086749"/>
    <n v="0.122974775731564"/>
    <n v="2.3029470816254598E-2"/>
    <n v="0.27006146311759899"/>
  </r>
  <r>
    <x v="2"/>
    <x v="140"/>
    <n v="133"/>
    <n v="4.0809998512268102"/>
    <n v="40.809998512268102"/>
    <n v="0.38143071532249501"/>
    <n v="19.07153576612475"/>
    <n v="1.12982773780823"/>
    <n v="56.491386890411498"/>
    <n v="0.217632606625557"/>
    <n v="10.881630331277851"/>
    <n v="0.443185955286026"/>
    <n v="5.7069718837738002E-2"/>
    <n v="0.32576605677604697"/>
  </r>
  <r>
    <x v="2"/>
    <x v="151"/>
    <n v="134"/>
    <n v="4.03200006484985"/>
    <n v="40.3200006484985"/>
    <n v="0.35022771358490001"/>
    <n v="17.511385679245002"/>
    <n v="1.04328000545502"/>
    <n v="52.164000272750997"/>
    <n v="0.21584425866603901"/>
    <n v="10.792212933301951"/>
    <n v="0.32436785101890597"/>
    <n v="0.120328105986118"/>
    <n v="0.25086468458175698"/>
  </r>
  <r>
    <x v="2"/>
    <x v="143"/>
    <n v="135"/>
    <n v="4.0279998779296902"/>
    <n v="40.279998779296903"/>
    <n v="0.16192533075809501"/>
    <n v="8.09626653790475"/>
    <n v="0.99302500486373901"/>
    <n v="49.651250243186951"/>
    <n v="0.26850500702857999"/>
    <n v="13.425250351429"/>
    <n v="0.36365869641303999"/>
    <n v="0.13857294619083399"/>
    <n v="0.228673845529556"/>
  </r>
  <r>
    <x v="2"/>
    <x v="130"/>
    <n v="136"/>
    <n v="3.9700000286102299"/>
    <n v="39.700000286102302"/>
    <n v="0.233442038297653"/>
    <n v="11.672101914882651"/>
    <n v="0.51256883144378695"/>
    <n v="25.628441572189349"/>
    <n v="0.31508958339691201"/>
    <n v="15.754479169845601"/>
    <n v="0.46691465377807601"/>
    <n v="7.2711654007434803E-2"/>
    <n v="0.287170469760895"/>
  </r>
  <r>
    <x v="2"/>
    <x v="148"/>
    <n v="137"/>
    <n v="3.9360001087188698"/>
    <n v="39.360001087188699"/>
    <n v="0.43801298737525901"/>
    <n v="21.900649368762952"/>
    <n v="0.95385587215423595"/>
    <n v="47.692793607711799"/>
    <n v="4.1134715080261203E-2"/>
    <n v="2.0567357540130602"/>
    <n v="0.16234202682971999"/>
    <n v="5.3581882268190398E-2"/>
    <n v="0.21611385047435799"/>
  </r>
  <r>
    <x v="2"/>
    <x v="114"/>
    <n v="138"/>
    <n v="3.875"/>
    <n v="38.75"/>
    <n v="0.37584653496742199"/>
    <n v="18.792326748371099"/>
    <n v="1.08309590816498"/>
    <n v="54.154795408249001"/>
    <n v="0.19676375389099099"/>
    <n v="9.8381876945495499"/>
    <n v="0.336384207010269"/>
    <n v="9.5375381410121904E-2"/>
    <n v="0.18914349377155301"/>
  </r>
  <r>
    <x v="2"/>
    <x v="96"/>
    <n v="139"/>
    <n v="3.8080000877380402"/>
    <n v="38.0800008773804"/>
    <n v="0.52102124691009499"/>
    <n v="26.05106234550475"/>
    <n v="1.1900951862335201"/>
    <n v="59.504759311676004"/>
    <n v="0"/>
    <n v="0"/>
    <n v="0.39066129922866799"/>
    <n v="0.11909464001655599"/>
    <n v="0.15749727189540899"/>
  </r>
  <r>
    <x v="2"/>
    <x v="136"/>
    <n v="140"/>
    <n v="3.7950000762939502"/>
    <n v="37.950000762939503"/>
    <n v="0.85842818021774303"/>
    <n v="42.921409010887153"/>
    <n v="1.1044119596481301"/>
    <n v="55.220597982406503"/>
    <n v="4.9868665635585799E-2"/>
    <n v="2.4934332817792901"/>
    <n v="0"/>
    <n v="6.9720335304737105E-2"/>
    <n v="9.7926490008830996E-2"/>
  </r>
  <r>
    <x v="2"/>
    <x v="152"/>
    <n v="141"/>
    <n v="3.7939999103546098"/>
    <n v="37.9399991035461"/>
    <n v="0.40147721767425498"/>
    <n v="20.073860883712751"/>
    <n v="0.58154332637786899"/>
    <n v="29.07716631889345"/>
    <n v="0.18074677884578699"/>
    <n v="9.0373389422893489"/>
    <n v="0.10617952048778501"/>
    <n v="6.1157830059528399E-2"/>
    <n v="0.31187093257904103"/>
  </r>
  <r>
    <x v="2"/>
    <x v="127"/>
    <n v="142"/>
    <n v="3.7660000324249299"/>
    <n v="37.660000324249296"/>
    <n v="1.1220941543579099"/>
    <n v="56.104707717895494"/>
    <n v="1.2215549945831301"/>
    <n v="61.077749729156508"/>
    <n v="0.34175550937652599"/>
    <n v="17.087775468826301"/>
    <n v="0.505196332931519"/>
    <n v="9.8583199083805098E-2"/>
    <n v="9.9348448216915103E-2"/>
  </r>
  <r>
    <x v="2"/>
    <x v="154"/>
    <n v="143"/>
    <n v="3.65700006484985"/>
    <n v="36.5700006484985"/>
    <n v="0.43108540773391701"/>
    <n v="21.554270386695851"/>
    <n v="0.435299843549728"/>
    <n v="21.764992177486402"/>
    <n v="0.20993021130561801"/>
    <n v="10.4965105652809"/>
    <n v="0.42596277594566301"/>
    <n v="6.0929015278816202E-2"/>
    <n v="0.20794846117496499"/>
  </r>
  <r>
    <x v="2"/>
    <x v="146"/>
    <n v="144"/>
    <n v="3.6440000534057599"/>
    <n v="36.440000534057603"/>
    <n v="0.30580869317054699"/>
    <n v="15.290434658527349"/>
    <n v="0.91302037239074696"/>
    <n v="45.651018619537346"/>
    <n v="0.375223308801651"/>
    <n v="18.76116544008255"/>
    <n v="0.18919676542282099"/>
    <n v="6.7231975495815305E-2"/>
    <n v="0.208732530474663"/>
  </r>
  <r>
    <x v="2"/>
    <x v="118"/>
    <n v="145"/>
    <n v="3.6029999256134002"/>
    <n v="36.029999256134005"/>
    <n v="0.36861026287078902"/>
    <n v="18.43051314353945"/>
    <n v="0.64044982194900502"/>
    <n v="32.022491097450249"/>
    <n v="0.27732113003730802"/>
    <n v="13.866056501865401"/>
    <n v="3.0369857326149899E-2"/>
    <n v="9.9872149527072906E-2"/>
    <n v="0.489203780889511"/>
  </r>
  <r>
    <x v="2"/>
    <x v="135"/>
    <n v="146"/>
    <n v="3.59299993515015"/>
    <n v="35.9299993515015"/>
    <n v="0.59168344736099199"/>
    <n v="29.5841723680496"/>
    <n v="0.93538224697113004"/>
    <n v="46.769112348556504"/>
    <n v="0.310080915689468"/>
    <n v="15.5040457844734"/>
    <n v="0.24946372210979501"/>
    <n v="5.67674227058887E-2"/>
    <n v="0.104125209152699"/>
  </r>
  <r>
    <x v="2"/>
    <x v="162"/>
    <n v="147"/>
    <n v="3.5910000801086399"/>
    <n v="35.910000801086397"/>
    <n v="0.39724862575531"/>
    <n v="19.862431287765499"/>
    <n v="0.60132312774658203"/>
    <n v="30.066156387329102"/>
    <n v="0.16348600387573201"/>
    <n v="8.1743001937865998"/>
    <n v="0.14706243574619299"/>
    <n v="0.116793513298035"/>
    <n v="0.285670816898346"/>
  </r>
  <r>
    <x v="2"/>
    <x v="115"/>
    <n v="148"/>
    <n v="3.5329999923706099"/>
    <n v="35.329999923706097"/>
    <n v="0.119041793048382"/>
    <n v="5.9520896524191"/>
    <n v="0.87211793661117598"/>
    <n v="43.605896830558798"/>
    <n v="0.22991819679737099"/>
    <n v="11.495909839868549"/>
    <n v="0.33288118243217502"/>
    <n v="3.8948249071836499E-2"/>
    <n v="0.26654988527298001"/>
  </r>
  <r>
    <x v="2"/>
    <x v="149"/>
    <n v="149"/>
    <n v="3.5069999694824201"/>
    <n v="35.069999694824205"/>
    <n v="0.244549930095673"/>
    <n v="12.22749650478365"/>
    <n v="0.79124468564987205"/>
    <n v="39.562234282493606"/>
    <n v="0.194129139184952"/>
    <n v="9.7064569592475998"/>
    <n v="0.34858751296997098"/>
    <n v="0.110937617719173"/>
    <n v="0.26481509208679199"/>
  </r>
  <r>
    <x v="2"/>
    <x v="157"/>
    <n v="150"/>
    <n v="3.4949998855590798"/>
    <n v="34.949998855590799"/>
    <n v="0.30544471740722701"/>
    <n v="15.272235870361349"/>
    <n v="0.43188253045082098"/>
    <n v="21.59412652254105"/>
    <n v="0.247105568647385"/>
    <n v="12.35527843236925"/>
    <n v="0.38042613863945002"/>
    <n v="9.5665015280246707E-2"/>
    <n v="0.19689615070819899"/>
  </r>
  <r>
    <x v="2"/>
    <x v="153"/>
    <n v="151"/>
    <n v="3.4709999561309801"/>
    <n v="34.7099995613098"/>
    <n v="0.36874589323997498"/>
    <n v="18.437294661998749"/>
    <n v="0.94570702314376798"/>
    <n v="47.285351157188401"/>
    <n v="0.32642480731010398"/>
    <n v="16.321240365505201"/>
    <n v="0.58184385299682595"/>
    <n v="0.45522001385688798"/>
    <n v="0.25275602936744701"/>
  </r>
  <r>
    <x v="2"/>
    <x v="155"/>
    <n v="152"/>
    <n v="3.4619998931884801"/>
    <n v="34.619998931884801"/>
    <n v="0.77715313434600797"/>
    <n v="38.857656717300401"/>
    <n v="0.39610260725021401"/>
    <n v="19.805130362510699"/>
    <n v="0.50053334236144997"/>
    <n v="25.026667118072499"/>
    <n v="8.1539444625377697E-2"/>
    <n v="0.151347130537033"/>
    <n v="0.49366372823715199"/>
  </r>
  <r>
    <x v="2"/>
    <x v="145"/>
    <n v="153"/>
    <n v="3.34899997711182"/>
    <n v="33.4899997711182"/>
    <n v="0.51113587617874101"/>
    <n v="25.556793808937051"/>
    <n v="1.0419898033142101"/>
    <n v="52.099490165710506"/>
    <n v="0.36450928449630698"/>
    <n v="18.225464224815351"/>
    <n v="0.39001777768135099"/>
    <n v="6.6035106778144795E-2"/>
    <n v="0.354256361722946"/>
  </r>
  <r>
    <x v="2"/>
    <x v="156"/>
    <n v="154"/>
    <n v="2.9049999713897701"/>
    <n v="29.049999713897698"/>
    <n v="9.1622568666934995E-2"/>
    <n v="4.5811284333467501"/>
    <n v="0.62979358434677102"/>
    <n v="31.489679217338551"/>
    <n v="0.15161079168319699"/>
    <n v="7.5805395841598493"/>
    <n v="5.9900753200054203E-2"/>
    <n v="8.4147945046424893E-2"/>
    <n v="0.204435184597969"/>
  </r>
  <r>
    <x v="2"/>
    <x v="147"/>
    <n v="155"/>
    <n v="2.6930000782012899"/>
    <n v="26.9300007820129"/>
    <n v="0"/>
    <n v="0"/>
    <n v="0"/>
    <n v="0"/>
    <n v="1.8772685900330498E-2"/>
    <n v="0.93863429501652496"/>
    <n v="0.270842045545578"/>
    <n v="5.6565076112747199E-2"/>
    <n v="0.28087648749351501"/>
  </r>
  <r>
    <x v="3"/>
    <x v="5"/>
    <n v="1"/>
    <n v="7.6319999999999997"/>
    <n v="76.319999999999993"/>
    <n v="1.3049999999999999"/>
    <n v="65.25"/>
    <n v="1.5920000000000001"/>
    <n v="79.600000000000009"/>
    <n v="0.874"/>
    <n v="43.7"/>
    <n v="0.68100000000000005"/>
    <n v="0.39300000000000002"/>
    <n v="0.20200000000000001"/>
  </r>
  <r>
    <x v="3"/>
    <x v="3"/>
    <n v="2"/>
    <n v="7.5940000000000003"/>
    <n v="75.94"/>
    <n v="1.456"/>
    <n v="72.8"/>
    <n v="1.5820000000000001"/>
    <n v="79.100000000000009"/>
    <n v="0.86099999999999999"/>
    <n v="43.05"/>
    <n v="0.68600000000000005"/>
    <n v="0.34"/>
    <n v="0.28599999999999998"/>
  </r>
  <r>
    <x v="3"/>
    <x v="2"/>
    <n v="3"/>
    <n v="7.5549999999999997"/>
    <n v="75.55"/>
    <n v="1.351"/>
    <n v="67.55"/>
    <n v="1.59"/>
    <n v="79.5"/>
    <n v="0.86799999999999999"/>
    <n v="43.4"/>
    <n v="0.68300000000000005"/>
    <n v="0.40799999999999997"/>
    <n v="0.28399999999999997"/>
  </r>
  <r>
    <x v="3"/>
    <x v="1"/>
    <n v="4"/>
    <n v="7.4950000000000001"/>
    <n v="74.95"/>
    <n v="1.343"/>
    <n v="67.150000000000006"/>
    <n v="1.6439999999999999"/>
    <n v="82.199999999999989"/>
    <n v="0.91400000000000003"/>
    <n v="45.7"/>
    <n v="0.67700000000000005"/>
    <n v="0.13800000000000001"/>
    <n v="0.35299999999999998"/>
  </r>
  <r>
    <x v="3"/>
    <x v="0"/>
    <n v="5"/>
    <n v="7.4870000000000001"/>
    <n v="74.87"/>
    <n v="1.42"/>
    <n v="71"/>
    <n v="1.5489999999999999"/>
    <n v="77.45"/>
    <n v="0.92700000000000005"/>
    <n v="46.35"/>
    <n v="0.66"/>
    <n v="0.35699999999999998"/>
    <n v="0.25600000000000001"/>
  </r>
  <r>
    <x v="3"/>
    <x v="6"/>
    <n v="6"/>
    <n v="7.4409999999999998"/>
    <n v="74.41"/>
    <n v="1.361"/>
    <n v="68.05"/>
    <n v="1.488"/>
    <n v="74.400000000000006"/>
    <n v="0.878"/>
    <n v="43.9"/>
    <n v="0.63800000000000001"/>
    <n v="0.29499999999999998"/>
    <n v="0.33300000000000002"/>
  </r>
  <r>
    <x v="3"/>
    <x v="4"/>
    <n v="7"/>
    <n v="7.3280000000000003"/>
    <n v="73.28"/>
    <n v="1.33"/>
    <n v="66.5"/>
    <n v="1.532"/>
    <n v="76.599999999999994"/>
    <n v="0.89600000000000002"/>
    <n v="44.800000000000004"/>
    <n v="0.65300000000000002"/>
    <n v="0.29099999999999998"/>
    <n v="0.32100000000000001"/>
  </r>
  <r>
    <x v="3"/>
    <x v="8"/>
    <n v="8"/>
    <n v="7.3239999999999998"/>
    <n v="73.239999999999995"/>
    <n v="1.268"/>
    <n v="63.4"/>
    <n v="1.601"/>
    <n v="80.05"/>
    <n v="0.876"/>
    <n v="43.8"/>
    <n v="0.66900000000000004"/>
    <n v="0.38900000000000001"/>
    <n v="0.36499999999999999"/>
  </r>
  <r>
    <x v="3"/>
    <x v="7"/>
    <n v="9"/>
    <n v="7.3140000000000001"/>
    <n v="73.14"/>
    <n v="1.355"/>
    <n v="67.75"/>
    <n v="1.5009999999999999"/>
    <n v="75.05"/>
    <n v="0.91300000000000003"/>
    <n v="45.65"/>
    <n v="0.65900000000000003"/>
    <n v="0.38300000000000001"/>
    <n v="0.28499999999999998"/>
  </r>
  <r>
    <x v="3"/>
    <x v="9"/>
    <n v="10"/>
    <n v="7.2720000000000002"/>
    <n v="72.72"/>
    <n v="1.34"/>
    <n v="67"/>
    <n v="1.573"/>
    <n v="78.649999999999991"/>
    <n v="0.91"/>
    <n v="45.5"/>
    <n v="0.64700000000000002"/>
    <n v="0.30199999999999999"/>
    <n v="0.36099999999999999"/>
  </r>
  <r>
    <x v="3"/>
    <x v="20"/>
    <n v="11"/>
    <n v="7.19"/>
    <n v="71.900000000000006"/>
    <n v="1.244"/>
    <n v="62.2"/>
    <n v="1.4330000000000001"/>
    <n v="71.650000000000006"/>
    <n v="0.88800000000000001"/>
    <n v="44.4"/>
    <n v="0.46400000000000002"/>
    <n v="8.2000000000000003E-2"/>
    <n v="0.26200000000000001"/>
  </r>
  <r>
    <x v="3"/>
    <x v="12"/>
    <n v="12"/>
    <n v="7.1390000000000002"/>
    <n v="71.39"/>
    <n v="1.341"/>
    <n v="67.05"/>
    <n v="1.504"/>
    <n v="75.2"/>
    <n v="0.89100000000000001"/>
    <n v="44.55"/>
    <n v="0.61699999999999999"/>
    <n v="0.224"/>
    <n v="0.24199999999999999"/>
  </r>
  <r>
    <x v="3"/>
    <x v="11"/>
    <n v="13"/>
    <n v="7.0720000000000001"/>
    <n v="70.72"/>
    <n v="1.01"/>
    <n v="50.5"/>
    <n v="1.4590000000000001"/>
    <n v="72.95"/>
    <n v="0.81699999999999995"/>
    <n v="40.849999999999994"/>
    <n v="0.63200000000000001"/>
    <n v="0.10100000000000001"/>
    <n v="0.14299999999999999"/>
  </r>
  <r>
    <x v="3"/>
    <x v="17"/>
    <n v="14"/>
    <n v="6.9770000000000003"/>
    <n v="69.77000000000001"/>
    <n v="1.448"/>
    <n v="72.399999999999991"/>
    <n v="1.583"/>
    <n v="79.149999999999991"/>
    <n v="0.876"/>
    <n v="43.8"/>
    <n v="0.61399999999999999"/>
    <n v="0.30599999999999999"/>
    <n v="0.307"/>
  </r>
  <r>
    <x v="3"/>
    <x v="25"/>
    <n v="15"/>
    <n v="6.9649999999999999"/>
    <n v="69.650000000000006"/>
    <n v="1.34"/>
    <n v="67"/>
    <n v="1.474"/>
    <n v="73.7"/>
    <n v="0.86099999999999999"/>
    <n v="43.05"/>
    <n v="0.58599999999999997"/>
    <n v="0.28000000000000003"/>
    <n v="0.27300000000000002"/>
  </r>
  <r>
    <x v="3"/>
    <x v="18"/>
    <n v="16"/>
    <n v="6.9269999999999996"/>
    <n v="69.27"/>
    <n v="1.3240000000000001"/>
    <n v="66.2"/>
    <n v="1.4830000000000001"/>
    <n v="74.150000000000006"/>
    <n v="0.89400000000000002"/>
    <n v="44.7"/>
    <n v="0.58299999999999996"/>
    <n v="0.24"/>
    <n v="0.188"/>
  </r>
  <r>
    <x v="3"/>
    <x v="16"/>
    <n v="17"/>
    <n v="6.91"/>
    <n v="69.099999999999994"/>
    <n v="1.5760000000000001"/>
    <n v="78.8"/>
    <n v="1.52"/>
    <n v="76"/>
    <n v="0.89600000000000002"/>
    <n v="44.800000000000004"/>
    <n v="0.63200000000000001"/>
    <n v="0.32100000000000001"/>
    <n v="0.19600000000000001"/>
  </r>
  <r>
    <x v="3"/>
    <x v="14"/>
    <n v="18"/>
    <n v="6.8860000000000001"/>
    <n v="68.86"/>
    <n v="1.3979999999999999"/>
    <n v="69.899999999999991"/>
    <n v="1.4710000000000001"/>
    <n v="73.550000000000011"/>
    <n v="0.81899999999999995"/>
    <n v="40.949999999999996"/>
    <n v="0.54700000000000004"/>
    <n v="0.13300000000000001"/>
    <n v="0.29099999999999998"/>
  </r>
  <r>
    <x v="3"/>
    <x v="10"/>
    <n v="19"/>
    <n v="6.8140000000000001"/>
    <n v="68.14"/>
    <n v="1.3009999999999999"/>
    <n v="65.05"/>
    <n v="1.5589999999999999"/>
    <n v="77.95"/>
    <n v="0.88300000000000001"/>
    <n v="44.15"/>
    <n v="0.53300000000000003"/>
    <n v="0.27200000000000002"/>
    <n v="0.35399999999999998"/>
  </r>
  <r>
    <x v="3"/>
    <x v="19"/>
    <n v="20"/>
    <n v="6.774"/>
    <n v="67.739999999999995"/>
    <n v="2.0960000000000001"/>
    <n v="104.80000000000001"/>
    <n v="0.77600000000000002"/>
    <n v="38.800000000000004"/>
    <n v="0.67"/>
    <n v="33.5"/>
    <n v="0.28399999999999997"/>
    <m/>
    <n v="0.186"/>
  </r>
  <r>
    <x v="3"/>
    <x v="30"/>
    <n v="21"/>
    <n v="6.7110000000000003"/>
    <n v="67.11"/>
    <n v="1.2330000000000001"/>
    <n v="61.650000000000006"/>
    <n v="1.4890000000000001"/>
    <n v="74.45"/>
    <n v="0.85399999999999998"/>
    <n v="42.699999999999996"/>
    <n v="0.54300000000000004"/>
    <n v="3.4000000000000002E-2"/>
    <n v="6.4000000000000001E-2"/>
  </r>
  <r>
    <x v="3"/>
    <x v="36"/>
    <n v="22"/>
    <n v="6.6269999999999998"/>
    <n v="66.27"/>
    <n v="1.27"/>
    <n v="63.5"/>
    <n v="1.5249999999999999"/>
    <n v="76.25"/>
    <n v="0.88400000000000001"/>
    <n v="44.2"/>
    <n v="0.64500000000000002"/>
    <n v="0.14199999999999999"/>
    <n v="0.376"/>
  </r>
  <r>
    <x v="3"/>
    <x v="28"/>
    <n v="23"/>
    <n v="6.4889999999999999"/>
    <n v="64.89"/>
    <n v="1.2929999999999999"/>
    <n v="64.649999999999991"/>
    <n v="1.466"/>
    <n v="73.3"/>
    <n v="0.90800000000000003"/>
    <n v="45.4"/>
    <n v="0.52"/>
    <n v="0.17599999999999999"/>
    <n v="9.8000000000000004E-2"/>
  </r>
  <r>
    <x v="3"/>
    <x v="13"/>
    <n v="24"/>
    <n v="6.4880000000000004"/>
    <n v="64.88000000000001"/>
    <n v="1.038"/>
    <n v="51.9"/>
    <n v="1.252"/>
    <n v="62.6"/>
    <n v="0.76100000000000001"/>
    <n v="38.049999999999997"/>
    <n v="0.47899999999999998"/>
    <n v="9.5000000000000001E-2"/>
    <n v="6.9000000000000006E-2"/>
  </r>
  <r>
    <x v="3"/>
    <x v="26"/>
    <n v="25"/>
    <n v="6.476"/>
    <n v="64.760000000000005"/>
    <n v="1.131"/>
    <n v="56.55"/>
    <n v="1.331"/>
    <n v="66.55"/>
    <n v="0.80800000000000005"/>
    <n v="40.400000000000006"/>
    <n v="0.43099999999999999"/>
    <n v="6.0999999999999999E-2"/>
    <n v="0.19700000000000001"/>
  </r>
  <r>
    <x v="3"/>
    <x v="37"/>
    <n v="26"/>
    <n v="6.4409999999999998"/>
    <n v="64.41"/>
    <n v="1.365"/>
    <n v="68.25"/>
    <n v="1.4359999999999999"/>
    <n v="71.8"/>
    <n v="0.85699999999999998"/>
    <n v="42.85"/>
    <n v="0.41799999999999998"/>
    <n v="7.8E-2"/>
    <n v="0.151"/>
  </r>
  <r>
    <x v="3"/>
    <x v="24"/>
    <n v="27"/>
    <n v="6.43"/>
    <n v="64.3"/>
    <n v="1.1120000000000001"/>
    <n v="55.600000000000009"/>
    <n v="1.4379999999999999"/>
    <n v="71.899999999999991"/>
    <n v="0.75900000000000001"/>
    <n v="37.950000000000003"/>
    <n v="0.59699999999999998"/>
    <n v="6.3E-2"/>
    <n v="0.125"/>
  </r>
  <r>
    <x v="3"/>
    <x v="15"/>
    <n v="28"/>
    <n v="6.4189999999999996"/>
    <n v="64.19"/>
    <n v="0.98599999999999999"/>
    <n v="49.3"/>
    <n v="1.474"/>
    <n v="73.7"/>
    <n v="0.67500000000000004"/>
    <n v="33.75"/>
    <n v="0.49299999999999999"/>
    <n v="8.7999999999999995E-2"/>
    <n v="0.11"/>
  </r>
  <r>
    <x v="3"/>
    <x v="29"/>
    <n v="29"/>
    <n v="6.3879999999999999"/>
    <n v="63.879999999999995"/>
    <n v="1.073"/>
    <n v="53.65"/>
    <n v="1.468"/>
    <n v="73.400000000000006"/>
    <n v="0.74399999999999999"/>
    <n v="37.200000000000003"/>
    <n v="0.56999999999999995"/>
    <n v="5.3999999999999999E-2"/>
    <n v="6.2E-2"/>
  </r>
  <r>
    <x v="3"/>
    <x v="42"/>
    <n v="30"/>
    <n v="6.3819999999999997"/>
    <n v="63.819999999999993"/>
    <n v="0.78100000000000003"/>
    <n v="39.050000000000004"/>
    <n v="1.268"/>
    <n v="63.4"/>
    <n v="0.60799999999999998"/>
    <n v="30.4"/>
    <n v="0.60399999999999998"/>
    <n v="7.0999999999999994E-2"/>
    <n v="0.17899999999999999"/>
  </r>
  <r>
    <x v="3"/>
    <x v="31"/>
    <n v="31"/>
    <n v="6.3789999999999996"/>
    <n v="63.79"/>
    <n v="1.093"/>
    <n v="54.65"/>
    <n v="1.4590000000000001"/>
    <n v="72.95"/>
    <n v="0.77100000000000002"/>
    <n v="38.550000000000004"/>
    <n v="0.625"/>
    <n v="0.155"/>
    <n v="0.13"/>
  </r>
  <r>
    <x v="3"/>
    <x v="27"/>
    <n v="32"/>
    <n v="6.3739999999999997"/>
    <n v="63.739999999999995"/>
    <n v="1.649"/>
    <n v="82.45"/>
    <n v="1.3029999999999999"/>
    <n v="65.149999999999991"/>
    <n v="0.748"/>
    <n v="37.4"/>
    <n v="0.65400000000000003"/>
    <n v="0.17100000000000001"/>
    <n v="0.25600000000000001"/>
  </r>
  <r>
    <x v="3"/>
    <x v="34"/>
    <n v="33"/>
    <n v="6.3710000000000004"/>
    <n v="63.71"/>
    <n v="1.379"/>
    <n v="68.95"/>
    <n v="1.331"/>
    <n v="66.55"/>
    <n v="0.63300000000000001"/>
    <n v="31.65"/>
    <n v="0.50900000000000001"/>
    <n v="0.127"/>
    <n v="9.8000000000000004E-2"/>
  </r>
  <r>
    <x v="3"/>
    <x v="23"/>
    <n v="34"/>
    <n v="6.343"/>
    <n v="63.429999999999993"/>
    <n v="1.5289999999999999"/>
    <n v="76.449999999999989"/>
    <n v="1.4510000000000001"/>
    <n v="72.55"/>
    <n v="1.008"/>
    <n v="50.4"/>
    <n v="0.63100000000000001"/>
    <n v="0.45700000000000002"/>
    <n v="0.26100000000000001"/>
  </r>
  <r>
    <x v="3"/>
    <x v="60"/>
    <n v="35"/>
    <n v="6.3220000000000001"/>
    <n v="63.220000000000006"/>
    <n v="1.161"/>
    <n v="58.050000000000004"/>
    <n v="1.258"/>
    <n v="62.9"/>
    <n v="0.66900000000000004"/>
    <n v="33.450000000000003"/>
    <n v="0.35599999999999998"/>
    <n v="5.8999999999999997E-2"/>
    <n v="0.311"/>
  </r>
  <r>
    <x v="3"/>
    <x v="35"/>
    <n v="36"/>
    <n v="6.31"/>
    <n v="63.1"/>
    <n v="1.2509999999999999"/>
    <n v="62.55"/>
    <n v="1.538"/>
    <n v="76.900000000000006"/>
    <n v="0.96499999999999997"/>
    <n v="48.25"/>
    <n v="0.44900000000000001"/>
    <n v="7.3999999999999996E-2"/>
    <n v="0.14199999999999999"/>
  </r>
  <r>
    <x v="3"/>
    <x v="32"/>
    <n v="37"/>
    <n v="6.26"/>
    <n v="62.6"/>
    <n v="0.96"/>
    <n v="48"/>
    <n v="1.4390000000000001"/>
    <n v="71.95"/>
    <n v="0.63500000000000001"/>
    <n v="31.75"/>
    <n v="0.53100000000000003"/>
    <n v="3.9E-2"/>
    <n v="9.9000000000000005E-2"/>
  </r>
  <r>
    <x v="3"/>
    <x v="165"/>
    <n v="38"/>
    <n v="6.1920000000000002"/>
    <n v="61.92"/>
    <n v="1.2230000000000001"/>
    <n v="61.150000000000006"/>
    <n v="1.492"/>
    <n v="74.599999999999994"/>
    <n v="0.56399999999999995"/>
    <n v="28.199999999999996"/>
    <n v="0.57499999999999996"/>
    <n v="1.9E-2"/>
    <n v="0.17100000000000001"/>
  </r>
  <r>
    <x v="3"/>
    <x v="44"/>
    <n v="39"/>
    <n v="6.173"/>
    <n v="61.73"/>
    <n v="1.21"/>
    <n v="60.5"/>
    <n v="1.5369999999999999"/>
    <n v="76.849999999999994"/>
    <n v="0.77600000000000002"/>
    <n v="38.800000000000004"/>
    <n v="0.35399999999999998"/>
    <n v="1.4E-2"/>
    <n v="0.11799999999999999"/>
  </r>
  <r>
    <x v="3"/>
    <x v="41"/>
    <n v="40"/>
    <n v="6.1669999999999998"/>
    <n v="61.669999999999995"/>
    <n v="0.80600000000000005"/>
    <n v="40.300000000000004"/>
    <n v="1.2310000000000001"/>
    <n v="61.550000000000004"/>
    <n v="0.63900000000000001"/>
    <n v="31.95"/>
    <n v="0.46100000000000002"/>
    <n v="8.2000000000000003E-2"/>
    <n v="6.5000000000000002E-2"/>
  </r>
  <r>
    <x v="3"/>
    <x v="56"/>
    <n v="41"/>
    <n v="6.141"/>
    <n v="61.410000000000004"/>
    <n v="0.66800000000000004"/>
    <n v="33.4"/>
    <n v="1.319"/>
    <n v="65.95"/>
    <n v="0.7"/>
    <n v="35"/>
    <n v="0.52700000000000002"/>
    <n v="0.128"/>
    <n v="0.20799999999999999"/>
  </r>
  <r>
    <x v="3"/>
    <x v="59"/>
    <n v="42"/>
    <n v="6.1230000000000002"/>
    <n v="61.230000000000004"/>
    <n v="1.1759999999999999"/>
    <n v="58.8"/>
    <n v="1.448"/>
    <n v="72.399999999999991"/>
    <n v="0.78100000000000003"/>
    <n v="39.050000000000004"/>
    <n v="0.54600000000000004"/>
    <n v="6.4000000000000001E-2"/>
    <n v="0.108"/>
  </r>
  <r>
    <x v="3"/>
    <x v="48"/>
    <n v="43"/>
    <n v="6.1050000000000004"/>
    <n v="61.05"/>
    <n v="1.3380000000000001"/>
    <n v="66.900000000000006"/>
    <n v="1.3660000000000001"/>
    <n v="68.300000000000011"/>
    <n v="0.69799999999999995"/>
    <n v="34.9"/>
    <n v="0.59399999999999997"/>
    <n v="0.123"/>
    <n v="0.24299999999999999"/>
  </r>
  <r>
    <x v="3"/>
    <x v="43"/>
    <n v="44"/>
    <n v="6.0960000000000001"/>
    <n v="60.96"/>
    <n v="0.71899999999999997"/>
    <n v="35.949999999999996"/>
    <n v="1.5840000000000001"/>
    <n v="79.2"/>
    <n v="0.60499999999999998"/>
    <n v="30.25"/>
    <n v="0.72399999999999998"/>
    <n v="0.25900000000000001"/>
    <n v="0.32800000000000001"/>
  </r>
  <r>
    <x v="3"/>
    <x v="38"/>
    <n v="45"/>
    <n v="6.0830000000000002"/>
    <n v="60.830000000000005"/>
    <n v="1.474"/>
    <n v="73.7"/>
    <n v="1.3009999999999999"/>
    <n v="65.05"/>
    <n v="0.67500000000000004"/>
    <n v="33.75"/>
    <n v="0.55400000000000005"/>
    <n v="0.106"/>
    <n v="0.16700000000000001"/>
  </r>
  <r>
    <x v="3"/>
    <x v="33"/>
    <n v="46"/>
    <n v="6.0720000000000001"/>
    <n v="60.720000000000006"/>
    <n v="1.016"/>
    <n v="50.8"/>
    <n v="1.417"/>
    <n v="70.850000000000009"/>
    <n v="0.70699999999999996"/>
    <n v="35.35"/>
    <n v="0.63700000000000001"/>
    <n v="2.9000000000000001E-2"/>
    <n v="0.36399999999999999"/>
  </r>
  <r>
    <x v="3"/>
    <x v="49"/>
    <n v="47"/>
    <n v="6"/>
    <n v="60"/>
    <n v="1.264"/>
    <n v="63.2"/>
    <n v="1.5009999999999999"/>
    <n v="75.05"/>
    <n v="0.94599999999999995"/>
    <n v="47.3"/>
    <n v="0.28100000000000003"/>
    <n v="2.8000000000000001E-2"/>
    <n v="0.13700000000000001"/>
  </r>
  <r>
    <x v="3"/>
    <x v="47"/>
    <n v="48"/>
    <n v="5.9729999999999999"/>
    <n v="59.73"/>
    <n v="0.88900000000000001"/>
    <n v="44.45"/>
    <n v="1.33"/>
    <n v="66.5"/>
    <n v="0.73599999999999999"/>
    <n v="36.799999999999997"/>
    <n v="0.55600000000000005"/>
    <n v="0.12"/>
    <n v="0.114"/>
  </r>
  <r>
    <x v="3"/>
    <x v="159"/>
    <n v="49"/>
    <n v="5.9560000000000004"/>
    <n v="59.56"/>
    <n v="0.80700000000000005"/>
    <n v="40.35"/>
    <n v="1.101"/>
    <n v="55.05"/>
    <n v="0.47399999999999998"/>
    <n v="23.7"/>
    <n v="0.59299999999999997"/>
    <n v="8.8999999999999996E-2"/>
    <n v="0.183"/>
  </r>
  <r>
    <x v="3"/>
    <x v="55"/>
    <n v="50"/>
    <n v="5.952"/>
    <n v="59.52"/>
    <n v="1.1970000000000001"/>
    <n v="59.85"/>
    <n v="1.5269999999999999"/>
    <n v="76.349999999999994"/>
    <n v="0.71599999999999997"/>
    <n v="35.799999999999997"/>
    <n v="0.35"/>
    <n v="6.0000000000000001E-3"/>
    <n v="2.5999999999999999E-2"/>
  </r>
  <r>
    <x v="3"/>
    <x v="54"/>
    <n v="51"/>
    <n v="5.9480000000000004"/>
    <n v="59.480000000000004"/>
    <n v="1.2190000000000001"/>
    <n v="60.95"/>
    <n v="1.506"/>
    <n v="75.3"/>
    <n v="0.85599999999999998"/>
    <n v="42.8"/>
    <n v="0.63300000000000001"/>
    <n v="5.0999999999999997E-2"/>
    <n v="0.16"/>
  </r>
  <r>
    <x v="3"/>
    <x v="85"/>
    <n v="52"/>
    <n v="5.9450000000000003"/>
    <n v="59.45"/>
    <n v="1.1160000000000001"/>
    <n v="55.800000000000004"/>
    <n v="1.2190000000000001"/>
    <n v="60.95"/>
    <n v="0.72599999999999998"/>
    <n v="36.299999999999997"/>
    <n v="0.52800000000000002"/>
    <n v="1E-3"/>
    <n v="8.7999999999999995E-2"/>
  </r>
  <r>
    <x v="3"/>
    <x v="88"/>
    <n v="53"/>
    <n v="5.9329999999999998"/>
    <n v="59.33"/>
    <n v="1.1479999999999999"/>
    <n v="57.4"/>
    <n v="1.454"/>
    <n v="72.7"/>
    <n v="0.67100000000000004"/>
    <n v="33.550000000000004"/>
    <n v="0.36299999999999999"/>
    <n v="6.6000000000000003E-2"/>
    <n v="9.1999999999999998E-2"/>
  </r>
  <r>
    <x v="3"/>
    <x v="45"/>
    <n v="54"/>
    <n v="5.915"/>
    <n v="59.15"/>
    <n v="1.294"/>
    <n v="64.7"/>
    <n v="1.462"/>
    <n v="73.099999999999994"/>
    <n v="0.98799999999999999"/>
    <n v="49.4"/>
    <n v="0.55300000000000005"/>
    <n v="0.15"/>
    <n v="7.9000000000000001E-2"/>
  </r>
  <r>
    <x v="3"/>
    <x v="70"/>
    <n v="55"/>
    <n v="5.891"/>
    <n v="58.910000000000004"/>
    <n v="1.0900000000000001"/>
    <n v="54.500000000000007"/>
    <n v="1.387"/>
    <n v="69.349999999999994"/>
    <n v="0.68400000000000005"/>
    <n v="34.200000000000003"/>
    <n v="0.58399999999999996"/>
    <n v="0.05"/>
    <n v="0.245"/>
  </r>
  <r>
    <x v="3"/>
    <x v="64"/>
    <n v="56"/>
    <n v="5.89"/>
    <n v="58.9"/>
    <n v="0.81899999999999995"/>
    <n v="40.949999999999996"/>
    <n v="1.4930000000000001"/>
    <n v="74.650000000000006"/>
    <n v="0.69299999999999995"/>
    <n v="34.65"/>
    <n v="0.57499999999999996"/>
    <n v="3.1E-2"/>
    <n v="9.6000000000000002E-2"/>
  </r>
  <r>
    <x v="3"/>
    <x v="46"/>
    <n v="57"/>
    <n v="5.875"/>
    <n v="58.75"/>
    <n v="1.266"/>
    <n v="63.3"/>
    <n v="1.204"/>
    <n v="60.199999999999996"/>
    <n v="0.95499999999999996"/>
    <n v="47.75"/>
    <n v="0.24399999999999999"/>
    <n v="5.0999999999999997E-2"/>
    <n v="0.17499999999999999"/>
  </r>
  <r>
    <x v="3"/>
    <x v="166"/>
    <n v="58"/>
    <n v="5.835"/>
    <n v="58.35"/>
    <n v="1.2290000000000001"/>
    <n v="61.45"/>
    <n v="1.2110000000000001"/>
    <n v="60.550000000000004"/>
    <n v="0.90900000000000003"/>
    <n v="45.45"/>
    <n v="0.495"/>
    <n v="0.154"/>
    <n v="0.17899999999999999"/>
  </r>
  <r>
    <x v="3"/>
    <x v="63"/>
    <n v="59"/>
    <n v="5.81"/>
    <n v="58.1"/>
    <n v="1.151"/>
    <n v="57.550000000000004"/>
    <n v="1.4790000000000001"/>
    <n v="73.95"/>
    <n v="0.59899999999999998"/>
    <n v="29.95"/>
    <n v="0.39900000000000002"/>
    <n v="2.5000000000000001E-2"/>
    <n v="6.5000000000000002E-2"/>
  </r>
  <r>
    <x v="3"/>
    <x v="53"/>
    <n v="60"/>
    <n v="5.79"/>
    <n v="57.9"/>
    <n v="1.143"/>
    <n v="57.15"/>
    <n v="1.516"/>
    <n v="75.8"/>
    <n v="0.63100000000000001"/>
    <n v="31.55"/>
    <n v="0.45400000000000001"/>
    <n v="0.121"/>
    <n v="0.14799999999999999"/>
  </r>
  <r>
    <x v="3"/>
    <x v="66"/>
    <n v="61"/>
    <n v="5.7619999999999996"/>
    <n v="57.61999999999999"/>
    <n v="1.2290000000000001"/>
    <n v="61.45"/>
    <n v="1.1910000000000001"/>
    <n v="59.550000000000004"/>
    <n v="0.90900000000000003"/>
    <n v="45.45"/>
    <n v="0.42299999999999999"/>
    <n v="3.5000000000000003E-2"/>
    <n v="0.20200000000000001"/>
  </r>
  <r>
    <x v="3"/>
    <x v="50"/>
    <n v="62"/>
    <n v="5.7519999999999998"/>
    <n v="57.519999999999996"/>
    <n v="0.751"/>
    <n v="37.549999999999997"/>
    <n v="1.2230000000000001"/>
    <n v="61.150000000000006"/>
    <n v="0.50800000000000001"/>
    <n v="25.4"/>
    <n v="0.60599999999999998"/>
    <n v="5.3999999999999999E-2"/>
    <n v="0.14099999999999999"/>
  </r>
  <r>
    <x v="3"/>
    <x v="72"/>
    <n v="63"/>
    <n v="5.7389999999999999"/>
    <n v="57.39"/>
    <n v="1.2"/>
    <n v="60"/>
    <n v="1.532"/>
    <n v="76.599999999999994"/>
    <n v="0.73699999999999999"/>
    <n v="36.85"/>
    <n v="0.55300000000000005"/>
    <n v="0.17399999999999999"/>
    <n v="8.5999999999999993E-2"/>
  </r>
  <r>
    <x v="3"/>
    <x v="52"/>
    <n v="64"/>
    <n v="5.681"/>
    <n v="56.81"/>
    <n v="0.83499999999999996"/>
    <n v="41.75"/>
    <n v="1.522"/>
    <n v="76.099999999999994"/>
    <n v="0.61499999999999999"/>
    <n v="30.75"/>
    <n v="0.54100000000000004"/>
    <n v="7.3999999999999996E-2"/>
    <n v="0.16200000000000001"/>
  </r>
  <r>
    <x v="3"/>
    <x v="57"/>
    <n v="65"/>
    <n v="5.6630000000000003"/>
    <n v="56.63000000000001"/>
    <n v="0.93400000000000005"/>
    <n v="46.7"/>
    <n v="1.2490000000000001"/>
    <n v="62.45"/>
    <n v="0.67400000000000004"/>
    <n v="33.700000000000003"/>
    <n v="0.53"/>
    <n v="3.4000000000000002E-2"/>
    <n v="9.1999999999999998E-2"/>
  </r>
  <r>
    <x v="3"/>
    <x v="68"/>
    <n v="66"/>
    <n v="5.6619999999999999"/>
    <n v="56.620000000000005"/>
    <n v="0.85499999999999998"/>
    <n v="42.75"/>
    <n v="1.23"/>
    <n v="61.5"/>
    <n v="0.57799999999999996"/>
    <n v="28.9"/>
    <n v="0.44800000000000001"/>
    <n v="2.3E-2"/>
    <n v="0.27400000000000002"/>
  </r>
  <r>
    <x v="3"/>
    <x v="51"/>
    <n v="67"/>
    <n v="5.64"/>
    <n v="56.4"/>
    <n v="0.65700000000000003"/>
    <n v="32.85"/>
    <n v="1.3009999999999999"/>
    <n v="65.05"/>
    <n v="0.62"/>
    <n v="31"/>
    <n v="0.23200000000000001"/>
    <n v="0"/>
    <n v="0.17100000000000001"/>
  </r>
  <r>
    <x v="3"/>
    <x v="69"/>
    <n v="68"/>
    <n v="5.6360000000000001"/>
    <n v="56.36"/>
    <n v="1.016"/>
    <n v="50.8"/>
    <n v="1.5329999999999999"/>
    <n v="76.649999999999991"/>
    <n v="0.51700000000000002"/>
    <n v="25.85"/>
    <n v="0.41699999999999998"/>
    <n v="3.6999999999999998E-2"/>
    <n v="0.19900000000000001"/>
  </r>
  <r>
    <x v="3"/>
    <x v="103"/>
    <n v="69"/>
    <n v="5.62"/>
    <n v="56.2"/>
    <n v="1.171"/>
    <n v="58.550000000000004"/>
    <n v="1.401"/>
    <n v="70.05"/>
    <n v="0.73199999999999998"/>
    <n v="36.6"/>
    <n v="0.25900000000000001"/>
    <n v="2.1999999999999999E-2"/>
    <n v="6.0999999999999999E-2"/>
  </r>
  <r>
    <x v="3"/>
    <x v="62"/>
    <n v="70"/>
    <n v="5.5659999999999998"/>
    <n v="55.660000000000004"/>
    <n v="0.98499999999999999"/>
    <n v="49.25"/>
    <n v="1.35"/>
    <n v="67.5"/>
    <n v="0.55300000000000005"/>
    <n v="27.650000000000002"/>
    <n v="0.496"/>
    <n v="0.14799999999999999"/>
    <n v="0.11600000000000001"/>
  </r>
  <r>
    <x v="3"/>
    <x v="89"/>
    <n v="71"/>
    <n v="5.524"/>
    <n v="55.239999999999995"/>
    <n v="0.77500000000000002"/>
    <n v="38.75"/>
    <n v="1.3120000000000001"/>
    <n v="65.600000000000009"/>
    <n v="0.51300000000000001"/>
    <n v="25.650000000000002"/>
    <n v="0.64300000000000002"/>
    <n v="0.105"/>
    <n v="0.12"/>
  </r>
  <r>
    <x v="3"/>
    <x v="104"/>
    <n v="72"/>
    <n v="5.5039999999999996"/>
    <n v="55.04"/>
    <n v="0.62"/>
    <n v="31"/>
    <n v="1.2050000000000001"/>
    <n v="60.25"/>
    <n v="0.622"/>
    <n v="31.1"/>
    <n v="0.45900000000000002"/>
    <n v="7.3999999999999996E-2"/>
    <n v="0.19700000000000001"/>
  </r>
  <r>
    <x v="3"/>
    <x v="58"/>
    <n v="73"/>
    <n v="5.4829999999999997"/>
    <n v="54.83"/>
    <n v="1.0389999999999999"/>
    <n v="51.949999999999996"/>
    <n v="1.498"/>
    <n v="74.900000000000006"/>
    <n v="0.7"/>
    <n v="35"/>
    <n v="0.307"/>
    <n v="0.154"/>
    <n v="0.10100000000000001"/>
  </r>
  <r>
    <x v="3"/>
    <x v="75"/>
    <n v="74"/>
    <n v="5.4829999999999997"/>
    <n v="54.83"/>
    <n v="1.1479999999999999"/>
    <n v="57.4"/>
    <n v="1.38"/>
    <n v="69"/>
    <n v="0.68600000000000005"/>
    <n v="34.300000000000004"/>
    <n v="0.32400000000000001"/>
    <n v="0.109"/>
    <n v="0.106"/>
  </r>
  <r>
    <x v="3"/>
    <x v="80"/>
    <n v="75"/>
    <n v="5.4720000000000004"/>
    <n v="54.720000000000006"/>
    <n v="0.65200000000000002"/>
    <n v="32.6"/>
    <n v="0.81"/>
    <n v="40.5"/>
    <n v="0.42399999999999999"/>
    <n v="21.2"/>
    <n v="0.33400000000000002"/>
    <n v="0.113"/>
    <n v="0.216"/>
  </r>
  <r>
    <x v="3"/>
    <x v="71"/>
    <n v="76"/>
    <n v="5.43"/>
    <n v="54.3"/>
    <n v="1.405"/>
    <n v="70.25"/>
    <n v="1.29"/>
    <n v="64.5"/>
    <n v="1.03"/>
    <n v="51.5"/>
    <n v="0.52400000000000002"/>
    <n v="0.29099999999999998"/>
    <n v="0.246"/>
  </r>
  <r>
    <x v="3"/>
    <x v="87"/>
    <n v="77"/>
    <n v="5.41"/>
    <n v="54.1"/>
    <n v="1.1879999999999999"/>
    <n v="59.4"/>
    <n v="1.429"/>
    <n v="71.45"/>
    <n v="0.88400000000000001"/>
    <n v="44.2"/>
    <n v="0.56200000000000006"/>
    <n v="1.7000000000000001E-2"/>
    <n v="5.5E-2"/>
  </r>
  <r>
    <x v="3"/>
    <x v="86"/>
    <n v="78"/>
    <n v="5.3979999999999997"/>
    <n v="53.98"/>
    <n v="0.97499999999999998"/>
    <n v="48.75"/>
    <n v="1.369"/>
    <n v="68.45"/>
    <n v="0.68500000000000005"/>
    <n v="34.25"/>
    <n v="0.28799999999999998"/>
    <n v="4.2999999999999997E-2"/>
    <n v="0.13400000000000001"/>
  </r>
  <r>
    <x v="3"/>
    <x v="101"/>
    <n v="79"/>
    <n v="5.3579999999999997"/>
    <n v="53.58"/>
    <n v="1.1539999999999999"/>
    <n v="57.699999999999996"/>
    <n v="1.202"/>
    <n v="60.099999999999994"/>
    <n v="0.879"/>
    <n v="43.95"/>
    <n v="0.13100000000000001"/>
    <n v="4.3999999999999997E-2"/>
    <n v="0"/>
  </r>
  <r>
    <x v="3"/>
    <x v="102"/>
    <n v="80"/>
    <n v="5.3579999999999997"/>
    <n v="53.58"/>
    <n v="0.96499999999999997"/>
    <n v="48.25"/>
    <n v="1.179"/>
    <n v="58.95"/>
    <n v="0.78500000000000003"/>
    <n v="39.25"/>
    <n v="0.503"/>
    <n v="0.13600000000000001"/>
    <n v="0.214"/>
  </r>
  <r>
    <x v="3"/>
    <x v="82"/>
    <n v="81"/>
    <n v="5.3470000000000004"/>
    <n v="53.470000000000006"/>
    <n v="1.0169999999999999"/>
    <n v="50.849999999999994"/>
    <n v="1.2789999999999999"/>
    <n v="63.949999999999996"/>
    <n v="0.72899999999999998"/>
    <n v="36.449999999999996"/>
    <n v="0.25900000000000001"/>
    <n v="8.1000000000000003E-2"/>
    <n v="0.111"/>
  </r>
  <r>
    <x v="3"/>
    <x v="61"/>
    <n v="82"/>
    <n v="5.3209999999999997"/>
    <n v="53.21"/>
    <n v="1.115"/>
    <n v="55.75"/>
    <n v="1.161"/>
    <n v="58.050000000000004"/>
    <n v="0.73699999999999999"/>
    <n v="36.85"/>
    <n v="0.38"/>
    <n v="3.9E-2"/>
    <n v="0.12"/>
  </r>
  <r>
    <x v="3"/>
    <x v="97"/>
    <n v="83"/>
    <n v="5.3019999999999996"/>
    <n v="53.019999999999996"/>
    <n v="0.98199999999999998"/>
    <n v="49.1"/>
    <n v="1.4410000000000001"/>
    <n v="72.05"/>
    <n v="0.61399999999999999"/>
    <n v="30.7"/>
    <n v="0.57799999999999996"/>
    <n v="0.106"/>
    <n v="0.12"/>
  </r>
  <r>
    <x v="3"/>
    <x v="67"/>
    <n v="84"/>
    <n v="5.2949999999999999"/>
    <n v="52.95"/>
    <n v="0.97899999999999998"/>
    <n v="48.949999999999996"/>
    <n v="1.1539999999999999"/>
    <n v="57.699999999999996"/>
    <n v="0.68700000000000006"/>
    <n v="34.35"/>
    <n v="7.6999999999999999E-2"/>
    <n v="0.13500000000000001"/>
    <n v="5.5E-2"/>
  </r>
  <r>
    <x v="3"/>
    <x v="91"/>
    <n v="85"/>
    <n v="5.2539999999999996"/>
    <n v="52.54"/>
    <n v="0.77900000000000003"/>
    <n v="38.950000000000003"/>
    <n v="0.79700000000000004"/>
    <n v="39.85"/>
    <n v="0.66900000000000004"/>
    <n v="33.450000000000003"/>
    <n v="0.46"/>
    <n v="7.3999999999999996E-2"/>
    <n v="2.5999999999999999E-2"/>
  </r>
  <r>
    <x v="3"/>
    <x v="83"/>
    <n v="86"/>
    <n v="5.2460000000000004"/>
    <n v="52.46"/>
    <n v="0.98899999999999999"/>
    <n v="49.45"/>
    <n v="1.1419999999999999"/>
    <n v="57.099999999999994"/>
    <n v="0.79900000000000004"/>
    <n v="39.950000000000003"/>
    <n v="0.59699999999999998"/>
    <n v="0.10299999999999999"/>
    <n v="2.9000000000000001E-2"/>
  </r>
  <r>
    <x v="3"/>
    <x v="79"/>
    <n v="87"/>
    <n v="5.2009999999999996"/>
    <n v="52.009999999999991"/>
    <n v="1.024"/>
    <n v="51.2"/>
    <n v="1.161"/>
    <n v="58.050000000000004"/>
    <n v="0.60299999999999998"/>
    <n v="30.15"/>
    <n v="0.43"/>
    <n v="0.17599999999999999"/>
    <n v="3.1E-2"/>
  </r>
  <r>
    <x v="3"/>
    <x v="105"/>
    <n v="88"/>
    <n v="5.1989999999999998"/>
    <n v="51.989999999999995"/>
    <n v="0.47399999999999998"/>
    <n v="23.7"/>
    <n v="1.1659999999999999"/>
    <n v="58.3"/>
    <n v="0.59799999999999998"/>
    <n v="29.9"/>
    <n v="0.29199999999999998"/>
    <n v="3.4000000000000002E-2"/>
    <n v="0.187"/>
  </r>
  <r>
    <x v="3"/>
    <x v="92"/>
    <n v="89"/>
    <n v="5.1849999999999996"/>
    <n v="51.85"/>
    <n v="0.95899999999999996"/>
    <n v="47.949999999999996"/>
    <n v="1.2390000000000001"/>
    <n v="61.95"/>
    <n v="0.69099999999999995"/>
    <n v="34.549999999999997"/>
    <n v="0.39400000000000002"/>
    <n v="5.1999999999999998E-2"/>
    <n v="0.17299999999999999"/>
  </r>
  <r>
    <x v="3"/>
    <x v="81"/>
    <n v="90"/>
    <n v="5.1609999999999996"/>
    <n v="51.609999999999992"/>
    <n v="0.82199999999999995"/>
    <n v="41.099999999999994"/>
    <n v="1.2649999999999999"/>
    <n v="63.249999999999993"/>
    <n v="0.64500000000000002"/>
    <n v="32.25"/>
    <n v="0.46800000000000003"/>
    <n v="0.13400000000000001"/>
    <n v="0.13"/>
  </r>
  <r>
    <x v="3"/>
    <x v="77"/>
    <n v="91"/>
    <n v="5.1550000000000002"/>
    <n v="51.55"/>
    <n v="0.68899999999999995"/>
    <n v="34.449999999999996"/>
    <n v="1.1719999999999999"/>
    <n v="58.599999999999994"/>
    <n v="4.8000000000000001E-2"/>
    <n v="2.4"/>
    <n v="0.46200000000000002"/>
    <n v="3.2000000000000001E-2"/>
    <n v="0.20100000000000001"/>
  </r>
  <r>
    <x v="3"/>
    <x v="76"/>
    <n v="92"/>
    <n v="5.1310000000000002"/>
    <n v="51.31"/>
    <n v="0.53"/>
    <n v="26.5"/>
    <n v="1.4159999999999999"/>
    <n v="70.8"/>
    <n v="0.59399999999999997"/>
    <n v="29.7"/>
    <n v="0.54"/>
    <n v="3.5000000000000003E-2"/>
    <n v="0.28100000000000003"/>
  </r>
  <r>
    <x v="3"/>
    <x v="95"/>
    <n v="93"/>
    <n v="5.1289999999999996"/>
    <n v="51.29"/>
    <n v="0.91500000000000004"/>
    <n v="45.75"/>
    <n v="1.0780000000000001"/>
    <n v="53.900000000000006"/>
    <n v="0.75800000000000001"/>
    <n v="37.9"/>
    <n v="0.28000000000000003"/>
    <n v="0"/>
    <n v="0.216"/>
  </r>
  <r>
    <x v="3"/>
    <x v="99"/>
    <n v="94"/>
    <n v="5.125"/>
    <n v="51.25"/>
    <n v="0.91400000000000003"/>
    <n v="45.7"/>
    <n v="1.5169999999999999"/>
    <n v="75.849999999999994"/>
    <n v="0.57499999999999996"/>
    <n v="28.749999999999996"/>
    <n v="0.39500000000000002"/>
    <n v="3.2000000000000001E-2"/>
    <n v="0.253"/>
  </r>
  <r>
    <x v="3"/>
    <x v="74"/>
    <n v="95"/>
    <n v="5.1029999999999998"/>
    <n v="51.029999999999994"/>
    <n v="0.71499999999999997"/>
    <n v="35.75"/>
    <n v="1.365"/>
    <n v="68.25"/>
    <n v="0.70199999999999996"/>
    <n v="35.099999999999994"/>
    <n v="0.61799999999999999"/>
    <n v="7.9000000000000001E-2"/>
    <n v="0.17699999999999999"/>
  </r>
  <r>
    <x v="3"/>
    <x v="73"/>
    <n v="96"/>
    <n v="5.093"/>
    <n v="50.93"/>
    <n v="0.89900000000000002"/>
    <n v="44.95"/>
    <n v="1.2150000000000001"/>
    <n v="60.750000000000007"/>
    <n v="0.52200000000000002"/>
    <n v="26.1"/>
    <n v="0.53800000000000003"/>
    <n v="1.7999999999999999E-2"/>
    <n v="0.48399999999999999"/>
  </r>
  <r>
    <x v="3"/>
    <x v="78"/>
    <n v="97"/>
    <n v="5.0819999999999999"/>
    <n v="50.82"/>
    <n v="0.79600000000000004"/>
    <n v="39.800000000000004"/>
    <n v="1.335"/>
    <n v="66.75"/>
    <n v="0.52700000000000002"/>
    <n v="26.35"/>
    <n v="0.54100000000000004"/>
    <n v="0.17100000000000001"/>
    <n v="0.36399999999999999"/>
  </r>
  <r>
    <x v="3"/>
    <x v="160"/>
    <n v="98"/>
    <n v="4.9820000000000002"/>
    <n v="49.820000000000007"/>
    <n v="0"/>
    <n v="0"/>
    <n v="0.71199999999999997"/>
    <n v="35.6"/>
    <n v="0.115"/>
    <n v="5.75"/>
    <n v="0.67400000000000004"/>
    <n v="0.28199999999999997"/>
    <n v="0.23799999999999999"/>
  </r>
  <r>
    <x v="3"/>
    <x v="132"/>
    <n v="99"/>
    <n v="4.9749999999999996"/>
    <n v="49.749999999999993"/>
    <n v="0.53500000000000003"/>
    <n v="26.75"/>
    <n v="0.89100000000000001"/>
    <n v="44.55"/>
    <n v="0.182"/>
    <n v="9.1"/>
    <n v="0.45400000000000001"/>
    <n v="4.2999999999999997E-2"/>
    <n v="0.183"/>
  </r>
  <r>
    <x v="3"/>
    <x v="133"/>
    <n v="100"/>
    <n v="4.9329999999999998"/>
    <n v="49.33"/>
    <n v="1.054"/>
    <n v="52.7"/>
    <n v="1.5149999999999999"/>
    <n v="75.75"/>
    <n v="0.71199999999999997"/>
    <n v="35.6"/>
    <n v="0.35899999999999999"/>
    <n v="8.9999999999999993E-3"/>
    <n v="6.4000000000000001E-2"/>
  </r>
  <r>
    <x v="3"/>
    <x v="120"/>
    <n v="101"/>
    <n v="4.88"/>
    <n v="48.8"/>
    <n v="0.42499999999999999"/>
    <n v="21.25"/>
    <n v="1.228"/>
    <n v="61.4"/>
    <n v="0.53900000000000003"/>
    <n v="26.950000000000003"/>
    <n v="0.52600000000000002"/>
    <n v="7.8E-2"/>
    <n v="0.30199999999999999"/>
  </r>
  <r>
    <x v="3"/>
    <x v="22"/>
    <n v="102"/>
    <n v="4.806"/>
    <n v="48.06"/>
    <n v="0.996"/>
    <n v="49.8"/>
    <n v="1.4690000000000001"/>
    <n v="73.45"/>
    <n v="0.65700000000000003"/>
    <n v="32.85"/>
    <n v="0.13300000000000001"/>
    <n v="5.1999999999999998E-2"/>
    <n v="5.6000000000000001E-2"/>
  </r>
  <r>
    <x v="3"/>
    <x v="142"/>
    <n v="103"/>
    <n v="4.758"/>
    <n v="47.58"/>
    <n v="1.036"/>
    <n v="51.800000000000004"/>
    <n v="1.1639999999999999"/>
    <n v="58.199999999999996"/>
    <n v="0.40400000000000003"/>
    <n v="20.200000000000003"/>
    <n v="0.35599999999999998"/>
    <n v="5.1999999999999998E-2"/>
    <n v="3.2000000000000001E-2"/>
  </r>
  <r>
    <x v="3"/>
    <x v="107"/>
    <n v="104"/>
    <n v="4.7430000000000003"/>
    <n v="47.43"/>
    <n v="0.64200000000000002"/>
    <n v="32.1"/>
    <n v="1.2170000000000001"/>
    <n v="60.85"/>
    <n v="0.60199999999999998"/>
    <n v="30.099999999999998"/>
    <n v="0.26600000000000001"/>
    <n v="7.5999999999999998E-2"/>
    <n v="8.5999999999999993E-2"/>
  </r>
  <r>
    <x v="3"/>
    <x v="112"/>
    <n v="105"/>
    <n v="4.7240000000000002"/>
    <n v="47.24"/>
    <n v="0.94"/>
    <n v="47"/>
    <n v="1.41"/>
    <n v="70.5"/>
    <n v="0.33"/>
    <n v="16.5"/>
    <n v="0.51600000000000001"/>
    <n v="5.6000000000000001E-2"/>
    <n v="0.10299999999999999"/>
  </r>
  <r>
    <x v="3"/>
    <x v="109"/>
    <n v="106"/>
    <n v="4.7069999999999999"/>
    <n v="47.07"/>
    <n v="1.0589999999999999"/>
    <n v="52.949999999999996"/>
    <n v="0.77100000000000002"/>
    <n v="38.550000000000004"/>
    <n v="0.69099999999999995"/>
    <n v="34.549999999999997"/>
    <n v="0.45900000000000002"/>
    <n v="0.129"/>
    <n v="0.28199999999999997"/>
  </r>
  <r>
    <x v="3"/>
    <x v="150"/>
    <n v="107"/>
    <n v="4.6710000000000003"/>
    <n v="46.71"/>
    <n v="0.54100000000000004"/>
    <n v="27.05"/>
    <n v="0.872"/>
    <n v="43.6"/>
    <n v="0.08"/>
    <n v="4"/>
    <n v="0.46700000000000003"/>
    <n v="0.10299999999999999"/>
    <n v="0.14599999999999999"/>
  </r>
  <r>
    <x v="3"/>
    <x v="113"/>
    <n v="108"/>
    <n v="4.657"/>
    <n v="46.57"/>
    <n v="0.59199999999999997"/>
    <n v="29.599999999999998"/>
    <n v="0.89600000000000002"/>
    <n v="44.800000000000004"/>
    <n v="0.33700000000000002"/>
    <n v="16.850000000000001"/>
    <n v="0.499"/>
    <n v="2.9000000000000001E-2"/>
    <n v="0.21199999999999999"/>
  </r>
  <r>
    <x v="3"/>
    <x v="141"/>
    <n v="109"/>
    <n v="4.6310000000000002"/>
    <n v="46.31"/>
    <n v="0.42899999999999999"/>
    <n v="21.45"/>
    <n v="1.117"/>
    <n v="55.85"/>
    <n v="0.433"/>
    <n v="21.65"/>
    <n v="0.40600000000000003"/>
    <n v="8.2000000000000003E-2"/>
    <n v="0.13800000000000001"/>
  </r>
  <r>
    <x v="3"/>
    <x v="98"/>
    <n v="110"/>
    <n v="4.6230000000000002"/>
    <n v="46.230000000000004"/>
    <n v="0.72"/>
    <n v="36"/>
    <n v="1.034"/>
    <n v="51.7"/>
    <n v="0.441"/>
    <n v="22.05"/>
    <n v="0.626"/>
    <n v="0.17399999999999999"/>
    <n v="0.23"/>
  </r>
  <r>
    <x v="3"/>
    <x v="106"/>
    <n v="111"/>
    <n v="4.5919999999999996"/>
    <n v="45.92"/>
    <n v="0.9"/>
    <n v="45"/>
    <n v="0.90600000000000003"/>
    <n v="45.300000000000004"/>
    <n v="0.69"/>
    <n v="34.5"/>
    <n v="0.27100000000000002"/>
    <n v="6.3E-2"/>
    <n v="0.04"/>
  </r>
  <r>
    <x v="3"/>
    <x v="94"/>
    <n v="112"/>
    <n v="4.5860000000000003"/>
    <n v="45.86"/>
    <n v="0.91600000000000004"/>
    <n v="45.800000000000004"/>
    <n v="0.81699999999999995"/>
    <n v="40.849999999999994"/>
    <n v="0.79"/>
    <n v="39.5"/>
    <n v="0.41899999999999998"/>
    <n v="3.2000000000000001E-2"/>
    <n v="0.14899999999999999"/>
  </r>
  <r>
    <x v="3"/>
    <x v="122"/>
    <n v="113"/>
    <n v="4.5709999999999997"/>
    <n v="45.709999999999994"/>
    <n v="0.25600000000000001"/>
    <n v="12.8"/>
    <n v="0.81299999999999994"/>
    <n v="40.65"/>
    <n v="0"/>
    <n v="0"/>
    <n v="0.35499999999999998"/>
    <n v="5.2999999999999999E-2"/>
    <n v="0.23799999999999999"/>
  </r>
  <r>
    <x v="3"/>
    <x v="138"/>
    <n v="114"/>
    <n v="4.5590000000000002"/>
    <n v="45.59"/>
    <n v="0.68200000000000005"/>
    <n v="34.1"/>
    <n v="0.81100000000000005"/>
    <n v="40.550000000000004"/>
    <n v="0.34300000000000003"/>
    <n v="17.150000000000002"/>
    <n v="0.51400000000000001"/>
    <n v="7.6999999999999999E-2"/>
    <n v="9.0999999999999998E-2"/>
  </r>
  <r>
    <x v="3"/>
    <x v="108"/>
    <n v="115"/>
    <n v="4.5"/>
    <n v="45"/>
    <n v="0.53200000000000003"/>
    <n v="26.6"/>
    <n v="0.85"/>
    <n v="42.5"/>
    <n v="0.57899999999999996"/>
    <n v="28.95"/>
    <n v="0.57999999999999996"/>
    <n v="0.14399999999999999"/>
    <n v="0.153"/>
  </r>
  <r>
    <x v="3"/>
    <x v="131"/>
    <n v="116"/>
    <n v="4.4710000000000001"/>
    <n v="44.71"/>
    <n v="0.91800000000000004"/>
    <n v="45.9"/>
    <n v="1.3140000000000001"/>
    <n v="65.7"/>
    <n v="0.67200000000000004"/>
    <n v="33.6"/>
    <n v="0.58499999999999996"/>
    <n v="0.05"/>
    <n v="0.307"/>
  </r>
  <r>
    <x v="3"/>
    <x v="111"/>
    <n v="117"/>
    <n v="4.4560000000000004"/>
    <n v="44.56"/>
    <n v="1.01"/>
    <n v="50.5"/>
    <n v="0.97099999999999997"/>
    <n v="48.55"/>
    <n v="0.53600000000000003"/>
    <n v="26.8"/>
    <n v="0.30399999999999999"/>
    <n v="9.5000000000000001E-2"/>
    <n v="0.14799999999999999"/>
  </r>
  <r>
    <x v="3"/>
    <x v="137"/>
    <n v="118"/>
    <n v="4.4470000000000001"/>
    <n v="44.47"/>
    <n v="0.37"/>
    <n v="18.5"/>
    <n v="1.2330000000000001"/>
    <n v="61.650000000000006"/>
    <n v="0.152"/>
    <n v="7.6"/>
    <n v="0.36699999999999999"/>
    <n v="5.6000000000000001E-2"/>
    <n v="0.13900000000000001"/>
  </r>
  <r>
    <x v="3"/>
    <x v="161"/>
    <n v="119"/>
    <n v="4.4409999999999998"/>
    <n v="44.41"/>
    <n v="0.874"/>
    <n v="43.7"/>
    <n v="1.2809999999999999"/>
    <n v="64.05"/>
    <n v="0.36499999999999999"/>
    <n v="18.25"/>
    <n v="0.51900000000000002"/>
    <n v="6.4000000000000001E-2"/>
    <n v="5.0999999999999997E-2"/>
  </r>
  <r>
    <x v="3"/>
    <x v="144"/>
    <n v="120"/>
    <n v="4.4329999999999998"/>
    <n v="44.33"/>
    <n v="0.54900000000000004"/>
    <n v="27.450000000000003"/>
    <n v="1.0880000000000001"/>
    <n v="54.400000000000006"/>
    <n v="0.45700000000000002"/>
    <n v="22.85"/>
    <n v="0.69599999999999995"/>
    <n v="6.5000000000000002E-2"/>
    <n v="0.25600000000000001"/>
  </r>
  <r>
    <x v="3"/>
    <x v="151"/>
    <n v="121"/>
    <n v="4.4240000000000004"/>
    <n v="44.24"/>
    <n v="0.314"/>
    <n v="15.7"/>
    <n v="1.097"/>
    <n v="54.85"/>
    <n v="0.254"/>
    <n v="12.7"/>
    <n v="0.312"/>
    <n v="0.128"/>
    <n v="0.17499999999999999"/>
  </r>
  <r>
    <x v="3"/>
    <x v="134"/>
    <n v="122"/>
    <n v="4.4189999999999996"/>
    <n v="44.19"/>
    <n v="0.88500000000000001"/>
    <n v="44.25"/>
    <n v="1.0249999999999999"/>
    <n v="51.249999999999993"/>
    <n v="0.55300000000000005"/>
    <n v="27.650000000000002"/>
    <n v="0.312"/>
    <n v="0.107"/>
    <n v="9.1999999999999998E-2"/>
  </r>
  <r>
    <x v="3"/>
    <x v="93"/>
    <n v="123"/>
    <n v="4.4169999999999998"/>
    <n v="44.17"/>
    <n v="0.19800000000000001"/>
    <n v="9.9"/>
    <n v="0.90200000000000002"/>
    <n v="45.1"/>
    <n v="0.17299999999999999"/>
    <n v="8.6499999999999986"/>
    <n v="0.53100000000000003"/>
    <n v="0.158"/>
    <n v="0.20599999999999999"/>
  </r>
  <r>
    <x v="3"/>
    <x v="124"/>
    <n v="124"/>
    <n v="4.41"/>
    <n v="44.1"/>
    <n v="0.49299999999999999"/>
    <n v="24.65"/>
    <n v="1.048"/>
    <n v="52.400000000000006"/>
    <n v="0.45400000000000001"/>
    <n v="22.7"/>
    <n v="0.504"/>
    <n v="5.5E-2"/>
    <n v="0.35199999999999998"/>
  </r>
  <r>
    <x v="3"/>
    <x v="84"/>
    <n v="125"/>
    <n v="4.3769999999999998"/>
    <n v="43.769999999999996"/>
    <n v="0.56200000000000006"/>
    <n v="28.1"/>
    <n v="1.0469999999999999"/>
    <n v="52.349999999999994"/>
    <n v="0.29499999999999998"/>
    <n v="14.75"/>
    <n v="0.503"/>
    <n v="8.2000000000000003E-2"/>
    <n v="0.221"/>
  </r>
  <r>
    <x v="3"/>
    <x v="123"/>
    <n v="126"/>
    <n v="4.3559999999999999"/>
    <n v="43.559999999999995"/>
    <n v="0.55700000000000005"/>
    <n v="27.85"/>
    <n v="1.2450000000000001"/>
    <n v="62.250000000000007"/>
    <n v="0.29199999999999998"/>
    <n v="14.6"/>
    <n v="0.129"/>
    <n v="9.2999999999999999E-2"/>
    <n v="0.13400000000000001"/>
  </r>
  <r>
    <x v="3"/>
    <x v="121"/>
    <n v="127"/>
    <n v="4.3499999999999996"/>
    <n v="43.499999999999993"/>
    <n v="0.308"/>
    <n v="15.4"/>
    <n v="0.95"/>
    <n v="47.5"/>
    <n v="0.39100000000000001"/>
    <n v="19.55"/>
    <n v="0.45200000000000001"/>
    <n v="0.14599999999999999"/>
    <n v="0.22"/>
  </r>
  <r>
    <x v="3"/>
    <x v="129"/>
    <n v="128"/>
    <n v="4.34"/>
    <n v="43.4"/>
    <n v="0.85299999999999998"/>
    <n v="42.65"/>
    <n v="0.59199999999999997"/>
    <n v="29.599999999999998"/>
    <n v="0.64300000000000002"/>
    <n v="32.15"/>
    <n v="0.375"/>
    <n v="0.215"/>
    <n v="3.7999999999999999E-2"/>
  </r>
  <r>
    <x v="3"/>
    <x v="126"/>
    <n v="129"/>
    <n v="4.3209999999999997"/>
    <n v="43.209999999999994"/>
    <n v="0.81599999999999995"/>
    <n v="40.799999999999997"/>
    <n v="0.99"/>
    <n v="49.5"/>
    <n v="0.66600000000000004"/>
    <n v="33.300000000000004"/>
    <n v="0.26"/>
    <n v="2.8000000000000001E-2"/>
    <n v="7.6999999999999999E-2"/>
  </r>
  <r>
    <x v="3"/>
    <x v="128"/>
    <n v="130"/>
    <n v="4.3079999999999998"/>
    <n v="43.08"/>
    <n v="0.68200000000000005"/>
    <n v="34.1"/>
    <n v="1.1739999999999999"/>
    <n v="58.699999999999996"/>
    <n v="0.42899999999999999"/>
    <n v="21.45"/>
    <n v="0.57999999999999996"/>
    <n v="0.17799999999999999"/>
    <n v="0.59799999999999998"/>
  </r>
  <r>
    <x v="3"/>
    <x v="148"/>
    <n v="131"/>
    <n v="4.3010000000000002"/>
    <n v="43.010000000000005"/>
    <n v="0.35799999999999998"/>
    <n v="17.899999999999999"/>
    <n v="0.90700000000000003"/>
    <n v="45.35"/>
    <n v="5.2999999999999999E-2"/>
    <n v="2.65"/>
    <n v="0.189"/>
    <n v="0.06"/>
    <n v="0.18099999999999999"/>
  </r>
  <r>
    <x v="3"/>
    <x v="119"/>
    <n v="132"/>
    <n v="4.2450000000000001"/>
    <n v="42.45"/>
    <n v="6.9000000000000006E-2"/>
    <n v="3.45"/>
    <n v="1.1359999999999999"/>
    <n v="56.8"/>
    <n v="0.20399999999999999"/>
    <n v="10.199999999999999"/>
    <n v="0.312"/>
    <n v="5.1999999999999998E-2"/>
    <n v="0.19700000000000001"/>
  </r>
  <r>
    <x v="3"/>
    <x v="116"/>
    <n v="133"/>
    <n v="4.1900000000000004"/>
    <n v="41.900000000000006"/>
    <n v="0.72099999999999997"/>
    <n v="36.049999999999997"/>
    <n v="0.747"/>
    <n v="37.35"/>
    <n v="0.48499999999999999"/>
    <n v="24.25"/>
    <n v="0.53900000000000003"/>
    <n v="9.2999999999999999E-2"/>
    <n v="0.17199999999999999"/>
  </r>
  <r>
    <x v="3"/>
    <x v="143"/>
    <n v="134"/>
    <n v="4.1660000000000004"/>
    <n v="41.660000000000004"/>
    <n v="0.13100000000000001"/>
    <n v="6.5500000000000007"/>
    <n v="0.86699999999999999"/>
    <n v="43.35"/>
    <n v="0.221"/>
    <n v="11.05"/>
    <n v="0.39"/>
    <n v="9.9000000000000005E-2"/>
    <n v="0.17499999999999999"/>
  </r>
  <r>
    <x v="3"/>
    <x v="140"/>
    <n v="135"/>
    <n v="4.1609999999999996"/>
    <n v="41.61"/>
    <n v="0.32200000000000001"/>
    <n v="16.100000000000001"/>
    <n v="1.0900000000000001"/>
    <n v="54.500000000000007"/>
    <n v="0.23699999999999999"/>
    <n v="11.85"/>
    <n v="0.45"/>
    <n v="6.0999999999999999E-2"/>
    <n v="0.25900000000000001"/>
  </r>
  <r>
    <x v="3"/>
    <x v="154"/>
    <n v="136"/>
    <n v="4.141"/>
    <n v="41.410000000000004"/>
    <n v="0.378"/>
    <n v="18.899999999999999"/>
    <n v="0.372"/>
    <n v="18.600000000000001"/>
    <n v="0.24"/>
    <n v="12"/>
    <n v="0.44"/>
    <n v="6.7000000000000004E-2"/>
    <n v="0.16300000000000001"/>
  </r>
  <r>
    <x v="3"/>
    <x v="117"/>
    <n v="137"/>
    <n v="4.1390000000000002"/>
    <n v="41.39"/>
    <n v="0.60499999999999998"/>
    <n v="30.25"/>
    <n v="1.24"/>
    <n v="62"/>
    <n v="0.312"/>
    <n v="15.6"/>
    <n v="1.6E-2"/>
    <n v="8.2000000000000003E-2"/>
    <n v="0.13400000000000001"/>
  </r>
  <r>
    <x v="3"/>
    <x v="110"/>
    <n v="138"/>
    <n v="4.1029999999999998"/>
    <n v="41.029999999999994"/>
    <n v="0.79300000000000004"/>
    <n v="39.65"/>
    <n v="1.413"/>
    <n v="70.650000000000006"/>
    <n v="0.60899999999999999"/>
    <n v="30.45"/>
    <n v="0.16300000000000001"/>
    <n v="1.0999999999999999E-2"/>
    <n v="0.187"/>
  </r>
  <r>
    <x v="3"/>
    <x v="157"/>
    <n v="139"/>
    <n v="3.9990000000000001"/>
    <n v="39.99"/>
    <n v="0.25900000000000001"/>
    <n v="12.950000000000001"/>
    <n v="0.47399999999999998"/>
    <n v="23.7"/>
    <n v="0.253"/>
    <n v="12.65"/>
    <n v="0.434"/>
    <n v="0.10100000000000001"/>
    <n v="0.158"/>
  </r>
  <r>
    <x v="3"/>
    <x v="149"/>
    <n v="140"/>
    <n v="3.964"/>
    <n v="39.64"/>
    <n v="0.34399999999999997"/>
    <n v="17.2"/>
    <n v="0.79200000000000004"/>
    <n v="39.6"/>
    <n v="0.21099999999999999"/>
    <n v="10.549999999999999"/>
    <n v="0.39400000000000002"/>
    <n v="9.4E-2"/>
    <n v="0.185"/>
  </r>
  <r>
    <x v="3"/>
    <x v="96"/>
    <n v="141"/>
    <n v="3.8079999999999998"/>
    <n v="38.08"/>
    <n v="0.47199999999999998"/>
    <n v="23.599999999999998"/>
    <n v="1.2150000000000001"/>
    <n v="60.750000000000007"/>
    <n v="7.9000000000000001E-2"/>
    <n v="3.95"/>
    <n v="0.42299999999999999"/>
    <n v="0.112"/>
    <n v="0.11600000000000001"/>
  </r>
  <r>
    <x v="3"/>
    <x v="136"/>
    <n v="142"/>
    <n v="3.7949999999999999"/>
    <n v="37.950000000000003"/>
    <n v="0.73"/>
    <n v="36.5"/>
    <n v="1.125"/>
    <n v="56.25"/>
    <n v="0.26900000000000002"/>
    <n v="13.450000000000001"/>
    <n v="0"/>
    <n v="6.0999999999999999E-2"/>
    <n v="7.9000000000000001E-2"/>
  </r>
  <r>
    <x v="3"/>
    <x v="146"/>
    <n v="143"/>
    <n v="3.774"/>
    <n v="37.739999999999995"/>
    <n v="0.26200000000000001"/>
    <n v="13.100000000000001"/>
    <n v="0.90800000000000003"/>
    <n v="45.4"/>
    <n v="0.40200000000000002"/>
    <n v="20.100000000000001"/>
    <n v="0.221"/>
    <n v="4.9000000000000002E-2"/>
    <n v="0.155"/>
  </r>
  <r>
    <x v="3"/>
    <x v="114"/>
    <n v="144"/>
    <n v="3.6920000000000002"/>
    <n v="36.92"/>
    <n v="0.35699999999999998"/>
    <n v="17.849999999999998"/>
    <n v="1.0940000000000001"/>
    <n v="54.7"/>
    <n v="0.248"/>
    <n v="12.4"/>
    <n v="0.40600000000000003"/>
    <n v="9.9000000000000005E-2"/>
    <n v="0.13200000000000001"/>
  </r>
  <r>
    <x v="3"/>
    <x v="152"/>
    <n v="145"/>
    <n v="3.6320000000000001"/>
    <n v="36.32"/>
    <n v="0.33200000000000002"/>
    <n v="16.600000000000001"/>
    <n v="0.53700000000000003"/>
    <n v="26.85"/>
    <n v="0.255"/>
    <n v="12.75"/>
    <n v="8.5000000000000006E-2"/>
    <n v="3.5999999999999997E-2"/>
    <n v="0.191"/>
  </r>
  <r>
    <x v="3"/>
    <x v="127"/>
    <n v="146"/>
    <n v="3.59"/>
    <n v="35.9"/>
    <n v="1.0169999999999999"/>
    <n v="50.849999999999994"/>
    <n v="1.1739999999999999"/>
    <n v="58.699999999999996"/>
    <n v="0.41699999999999998"/>
    <n v="20.849999999999998"/>
    <n v="0.55700000000000005"/>
    <n v="9.1999999999999998E-2"/>
    <n v="4.2000000000000003E-2"/>
  </r>
  <r>
    <x v="3"/>
    <x v="130"/>
    <n v="147"/>
    <n v="3.5870000000000002"/>
    <n v="35.870000000000005"/>
    <n v="0.186"/>
    <n v="9.3000000000000007"/>
    <n v="0.54100000000000004"/>
    <n v="27.05"/>
    <n v="0.30599999999999999"/>
    <n v="15.299999999999999"/>
    <n v="0.53100000000000003"/>
    <n v="0.08"/>
    <n v="0.21"/>
  </r>
  <r>
    <x v="3"/>
    <x v="118"/>
    <n v="148"/>
    <n v="3.5819999999999999"/>
    <n v="35.82"/>
    <n v="0.315"/>
    <n v="15.75"/>
    <n v="0.71399999999999997"/>
    <n v="35.699999999999996"/>
    <n v="0.28899999999999998"/>
    <n v="14.45"/>
    <n v="2.5000000000000001E-2"/>
    <n v="0.104"/>
    <n v="0.39200000000000002"/>
  </r>
  <r>
    <x v="3"/>
    <x v="115"/>
    <n v="149"/>
    <n v="3.4950000000000001"/>
    <n v="34.950000000000003"/>
    <n v="7.5999999999999998E-2"/>
    <n v="3.8"/>
    <n v="0.85799999999999998"/>
    <n v="42.9"/>
    <n v="0.26700000000000002"/>
    <n v="13.350000000000001"/>
    <n v="0.41899999999999998"/>
    <n v="0.03"/>
    <n v="0.20599999999999999"/>
  </r>
  <r>
    <x v="3"/>
    <x v="155"/>
    <n v="150"/>
    <n v="3.4620000000000002"/>
    <n v="34.620000000000005"/>
    <n v="0.68899999999999995"/>
    <n v="34.449999999999996"/>
    <n v="0.38200000000000001"/>
    <n v="19.100000000000001"/>
    <n v="0.53900000000000003"/>
    <n v="26.950000000000003"/>
    <n v="8.7999999999999995E-2"/>
    <n v="0.14399999999999999"/>
    <n v="0.376"/>
  </r>
  <r>
    <x v="3"/>
    <x v="153"/>
    <n v="151"/>
    <n v="3.4079999999999999"/>
    <n v="34.08"/>
    <n v="0.33200000000000002"/>
    <n v="16.600000000000001"/>
    <n v="0.89600000000000002"/>
    <n v="44.800000000000004"/>
    <n v="0.4"/>
    <n v="20"/>
    <n v="0.63600000000000001"/>
    <n v="0.44400000000000001"/>
    <n v="0.2"/>
  </r>
  <r>
    <x v="3"/>
    <x v="135"/>
    <n v="152"/>
    <n v="3.355"/>
    <n v="33.549999999999997"/>
    <n v="0.442"/>
    <n v="22.1"/>
    <n v="1.073"/>
    <n v="53.65"/>
    <n v="0.34300000000000003"/>
    <n v="17.150000000000002"/>
    <n v="0.24399999999999999"/>
    <n v="6.4000000000000001E-2"/>
    <n v="8.3000000000000004E-2"/>
  </r>
  <r>
    <x v="3"/>
    <x v="145"/>
    <n v="153"/>
    <n v="3.3029999999999999"/>
    <n v="33.03"/>
    <n v="0.45500000000000002"/>
    <n v="22.75"/>
    <n v="0.99099999999999999"/>
    <n v="49.55"/>
    <n v="0.38100000000000001"/>
    <n v="19.05"/>
    <n v="0.48099999999999998"/>
    <n v="9.7000000000000003E-2"/>
    <n v="0.27"/>
  </r>
  <r>
    <x v="3"/>
    <x v="162"/>
    <n v="154"/>
    <n v="3.254"/>
    <n v="32.54"/>
    <n v="0.33700000000000002"/>
    <n v="16.850000000000001"/>
    <n v="0.60799999999999998"/>
    <n v="30.4"/>
    <n v="0.17699999999999999"/>
    <n v="8.85"/>
    <n v="0.112"/>
    <n v="0.106"/>
    <n v="0.224"/>
  </r>
  <r>
    <x v="3"/>
    <x v="147"/>
    <n v="155"/>
    <n v="3.0830000000000002"/>
    <n v="30.830000000000002"/>
    <n v="2.4E-2"/>
    <n v="1.2"/>
    <n v="0"/>
    <n v="0"/>
    <n v="0.01"/>
    <n v="0.5"/>
    <n v="0.30499999999999999"/>
    <n v="3.7999999999999999E-2"/>
    <n v="0.218"/>
  </r>
  <r>
    <x v="3"/>
    <x v="156"/>
    <n v="156"/>
    <n v="2.9049999999999998"/>
    <n v="29.05"/>
    <n v="9.0999999999999998E-2"/>
    <n v="4.55"/>
    <n v="0.627"/>
    <n v="31.35"/>
    <n v="0.14499999999999999"/>
    <n v="7.2499999999999991"/>
    <n v="6.5000000000000002E-2"/>
    <n v="7.5999999999999998E-2"/>
    <n v="0.14899999999999999"/>
  </r>
  <r>
    <x v="4"/>
    <x v="5"/>
    <n v="1"/>
    <n v="7.7690000000000001"/>
    <n v="77.69"/>
    <n v="1.34"/>
    <n v="67"/>
    <n v="1.587"/>
    <n v="79.349999999999994"/>
    <n v="0.98599999999999999"/>
    <n v="49.3"/>
    <n v="0.59599999999999997"/>
    <n v="0.39300000000000002"/>
    <n v="0.153"/>
  </r>
  <r>
    <x v="4"/>
    <x v="2"/>
    <n v="2"/>
    <n v="7.6"/>
    <n v="76"/>
    <n v="1.383"/>
    <n v="69.150000000000006"/>
    <n v="1.573"/>
    <n v="78.649999999999991"/>
    <n v="0.996"/>
    <n v="49.8"/>
    <n v="0.59199999999999997"/>
    <n v="0.41"/>
    <n v="0.252"/>
  </r>
  <r>
    <x v="4"/>
    <x v="3"/>
    <n v="3"/>
    <n v="7.5540000000000003"/>
    <n v="75.539999999999992"/>
    <n v="1.488"/>
    <n v="74.400000000000006"/>
    <n v="1.5820000000000001"/>
    <n v="79.100000000000009"/>
    <n v="1.028"/>
    <n v="51.4"/>
    <n v="0.60299999999999998"/>
    <n v="0.34100000000000003"/>
    <n v="0.27100000000000002"/>
  </r>
  <r>
    <x v="4"/>
    <x v="1"/>
    <n v="4"/>
    <n v="7.4939999999999998"/>
    <n v="74.94"/>
    <n v="1.38"/>
    <n v="69"/>
    <n v="1.6240000000000001"/>
    <n v="81.2"/>
    <n v="1.026"/>
    <n v="51.300000000000004"/>
    <n v="0.59099999999999997"/>
    <n v="0.11799999999999999"/>
    <n v="0.35399999999999998"/>
  </r>
  <r>
    <x v="4"/>
    <x v="6"/>
    <n v="5"/>
    <n v="7.4880000000000004"/>
    <n v="74.88000000000001"/>
    <n v="1.3959999999999999"/>
    <n v="69.8"/>
    <n v="1.522"/>
    <n v="76.099999999999994"/>
    <n v="0.999"/>
    <n v="49.95"/>
    <n v="0.55700000000000005"/>
    <n v="0.29799999999999999"/>
    <n v="0.32200000000000001"/>
  </r>
  <r>
    <x v="4"/>
    <x v="0"/>
    <n v="6"/>
    <n v="7.48"/>
    <n v="74.8"/>
    <n v="1.452"/>
    <n v="72.599999999999994"/>
    <n v="1.526"/>
    <n v="76.3"/>
    <n v="1.052"/>
    <n v="52.6"/>
    <n v="0.57199999999999995"/>
    <n v="0.34300000000000003"/>
    <n v="0.26300000000000001"/>
  </r>
  <r>
    <x v="4"/>
    <x v="7"/>
    <n v="7"/>
    <n v="7.343"/>
    <n v="73.429999999999993"/>
    <n v="1.387"/>
    <n v="69.349999999999994"/>
    <n v="1.4870000000000001"/>
    <n v="74.350000000000009"/>
    <n v="1.0089999999999999"/>
    <n v="50.449999999999996"/>
    <n v="0.57399999999999995"/>
    <n v="0.373"/>
    <n v="0.26700000000000002"/>
  </r>
  <r>
    <x v="4"/>
    <x v="8"/>
    <n v="8"/>
    <n v="7.3070000000000004"/>
    <n v="73.070000000000007"/>
    <n v="1.3029999999999999"/>
    <n v="65.149999999999991"/>
    <n v="1.5569999999999999"/>
    <n v="77.849999999999994"/>
    <n v="1.026"/>
    <n v="51.300000000000004"/>
    <n v="0.58499999999999996"/>
    <n v="0.38"/>
    <n v="0.33"/>
  </r>
  <r>
    <x v="4"/>
    <x v="4"/>
    <n v="9"/>
    <n v="7.2779999999999996"/>
    <n v="72.78"/>
    <n v="1.365"/>
    <n v="68.25"/>
    <n v="1.5049999999999999"/>
    <n v="75.25"/>
    <n v="1.0389999999999999"/>
    <n v="51.949999999999996"/>
    <n v="0.58399999999999996"/>
    <n v="0.308"/>
    <n v="0.28499999999999998"/>
  </r>
  <r>
    <x v="4"/>
    <x v="12"/>
    <n v="10"/>
    <n v="7.2460000000000004"/>
    <n v="72.460000000000008"/>
    <n v="1.3759999999999999"/>
    <n v="68.8"/>
    <n v="1.4750000000000001"/>
    <n v="73.75"/>
    <n v="1.016"/>
    <n v="50.8"/>
    <n v="0.53200000000000003"/>
    <n v="0.22600000000000001"/>
    <n v="0.24399999999999999"/>
  </r>
  <r>
    <x v="4"/>
    <x v="9"/>
    <n v="11"/>
    <n v="7.2279999999999998"/>
    <n v="72.28"/>
    <n v="1.3720000000000001"/>
    <n v="68.600000000000009"/>
    <n v="1.548"/>
    <n v="77.400000000000006"/>
    <n v="1.036"/>
    <n v="51.800000000000004"/>
    <n v="0.55700000000000005"/>
    <n v="0.28999999999999998"/>
    <n v="0.33200000000000002"/>
  </r>
  <r>
    <x v="4"/>
    <x v="11"/>
    <n v="12"/>
    <n v="7.1669999999999998"/>
    <n v="71.669999999999987"/>
    <n v="1.034"/>
    <n v="51.7"/>
    <n v="1.4410000000000001"/>
    <n v="72.05"/>
    <n v="0.96299999999999997"/>
    <n v="48.15"/>
    <n v="0.55800000000000005"/>
    <n v="9.2999999999999999E-2"/>
    <n v="0.14399999999999999"/>
  </r>
  <r>
    <x v="4"/>
    <x v="10"/>
    <n v="13"/>
    <n v="7.1390000000000002"/>
    <n v="71.39"/>
    <n v="1.276"/>
    <n v="63.800000000000004"/>
    <n v="1.4550000000000001"/>
    <n v="72.75"/>
    <n v="1.0289999999999999"/>
    <n v="51.449999999999996"/>
    <n v="0.371"/>
    <n v="8.2000000000000003E-2"/>
    <n v="0.26100000000000001"/>
  </r>
  <r>
    <x v="4"/>
    <x v="16"/>
    <n v="14"/>
    <n v="7.09"/>
    <n v="70.900000000000006"/>
    <n v="1.609"/>
    <n v="80.45"/>
    <n v="1.4790000000000001"/>
    <n v="73.95"/>
    <n v="1.012"/>
    <n v="50.6"/>
    <n v="0.52600000000000002"/>
    <n v="0.316"/>
    <n v="0.19400000000000001"/>
  </r>
  <r>
    <x v="4"/>
    <x v="20"/>
    <n v="15"/>
    <n v="7.0540000000000003"/>
    <n v="70.539999999999992"/>
    <n v="1.333"/>
    <n v="66.649999999999991"/>
    <n v="1.538"/>
    <n v="76.900000000000006"/>
    <n v="0.996"/>
    <n v="49.8"/>
    <n v="0.45"/>
    <n v="0.27800000000000002"/>
    <n v="0.34799999999999998"/>
  </r>
  <r>
    <x v="4"/>
    <x v="17"/>
    <n v="16"/>
    <n v="7.0209999999999999"/>
    <n v="70.210000000000008"/>
    <n v="1.4990000000000001"/>
    <n v="74.95"/>
    <n v="1.5529999999999999"/>
    <n v="77.649999999999991"/>
    <n v="0.999"/>
    <n v="49.95"/>
    <n v="0.51600000000000001"/>
    <n v="0.31"/>
    <n v="0.29799999999999999"/>
  </r>
  <r>
    <x v="4"/>
    <x v="25"/>
    <n v="17"/>
    <n v="6.9850000000000003"/>
    <n v="69.849999999999994"/>
    <n v="1.373"/>
    <n v="68.650000000000006"/>
    <n v="1.454"/>
    <n v="72.7"/>
    <n v="0.98699999999999999"/>
    <n v="49.35"/>
    <n v="0.495"/>
    <n v="0.26500000000000001"/>
    <n v="0.26100000000000001"/>
  </r>
  <r>
    <x v="4"/>
    <x v="18"/>
    <n v="18"/>
    <n v="6.923"/>
    <n v="69.22999999999999"/>
    <n v="1.3560000000000001"/>
    <n v="67.800000000000011"/>
    <n v="1.504"/>
    <n v="75.2"/>
    <n v="0.98599999999999999"/>
    <n v="49.3"/>
    <n v="0.47299999999999998"/>
    <n v="0.21"/>
    <n v="0.16"/>
  </r>
  <r>
    <x v="4"/>
    <x v="14"/>
    <n v="19"/>
    <n v="6.8920000000000003"/>
    <n v="68.92"/>
    <n v="1.4330000000000001"/>
    <n v="71.650000000000006"/>
    <n v="1.4570000000000001"/>
    <n v="72.850000000000009"/>
    <n v="0.874"/>
    <n v="43.7"/>
    <n v="0.45400000000000001"/>
    <n v="0.128"/>
    <n v="0.28000000000000003"/>
  </r>
  <r>
    <x v="4"/>
    <x v="30"/>
    <n v="20"/>
    <n v="6.8520000000000003"/>
    <n v="68.52000000000001"/>
    <n v="1.2689999999999999"/>
    <n v="63.449999999999996"/>
    <n v="1.4870000000000001"/>
    <n v="74.350000000000009"/>
    <n v="0.92"/>
    <n v="46"/>
    <n v="0.45700000000000002"/>
    <n v="3.5999999999999997E-2"/>
    <n v="4.5999999999999999E-2"/>
  </r>
  <r>
    <x v="4"/>
    <x v="19"/>
    <n v="21"/>
    <n v="6.8250000000000002"/>
    <n v="68.25"/>
    <n v="1.5029999999999999"/>
    <n v="75.149999999999991"/>
    <n v="1.31"/>
    <n v="65.5"/>
    <n v="0.82499999999999996"/>
    <n v="41.25"/>
    <n v="0.59799999999999998"/>
    <n v="0.182"/>
    <n v="0.26200000000000001"/>
  </r>
  <r>
    <x v="4"/>
    <x v="36"/>
    <n v="22"/>
    <n v="6.726"/>
    <n v="67.260000000000005"/>
    <n v="1.3"/>
    <n v="65"/>
    <n v="1.52"/>
    <n v="76"/>
    <n v="0.999"/>
    <n v="49.95"/>
    <n v="0.56399999999999995"/>
    <n v="0.151"/>
    <n v="0.375"/>
  </r>
  <r>
    <x v="4"/>
    <x v="13"/>
    <n v="23"/>
    <n v="6.5949999999999998"/>
    <n v="65.95"/>
    <n v="1.07"/>
    <n v="53.5"/>
    <n v="1.323"/>
    <n v="66.149999999999991"/>
    <n v="0.86099999999999999"/>
    <n v="43.05"/>
    <n v="0.433"/>
    <n v="7.2999999999999995E-2"/>
    <n v="7.3999999999999996E-2"/>
  </r>
  <r>
    <x v="4"/>
    <x v="28"/>
    <n v="24"/>
    <n v="6.5919999999999996"/>
    <n v="65.919999999999987"/>
    <n v="1.3240000000000001"/>
    <n v="66.2"/>
    <n v="1.472"/>
    <n v="73.599999999999994"/>
    <n v="1.0449999999999999"/>
    <n v="52.25"/>
    <n v="0.436"/>
    <n v="0.183"/>
    <n v="0.111"/>
  </r>
  <r>
    <x v="4"/>
    <x v="37"/>
    <n v="25"/>
    <n v="6.4459999999999997"/>
    <n v="64.460000000000008"/>
    <n v="1.3680000000000001"/>
    <n v="68.400000000000006"/>
    <n v="1.43"/>
    <n v="71.5"/>
    <n v="0.91400000000000003"/>
    <n v="45.7"/>
    <n v="0.35099999999999998"/>
    <n v="9.7000000000000003E-2"/>
    <n v="0.24199999999999999"/>
  </r>
  <r>
    <x v="4"/>
    <x v="26"/>
    <n v="26"/>
    <n v="6.444"/>
    <n v="64.44"/>
    <n v="1.159"/>
    <n v="57.95"/>
    <n v="1.369"/>
    <n v="68.45"/>
    <n v="0.92"/>
    <n v="46"/>
    <n v="0.35699999999999998"/>
    <n v="5.6000000000000001E-2"/>
    <n v="0.187"/>
  </r>
  <r>
    <x v="4"/>
    <x v="42"/>
    <n v="27"/>
    <n v="6.4359999999999999"/>
    <n v="64.36"/>
    <n v="0.8"/>
    <n v="40"/>
    <n v="1.2689999999999999"/>
    <n v="63.449999999999996"/>
    <n v="0.746"/>
    <n v="37.299999999999997"/>
    <n v="0.53500000000000003"/>
    <n v="7.8E-2"/>
    <n v="0.17499999999999999"/>
  </r>
  <r>
    <x v="4"/>
    <x v="34"/>
    <n v="28"/>
    <n v="6.375"/>
    <n v="63.75"/>
    <n v="1.403"/>
    <n v="70.150000000000006"/>
    <n v="1.357"/>
    <n v="67.849999999999994"/>
    <n v="0.79500000000000004"/>
    <n v="39.75"/>
    <n v="0.439"/>
    <n v="0.13200000000000001"/>
    <n v="0.08"/>
  </r>
  <r>
    <x v="4"/>
    <x v="27"/>
    <n v="29"/>
    <n v="6.3739999999999997"/>
    <n v="63.739999999999995"/>
    <n v="1.6839999999999999"/>
    <n v="84.2"/>
    <n v="1.3129999999999999"/>
    <n v="65.649999999999991"/>
    <n v="0.871"/>
    <n v="43.55"/>
    <n v="0.55500000000000005"/>
    <n v="0.16700000000000001"/>
    <n v="0.22"/>
  </r>
  <r>
    <x v="4"/>
    <x v="35"/>
    <n v="30"/>
    <n v="6.3540000000000001"/>
    <n v="63.54"/>
    <n v="1.286"/>
    <n v="64.3"/>
    <n v="1.484"/>
    <n v="74.2"/>
    <n v="1.0620000000000001"/>
    <n v="53.1"/>
    <n v="0.36199999999999999"/>
    <n v="7.9000000000000001E-2"/>
    <n v="0.153"/>
  </r>
  <r>
    <x v="4"/>
    <x v="24"/>
    <n v="31"/>
    <n v="6.3209999999999997"/>
    <n v="63.21"/>
    <n v="1.149"/>
    <n v="57.45"/>
    <n v="1.4419999999999999"/>
    <n v="72.099999999999994"/>
    <n v="0.91"/>
    <n v="45.5"/>
    <n v="0.51600000000000001"/>
    <n v="5.3999999999999999E-2"/>
    <n v="0.109"/>
  </r>
  <r>
    <x v="4"/>
    <x v="15"/>
    <n v="32"/>
    <n v="6.3"/>
    <n v="63"/>
    <n v="1.004"/>
    <n v="50.2"/>
    <n v="1.4390000000000001"/>
    <n v="71.95"/>
    <n v="0.80200000000000005"/>
    <n v="40.1"/>
    <n v="0.39"/>
    <n v="8.5999999999999993E-2"/>
    <n v="9.9000000000000005E-2"/>
  </r>
  <r>
    <x v="4"/>
    <x v="31"/>
    <n v="33"/>
    <n v="6.2930000000000001"/>
    <n v="62.930000000000007"/>
    <n v="1.1240000000000001"/>
    <n v="56.2"/>
    <n v="1.4650000000000001"/>
    <n v="73.25"/>
    <n v="0.89100000000000001"/>
    <n v="44.55"/>
    <n v="0.52300000000000002"/>
    <n v="0.15"/>
    <n v="0.127"/>
  </r>
  <r>
    <x v="4"/>
    <x v="23"/>
    <n v="34"/>
    <n v="6.2619999999999996"/>
    <n v="62.61999999999999"/>
    <n v="1.5720000000000001"/>
    <n v="78.600000000000009"/>
    <n v="1.4630000000000001"/>
    <n v="73.150000000000006"/>
    <n v="1.141"/>
    <n v="57.05"/>
    <n v="0.55600000000000005"/>
    <n v="0.45300000000000001"/>
    <n v="0.27100000000000002"/>
  </r>
  <r>
    <x v="4"/>
    <x v="41"/>
    <n v="35"/>
    <n v="6.2530000000000001"/>
    <n v="62.529999999999994"/>
    <n v="0.79400000000000004"/>
    <n v="39.700000000000003"/>
    <n v="1.242"/>
    <n v="62.1"/>
    <n v="0.78900000000000003"/>
    <n v="39.450000000000003"/>
    <n v="0.43"/>
    <n v="7.3999999999999996E-2"/>
    <n v="9.2999999999999999E-2"/>
  </r>
  <r>
    <x v="4"/>
    <x v="49"/>
    <n v="36"/>
    <n v="6.2229999999999999"/>
    <n v="62.23"/>
    <n v="1.294"/>
    <n v="64.7"/>
    <n v="1.488"/>
    <n v="74.400000000000006"/>
    <n v="1.0389999999999999"/>
    <n v="51.949999999999996"/>
    <n v="0.23100000000000001"/>
    <n v="0.03"/>
    <n v="0.158"/>
  </r>
  <r>
    <x v="4"/>
    <x v="48"/>
    <n v="37"/>
    <n v="6.1989999999999998"/>
    <n v="61.989999999999995"/>
    <n v="1.3620000000000001"/>
    <n v="68.100000000000009"/>
    <n v="1.3680000000000001"/>
    <n v="68.400000000000006"/>
    <n v="0.871"/>
    <n v="43.55"/>
    <n v="0.53600000000000003"/>
    <n v="0.11"/>
    <n v="0.255"/>
  </r>
  <r>
    <x v="4"/>
    <x v="44"/>
    <n v="38"/>
    <n v="6.1980000000000004"/>
    <n v="61.980000000000004"/>
    <n v="1.246"/>
    <n v="62.3"/>
    <n v="1.504"/>
    <n v="75.2"/>
    <n v="0.88100000000000001"/>
    <n v="44.05"/>
    <n v="0.33400000000000002"/>
    <n v="1.4E-2"/>
    <n v="0.121"/>
  </r>
  <r>
    <x v="4"/>
    <x v="165"/>
    <n v="39"/>
    <n v="6.1920000000000002"/>
    <n v="61.92"/>
    <n v="1.2310000000000001"/>
    <n v="61.550000000000004"/>
    <n v="1.4770000000000001"/>
    <n v="73.850000000000009"/>
    <n v="0.71299999999999997"/>
    <n v="35.65"/>
    <n v="0.48899999999999999"/>
    <n v="1.6E-2"/>
    <n v="0.185"/>
  </r>
  <r>
    <x v="4"/>
    <x v="59"/>
    <n v="40"/>
    <n v="6.1820000000000004"/>
    <n v="61.820000000000007"/>
    <n v="1.206"/>
    <n v="60.3"/>
    <n v="1.4379999999999999"/>
    <n v="71.899999999999991"/>
    <n v="0.88400000000000001"/>
    <n v="44.2"/>
    <n v="0.48299999999999998"/>
    <n v="0.05"/>
    <n v="0.11700000000000001"/>
  </r>
  <r>
    <x v="4"/>
    <x v="43"/>
    <n v="41"/>
    <n v="6.1740000000000004"/>
    <n v="61.740000000000009"/>
    <n v="0.745"/>
    <n v="37.25"/>
    <n v="1.5289999999999999"/>
    <n v="76.449999999999989"/>
    <n v="0.75600000000000001"/>
    <n v="37.799999999999997"/>
    <n v="0.63100000000000001"/>
    <n v="0.24"/>
    <n v="0.32200000000000001"/>
  </r>
  <r>
    <x v="4"/>
    <x v="55"/>
    <n v="42"/>
    <n v="6.149"/>
    <n v="61.489999999999995"/>
    <n v="1.238"/>
    <n v="61.9"/>
    <n v="1.5149999999999999"/>
    <n v="75.75"/>
    <n v="0.81799999999999995"/>
    <n v="40.9"/>
    <n v="0.29099999999999998"/>
    <n v="4.2000000000000003E-2"/>
    <n v="4.2999999999999997E-2"/>
  </r>
  <r>
    <x v="4"/>
    <x v="32"/>
    <n v="43"/>
    <n v="6.125"/>
    <n v="61.25"/>
    <n v="0.98499999999999999"/>
    <n v="49.25"/>
    <n v="1.41"/>
    <n v="70.5"/>
    <n v="0.84099999999999997"/>
    <n v="42.05"/>
    <n v="0.47"/>
    <n v="3.4000000000000002E-2"/>
    <n v="9.9000000000000005E-2"/>
  </r>
  <r>
    <x v="4"/>
    <x v="54"/>
    <n v="44"/>
    <n v="6.1180000000000003"/>
    <n v="61.180000000000007"/>
    <n v="1.258"/>
    <n v="62.9"/>
    <n v="1.5229999999999999"/>
    <n v="76.149999999999991"/>
    <n v="0.95299999999999996"/>
    <n v="47.65"/>
    <n v="0.56399999999999995"/>
    <n v="5.7000000000000002E-2"/>
    <n v="0.14399999999999999"/>
  </r>
  <r>
    <x v="4"/>
    <x v="56"/>
    <n v="45"/>
    <n v="6.1050000000000004"/>
    <n v="61.05"/>
    <n v="0.69399999999999995"/>
    <n v="34.699999999999996"/>
    <n v="1.325"/>
    <n v="66.25"/>
    <n v="0.83499999999999996"/>
    <n v="41.75"/>
    <n v="0.435"/>
    <n v="0.127"/>
    <n v="0.2"/>
  </r>
  <r>
    <x v="4"/>
    <x v="68"/>
    <n v="46"/>
    <n v="6.1"/>
    <n v="61"/>
    <n v="0.88200000000000001"/>
    <n v="44.1"/>
    <n v="1.232"/>
    <n v="61.6"/>
    <n v="0.75800000000000001"/>
    <n v="37.9"/>
    <n v="0.48899999999999999"/>
    <n v="6.0000000000000001E-3"/>
    <n v="0.26200000000000001"/>
  </r>
  <r>
    <x v="4"/>
    <x v="29"/>
    <n v="47"/>
    <n v="6.0860000000000003"/>
    <n v="60.86"/>
    <n v="1.0920000000000001"/>
    <n v="54.6"/>
    <n v="1.4319999999999999"/>
    <n v="71.599999999999994"/>
    <n v="0.88100000000000001"/>
    <n v="44.05"/>
    <n v="0.47099999999999997"/>
    <n v="0.05"/>
    <n v="6.6000000000000003E-2"/>
  </r>
  <r>
    <x v="4"/>
    <x v="85"/>
    <n v="48"/>
    <n v="6.07"/>
    <n v="60.7"/>
    <n v="1.1619999999999999"/>
    <n v="58.099999999999994"/>
    <n v="1.232"/>
    <n v="61.6"/>
    <n v="0.82499999999999996"/>
    <n v="41.25"/>
    <n v="0.46200000000000002"/>
    <n v="5.0000000000000001E-3"/>
    <n v="8.3000000000000004E-2"/>
  </r>
  <r>
    <x v="4"/>
    <x v="66"/>
    <n v="49"/>
    <n v="6.0460000000000003"/>
    <n v="60.46"/>
    <n v="1.2629999999999999"/>
    <n v="63.149999999999991"/>
    <n v="1.2230000000000001"/>
    <n v="61.150000000000006"/>
    <n v="1.042"/>
    <n v="52.1"/>
    <n v="0.40600000000000003"/>
    <n v="4.1000000000000002E-2"/>
    <n v="0.19"/>
  </r>
  <r>
    <x v="4"/>
    <x v="47"/>
    <n v="50"/>
    <n v="6.0279999999999996"/>
    <n v="60.279999999999994"/>
    <n v="0.91200000000000003"/>
    <n v="45.6"/>
    <n v="1.3120000000000001"/>
    <n v="65.600000000000009"/>
    <n v="0.86799999999999999"/>
    <n v="43.4"/>
    <n v="0.498"/>
    <n v="8.6999999999999994E-2"/>
    <n v="0.126"/>
  </r>
  <r>
    <x v="4"/>
    <x v="38"/>
    <n v="51"/>
    <n v="6.0209999999999999"/>
    <n v="60.21"/>
    <n v="1.5"/>
    <n v="75"/>
    <n v="1.319"/>
    <n v="65.95"/>
    <n v="0.80800000000000005"/>
    <n v="40.400000000000006"/>
    <n v="0.49299999999999999"/>
    <n v="9.7000000000000003E-2"/>
    <n v="0.14199999999999999"/>
  </r>
  <r>
    <x v="4"/>
    <x v="33"/>
    <n v="52"/>
    <n v="6.008"/>
    <n v="60.08"/>
    <n v="1.05"/>
    <n v="52.5"/>
    <n v="1.409"/>
    <n v="70.45"/>
    <n v="0.82799999999999996"/>
    <n v="41.4"/>
    <n v="0.55700000000000005"/>
    <n v="2.8000000000000001E-2"/>
    <n v="0.35899999999999999"/>
  </r>
  <r>
    <x v="4"/>
    <x v="88"/>
    <n v="53"/>
    <n v="5.94"/>
    <n v="59.4"/>
    <n v="1.1870000000000001"/>
    <n v="59.35"/>
    <n v="1.4650000000000001"/>
    <n v="73.25"/>
    <n v="0.81200000000000006"/>
    <n v="40.6"/>
    <n v="0.26400000000000001"/>
    <n v="6.4000000000000001E-2"/>
    <n v="7.4999999999999997E-2"/>
  </r>
  <r>
    <x v="4"/>
    <x v="46"/>
    <n v="54"/>
    <n v="5.8949999999999996"/>
    <n v="58.95"/>
    <n v="1.3009999999999999"/>
    <n v="65.05"/>
    <n v="1.2190000000000001"/>
    <n v="60.95"/>
    <n v="1.036"/>
    <n v="51.800000000000004"/>
    <n v="0.159"/>
    <n v="5.6000000000000001E-2"/>
    <n v="0.17499999999999999"/>
  </r>
  <r>
    <x v="4"/>
    <x v="72"/>
    <n v="55"/>
    <n v="5.8929999999999998"/>
    <n v="58.929999999999993"/>
    <n v="1.2370000000000001"/>
    <n v="61.850000000000009"/>
    <n v="1.528"/>
    <n v="76.400000000000006"/>
    <n v="0.874"/>
    <n v="43.7"/>
    <n v="0.495"/>
    <n v="0.161"/>
    <n v="0.10299999999999999"/>
  </r>
  <r>
    <x v="4"/>
    <x v="64"/>
    <n v="56"/>
    <n v="5.89"/>
    <n v="58.9"/>
    <n v="0.83099999999999996"/>
    <n v="41.55"/>
    <n v="1.478"/>
    <n v="73.900000000000006"/>
    <n v="0.83099999999999996"/>
    <n v="41.55"/>
    <n v="0.49"/>
    <n v="2.8000000000000001E-2"/>
    <n v="0.107"/>
  </r>
  <r>
    <x v="4"/>
    <x v="70"/>
    <n v="57"/>
    <n v="5.8879999999999999"/>
    <n v="58.879999999999995"/>
    <n v="1.1200000000000001"/>
    <n v="56.000000000000007"/>
    <n v="1.4019999999999999"/>
    <n v="70.099999999999994"/>
    <n v="0.79800000000000004"/>
    <n v="39.900000000000006"/>
    <n v="0.498"/>
    <n v="0.06"/>
    <n v="0.215"/>
  </r>
  <r>
    <x v="4"/>
    <x v="45"/>
    <n v="58"/>
    <n v="5.8860000000000001"/>
    <n v="58.86"/>
    <n v="1.327"/>
    <n v="66.349999999999994"/>
    <n v="1.419"/>
    <n v="70.95"/>
    <n v="1.0880000000000001"/>
    <n v="54.400000000000006"/>
    <n v="0.44500000000000001"/>
    <n v="0.14000000000000001"/>
    <n v="6.9000000000000006E-2"/>
  </r>
  <r>
    <x v="4"/>
    <x v="104"/>
    <n v="59"/>
    <n v="5.86"/>
    <n v="58.6"/>
    <n v="0.64200000000000002"/>
    <n v="32.1"/>
    <n v="1.236"/>
    <n v="61.8"/>
    <n v="0.82799999999999996"/>
    <n v="41.4"/>
    <n v="0.50700000000000001"/>
    <n v="7.8E-2"/>
    <n v="0.246"/>
  </r>
  <r>
    <x v="4"/>
    <x v="53"/>
    <n v="60"/>
    <n v="5.8090000000000002"/>
    <n v="58.089999999999996"/>
    <n v="1.173"/>
    <n v="58.650000000000006"/>
    <n v="1.508"/>
    <n v="75.400000000000006"/>
    <n v="0.72899999999999998"/>
    <n v="36.449999999999996"/>
    <n v="0.41"/>
    <n v="9.6000000000000002E-2"/>
    <n v="0.14599999999999999"/>
  </r>
  <r>
    <x v="4"/>
    <x v="50"/>
    <n v="61"/>
    <n v="5.7789999999999999"/>
    <n v="57.79"/>
    <n v="0.77600000000000002"/>
    <n v="38.800000000000004"/>
    <n v="1.2090000000000001"/>
    <n v="60.45"/>
    <n v="0.70599999999999996"/>
    <n v="35.299999999999997"/>
    <n v="0.51100000000000001"/>
    <n v="6.4000000000000001E-2"/>
    <n v="0.13700000000000001"/>
  </r>
  <r>
    <x v="4"/>
    <x v="103"/>
    <n v="62"/>
    <n v="5.758"/>
    <n v="57.58"/>
    <n v="1.2010000000000001"/>
    <n v="60.050000000000004"/>
    <n v="1.41"/>
    <n v="70.5"/>
    <n v="0.82799999999999996"/>
    <n v="41.4"/>
    <n v="0.19900000000000001"/>
    <n v="0.02"/>
    <n v="8.1000000000000003E-2"/>
  </r>
  <r>
    <x v="4"/>
    <x v="52"/>
    <n v="63"/>
    <n v="5.7430000000000003"/>
    <n v="57.430000000000007"/>
    <n v="0.85499999999999998"/>
    <n v="42.75"/>
    <n v="1.4750000000000001"/>
    <n v="73.75"/>
    <n v="0.77700000000000002"/>
    <n v="38.85"/>
    <n v="0.51400000000000001"/>
    <n v="0.08"/>
    <n v="0.184"/>
  </r>
  <r>
    <x v="4"/>
    <x v="166"/>
    <n v="64"/>
    <n v="5.718"/>
    <n v="57.179999999999993"/>
    <n v="1.2629999999999999"/>
    <n v="63.149999999999991"/>
    <n v="1.252"/>
    <n v="62.6"/>
    <n v="1.042"/>
    <n v="52.1"/>
    <n v="0.41699999999999998"/>
    <n v="0.16200000000000001"/>
    <n v="0.191"/>
  </r>
  <r>
    <x v="4"/>
    <x v="57"/>
    <n v="65"/>
    <n v="5.6970000000000001"/>
    <n v="56.970000000000006"/>
    <n v="0.96"/>
    <n v="48"/>
    <n v="1.274"/>
    <n v="63.7"/>
    <n v="0.85399999999999998"/>
    <n v="42.699999999999996"/>
    <n v="0.45500000000000002"/>
    <n v="2.7E-2"/>
    <n v="8.3000000000000004E-2"/>
  </r>
  <r>
    <x v="4"/>
    <x v="87"/>
    <n v="66"/>
    <n v="5.6929999999999996"/>
    <n v="56.929999999999993"/>
    <n v="1.2210000000000001"/>
    <n v="61.050000000000004"/>
    <n v="1.431"/>
    <n v="71.55"/>
    <n v="0.999"/>
    <n v="49.95"/>
    <n v="0.50800000000000001"/>
    <n v="2.5000000000000001E-2"/>
    <n v="4.7E-2"/>
  </r>
  <r>
    <x v="4"/>
    <x v="80"/>
    <n v="67"/>
    <n v="5.6529999999999996"/>
    <n v="56.529999999999994"/>
    <n v="0.67700000000000005"/>
    <n v="33.85"/>
    <n v="0.88600000000000001"/>
    <n v="44.3"/>
    <n v="0.53500000000000003"/>
    <n v="26.75"/>
    <n v="0.313"/>
    <n v="9.8000000000000004E-2"/>
    <n v="0.22"/>
  </r>
  <r>
    <x v="4"/>
    <x v="63"/>
    <n v="68"/>
    <n v="5.6479999999999997"/>
    <n v="56.48"/>
    <n v="1.1830000000000001"/>
    <n v="59.150000000000006"/>
    <n v="1.452"/>
    <n v="72.599999999999994"/>
    <n v="0.72599999999999998"/>
    <n v="36.299999999999997"/>
    <n v="0.33400000000000002"/>
    <n v="3.1E-2"/>
    <n v="8.2000000000000003E-2"/>
  </r>
  <r>
    <x v="4"/>
    <x v="89"/>
    <n v="69"/>
    <n v="5.6310000000000002"/>
    <n v="56.31"/>
    <n v="0.80700000000000005"/>
    <n v="40.35"/>
    <n v="1.2929999999999999"/>
    <n v="64.649999999999991"/>
    <n v="0.65700000000000003"/>
    <n v="32.85"/>
    <n v="0.55800000000000005"/>
    <n v="0.107"/>
    <n v="0.11700000000000001"/>
  </r>
  <r>
    <x v="4"/>
    <x v="86"/>
    <n v="70"/>
    <n v="5.6029999999999998"/>
    <n v="56.029999999999994"/>
    <n v="1.004"/>
    <n v="50.2"/>
    <n v="1.383"/>
    <n v="69.150000000000006"/>
    <n v="0.85399999999999998"/>
    <n v="42.699999999999996"/>
    <n v="0.28199999999999997"/>
    <n v="3.9E-2"/>
    <n v="0.13700000000000001"/>
  </r>
  <r>
    <x v="4"/>
    <x v="51"/>
    <n v="71"/>
    <n v="5.5289999999999999"/>
    <n v="55.29"/>
    <n v="0.68500000000000005"/>
    <n v="34.25"/>
    <n v="1.3280000000000001"/>
    <n v="66.400000000000006"/>
    <n v="0.73899999999999999"/>
    <n v="36.950000000000003"/>
    <n v="0.245"/>
    <n v="0"/>
    <n v="0.18099999999999999"/>
  </r>
  <r>
    <x v="4"/>
    <x v="62"/>
    <n v="72"/>
    <n v="5.5250000000000004"/>
    <n v="55.25"/>
    <n v="1.044"/>
    <n v="52.2"/>
    <n v="1.3029999999999999"/>
    <n v="65.149999999999991"/>
    <n v="0.67300000000000004"/>
    <n v="33.650000000000006"/>
    <n v="0.41599999999999998"/>
    <n v="0.152"/>
    <n v="0.13300000000000001"/>
  </r>
  <r>
    <x v="4"/>
    <x v="82"/>
    <n v="73"/>
    <n v="5.5229999999999997"/>
    <n v="55.23"/>
    <n v="1.0509999999999999"/>
    <n v="52.55"/>
    <n v="1.361"/>
    <n v="68.05"/>
    <n v="0.871"/>
    <n v="43.55"/>
    <n v="0.19700000000000001"/>
    <n v="0.08"/>
    <n v="0.14199999999999999"/>
  </r>
  <r>
    <x v="4"/>
    <x v="105"/>
    <n v="74"/>
    <n v="5.4669999999999996"/>
    <n v="54.669999999999995"/>
    <n v="0.49299999999999999"/>
    <n v="24.65"/>
    <n v="1.0980000000000001"/>
    <n v="54.900000000000006"/>
    <n v="0.71799999999999997"/>
    <n v="35.9"/>
    <n v="0.38900000000000001"/>
    <n v="0.14399999999999999"/>
    <n v="0.23"/>
  </r>
  <r>
    <x v="4"/>
    <x v="61"/>
    <n v="75"/>
    <n v="5.4320000000000004"/>
    <n v="54.320000000000007"/>
    <n v="1.155"/>
    <n v="57.75"/>
    <n v="1.266"/>
    <n v="63.3"/>
    <n v="0.91400000000000003"/>
    <n v="45.7"/>
    <n v="0.29599999999999999"/>
    <n v="2.1999999999999999E-2"/>
    <n v="0.11899999999999999"/>
  </r>
  <r>
    <x v="4"/>
    <x v="71"/>
    <n v="76"/>
    <n v="5.43"/>
    <n v="54.3"/>
    <n v="1.4379999999999999"/>
    <n v="71.899999999999991"/>
    <n v="1.2769999999999999"/>
    <n v="63.849999999999994"/>
    <n v="1.1220000000000001"/>
    <n v="56.100000000000009"/>
    <n v="0.44"/>
    <n v="0.28699999999999998"/>
    <n v="0.25800000000000001"/>
  </r>
  <r>
    <x v="4"/>
    <x v="97"/>
    <n v="77"/>
    <n v="5.4249999999999998"/>
    <n v="54.25"/>
    <n v="1.0149999999999999"/>
    <n v="50.749999999999993"/>
    <n v="1.401"/>
    <n v="70.05"/>
    <n v="0.77900000000000003"/>
    <n v="38.950000000000003"/>
    <n v="0.497"/>
    <n v="0.10100000000000001"/>
    <n v="0.113"/>
  </r>
  <r>
    <x v="4"/>
    <x v="95"/>
    <n v="78"/>
    <n v="5.3860000000000001"/>
    <n v="53.86"/>
    <n v="0.94499999999999995"/>
    <n v="47.25"/>
    <n v="1.212"/>
    <n v="60.6"/>
    <n v="0.84499999999999997"/>
    <n v="42.25"/>
    <n v="0.21199999999999999"/>
    <n v="6.0000000000000001E-3"/>
    <n v="0.26300000000000001"/>
  </r>
  <r>
    <x v="4"/>
    <x v="75"/>
    <n v="79"/>
    <n v="5.3730000000000002"/>
    <n v="53.730000000000004"/>
    <n v="1.1830000000000001"/>
    <n v="59.150000000000006"/>
    <n v="1.36"/>
    <n v="68"/>
    <n v="0.80800000000000005"/>
    <n v="40.400000000000006"/>
    <n v="0.19500000000000001"/>
    <n v="0.106"/>
    <n v="8.3000000000000004E-2"/>
  </r>
  <r>
    <x v="4"/>
    <x v="60"/>
    <n v="80"/>
    <n v="5.3390000000000004"/>
    <n v="53.390000000000008"/>
    <n v="1.2210000000000001"/>
    <n v="61.050000000000004"/>
    <n v="1.171"/>
    <n v="58.550000000000004"/>
    <n v="0.82799999999999996"/>
    <n v="41.4"/>
    <n v="0.50800000000000001"/>
    <n v="2.4E-2"/>
    <n v="0.26"/>
  </r>
  <r>
    <x v="4"/>
    <x v="58"/>
    <n v="81"/>
    <n v="5.3230000000000004"/>
    <n v="53.230000000000004"/>
    <n v="1.0669999999999999"/>
    <n v="53.349999999999994"/>
    <n v="1.4650000000000001"/>
    <n v="73.25"/>
    <n v="0.78900000000000003"/>
    <n v="39.450000000000003"/>
    <n v="0.23499999999999999"/>
    <n v="0.14199999999999999"/>
    <n v="9.4E-2"/>
  </r>
  <r>
    <x v="4"/>
    <x v="101"/>
    <n v="82"/>
    <n v="5.2869999999999999"/>
    <n v="52.870000000000005"/>
    <n v="1.181"/>
    <n v="59.050000000000004"/>
    <n v="1.1559999999999999"/>
    <n v="57.8"/>
    <n v="0.999"/>
    <n v="49.95"/>
    <n v="6.7000000000000004E-2"/>
    <n v="3.4000000000000002E-2"/>
    <n v="0"/>
  </r>
  <r>
    <x v="4"/>
    <x v="99"/>
    <n v="83"/>
    <n v="5.2850000000000001"/>
    <n v="52.85"/>
    <n v="0.94799999999999995"/>
    <n v="47.4"/>
    <n v="1.5309999999999999"/>
    <n v="76.55"/>
    <n v="0.66700000000000004"/>
    <n v="33.35"/>
    <n v="0.317"/>
    <n v="3.7999999999999999E-2"/>
    <n v="0.23499999999999999"/>
  </r>
  <r>
    <x v="4"/>
    <x v="167"/>
    <n v="84"/>
    <n v="5.274"/>
    <n v="52.739999999999995"/>
    <n v="0.98299999999999998"/>
    <n v="49.15"/>
    <n v="1.294"/>
    <n v="64.7"/>
    <n v="0.83799999999999997"/>
    <n v="41.9"/>
    <n v="0.34499999999999997"/>
    <n v="3.4000000000000002E-2"/>
    <n v="0.185"/>
  </r>
  <r>
    <x v="4"/>
    <x v="77"/>
    <n v="85"/>
    <n v="5.2649999999999997"/>
    <n v="52.65"/>
    <n v="0.69599999999999995"/>
    <n v="34.799999999999997"/>
    <n v="1.111"/>
    <n v="55.55"/>
    <n v="0.245"/>
    <n v="12.25"/>
    <n v="0.42599999999999999"/>
    <n v="4.1000000000000002E-2"/>
    <n v="0.215"/>
  </r>
  <r>
    <x v="4"/>
    <x v="76"/>
    <n v="86"/>
    <n v="5.2610000000000001"/>
    <n v="52.61"/>
    <n v="0.55100000000000005"/>
    <n v="27.55"/>
    <n v="1.4379999999999999"/>
    <n v="71.899999999999991"/>
    <n v="0.72299999999999998"/>
    <n v="36.15"/>
    <n v="0.50800000000000001"/>
    <n v="2.3E-2"/>
    <n v="0.3"/>
  </r>
  <r>
    <x v="4"/>
    <x v="69"/>
    <n v="87"/>
    <n v="5.2469999999999999"/>
    <n v="52.470000000000006"/>
    <n v="1.052"/>
    <n v="52.6"/>
    <n v="1.538"/>
    <n v="76.900000000000006"/>
    <n v="0.65700000000000003"/>
    <n v="32.85"/>
    <n v="0.39400000000000002"/>
    <n v="2.8000000000000001E-2"/>
    <n v="0.24399999999999999"/>
  </r>
  <r>
    <x v="4"/>
    <x v="67"/>
    <n v="88"/>
    <n v="5.2110000000000003"/>
    <n v="52.11"/>
    <n v="1.002"/>
    <n v="50.1"/>
    <n v="1.1599999999999999"/>
    <n v="57.999999999999993"/>
    <n v="0.78500000000000003"/>
    <n v="39.25"/>
    <n v="8.5999999999999993E-2"/>
    <n v="0.114"/>
    <n v="7.2999999999999995E-2"/>
  </r>
  <r>
    <x v="4"/>
    <x v="91"/>
    <n v="89"/>
    <n v="5.2080000000000002"/>
    <n v="52.080000000000005"/>
    <n v="0.80100000000000005"/>
    <n v="40.050000000000004"/>
    <n v="0.78200000000000003"/>
    <n v="39.1"/>
    <n v="0.78200000000000003"/>
    <n v="39.1"/>
    <n v="0.41799999999999998"/>
    <n v="7.5999999999999998E-2"/>
    <n v="3.5999999999999997E-2"/>
  </r>
  <r>
    <x v="4"/>
    <x v="79"/>
    <n v="90"/>
    <n v="5.2080000000000002"/>
    <n v="52.080000000000005"/>
    <n v="1.0429999999999999"/>
    <n v="52.15"/>
    <n v="1.147"/>
    <n v="57.35"/>
    <n v="0.76900000000000002"/>
    <n v="38.450000000000003"/>
    <n v="0.35099999999999998"/>
    <n v="0.182"/>
    <n v="3.5000000000000003E-2"/>
  </r>
  <r>
    <x v="4"/>
    <x v="102"/>
    <n v="91"/>
    <n v="5.1970000000000001"/>
    <n v="51.970000000000006"/>
    <n v="0.98699999999999999"/>
    <n v="49.35"/>
    <n v="1.224"/>
    <n v="61.199999999999996"/>
    <n v="0.81499999999999995"/>
    <n v="40.75"/>
    <n v="0.216"/>
    <n v="2.7E-2"/>
    <n v="0.16600000000000001"/>
  </r>
  <r>
    <x v="4"/>
    <x v="73"/>
    <n v="92"/>
    <n v="5.1920000000000002"/>
    <n v="51.92"/>
    <n v="0.93100000000000005"/>
    <n v="46.550000000000004"/>
    <n v="1.2030000000000001"/>
    <n v="60.150000000000006"/>
    <n v="0.66"/>
    <n v="33"/>
    <n v="0.49099999999999999"/>
    <n v="2.8000000000000001E-2"/>
    <n v="0.498"/>
  </r>
  <r>
    <x v="4"/>
    <x v="83"/>
    <n v="93"/>
    <n v="5.1909999999999998"/>
    <n v="51.910000000000004"/>
    <n v="1.0289999999999999"/>
    <n v="51.449999999999996"/>
    <n v="1.125"/>
    <n v="56.25"/>
    <n v="0.89300000000000002"/>
    <n v="44.65"/>
    <n v="0.52100000000000002"/>
    <n v="0.1"/>
    <n v="5.8000000000000003E-2"/>
  </r>
  <r>
    <x v="4"/>
    <x v="74"/>
    <n v="94"/>
    <n v="5.1749999999999998"/>
    <n v="51.75"/>
    <n v="0.74099999999999999"/>
    <n v="37.049999999999997"/>
    <n v="1.3460000000000001"/>
    <n v="67.300000000000011"/>
    <n v="0.85099999999999998"/>
    <n v="42.55"/>
    <n v="0.54300000000000004"/>
    <n v="7.2999999999999995E-2"/>
    <n v="0.14699999999999999"/>
  </r>
  <r>
    <x v="4"/>
    <x v="78"/>
    <n v="95"/>
    <n v="5.0819999999999999"/>
    <n v="50.82"/>
    <n v="0.81299999999999994"/>
    <n v="40.65"/>
    <n v="1.321"/>
    <n v="66.05"/>
    <n v="0.60399999999999998"/>
    <n v="30.2"/>
    <n v="0.45700000000000002"/>
    <n v="0.16700000000000001"/>
    <n v="0.37"/>
  </r>
  <r>
    <x v="4"/>
    <x v="132"/>
    <n v="96"/>
    <n v="5.0439999999999996"/>
    <n v="50.44"/>
    <n v="0.54900000000000004"/>
    <n v="27.450000000000003"/>
    <n v="0.91"/>
    <n v="45.5"/>
    <n v="0.33100000000000002"/>
    <n v="16.55"/>
    <n v="0.38100000000000001"/>
    <n v="3.6999999999999998E-2"/>
    <n v="0.187"/>
  </r>
  <r>
    <x v="4"/>
    <x v="133"/>
    <n v="97"/>
    <n v="5.0110000000000001"/>
    <n v="50.11"/>
    <n v="1.0920000000000001"/>
    <n v="54.6"/>
    <n v="1.5129999999999999"/>
    <n v="75.649999999999991"/>
    <n v="0.81499999999999995"/>
    <n v="40.75"/>
    <n v="0.311"/>
    <n v="4.0000000000000001E-3"/>
    <n v="8.1000000000000003E-2"/>
  </r>
  <r>
    <x v="4"/>
    <x v="113"/>
    <n v="98"/>
    <n v="4.9960000000000004"/>
    <n v="49.96"/>
    <n v="0.61099999999999999"/>
    <n v="30.55"/>
    <n v="0.86799999999999999"/>
    <n v="43.4"/>
    <n v="0.48599999999999999"/>
    <n v="24.3"/>
    <n v="0.38100000000000001"/>
    <n v="0.04"/>
    <n v="0.245"/>
  </r>
  <r>
    <x v="4"/>
    <x v="150"/>
    <n v="99"/>
    <n v="4.944"/>
    <n v="49.44"/>
    <n v="0.56899999999999995"/>
    <n v="28.449999999999996"/>
    <n v="0.80800000000000005"/>
    <n v="40.400000000000006"/>
    <n v="0.23200000000000001"/>
    <n v="11.600000000000001"/>
    <n v="0.35199999999999998"/>
    <n v="0.09"/>
    <n v="0.154"/>
  </r>
  <r>
    <x v="4"/>
    <x v="120"/>
    <n v="100"/>
    <n v="4.9130000000000003"/>
    <n v="49.13"/>
    <n v="0.44600000000000001"/>
    <n v="22.3"/>
    <n v="1.226"/>
    <n v="61.3"/>
    <n v="0.67700000000000005"/>
    <n v="33.85"/>
    <n v="0.439"/>
    <n v="8.8999999999999996E-2"/>
    <n v="0.28499999999999998"/>
  </r>
  <r>
    <x v="4"/>
    <x v="81"/>
    <n v="101"/>
    <n v="4.9059999999999997"/>
    <n v="49.059999999999995"/>
    <n v="0.83699999999999997"/>
    <n v="41.85"/>
    <n v="1.2250000000000001"/>
    <n v="61.250000000000007"/>
    <n v="0.81499999999999995"/>
    <n v="40.75"/>
    <n v="0.38300000000000001"/>
    <n v="0.13"/>
    <n v="0.11"/>
  </r>
  <r>
    <x v="4"/>
    <x v="154"/>
    <n v="102"/>
    <n v="4.883"/>
    <n v="48.83"/>
    <n v="0.39300000000000002"/>
    <n v="19.650000000000002"/>
    <n v="0.437"/>
    <n v="21.85"/>
    <n v="0.39700000000000002"/>
    <n v="19.850000000000001"/>
    <n v="0.34899999999999998"/>
    <n v="8.2000000000000003E-2"/>
    <n v="0.17499999999999999"/>
  </r>
  <r>
    <x v="4"/>
    <x v="138"/>
    <n v="103"/>
    <n v="4.8120000000000003"/>
    <n v="48.120000000000005"/>
    <n v="0.67300000000000004"/>
    <n v="33.650000000000006"/>
    <n v="0.79900000000000004"/>
    <n v="39.950000000000003"/>
    <n v="0.50800000000000001"/>
    <n v="25.4"/>
    <n v="0.372"/>
    <n v="9.2999999999999999E-2"/>
    <n v="0.105"/>
  </r>
  <r>
    <x v="4"/>
    <x v="142"/>
    <n v="104"/>
    <n v="4.7990000000000004"/>
    <n v="47.99"/>
    <n v="1.0569999999999999"/>
    <n v="52.849999999999994"/>
    <n v="1.1830000000000001"/>
    <n v="59.150000000000006"/>
    <n v="0.57099999999999995"/>
    <n v="28.549999999999997"/>
    <n v="0.29499999999999998"/>
    <n v="5.5E-2"/>
    <n v="4.2999999999999997E-2"/>
  </r>
  <r>
    <x v="4"/>
    <x v="98"/>
    <n v="105"/>
    <n v="4.7960000000000003"/>
    <n v="47.96"/>
    <n v="0.76400000000000001"/>
    <n v="38.200000000000003"/>
    <n v="1.03"/>
    <n v="51.5"/>
    <n v="0.55100000000000005"/>
    <n v="27.55"/>
    <n v="0.54700000000000004"/>
    <n v="0.16400000000000001"/>
    <n v="0.26600000000000001"/>
  </r>
  <r>
    <x v="4"/>
    <x v="112"/>
    <n v="106"/>
    <n v="4.7220000000000004"/>
    <n v="47.220000000000006"/>
    <n v="0.96"/>
    <n v="48"/>
    <n v="1.351"/>
    <n v="67.55"/>
    <n v="0.46899999999999997"/>
    <n v="23.45"/>
    <n v="0.38900000000000001"/>
    <n v="5.5E-2"/>
    <n v="0.13"/>
  </r>
  <r>
    <x v="4"/>
    <x v="94"/>
    <n v="107"/>
    <n v="4.7190000000000003"/>
    <n v="47.190000000000005"/>
    <n v="0.94699999999999995"/>
    <n v="47.349999999999994"/>
    <n v="0.84799999999999998"/>
    <n v="42.4"/>
    <n v="0.874"/>
    <n v="43.7"/>
    <n v="0.38300000000000001"/>
    <n v="2.7E-2"/>
    <n v="0.17799999999999999"/>
  </r>
  <r>
    <x v="4"/>
    <x v="22"/>
    <n v="108"/>
    <n v="4.7069999999999999"/>
    <n v="47.07"/>
    <n v="0.96"/>
    <n v="48"/>
    <n v="1.427"/>
    <n v="71.350000000000009"/>
    <n v="0.80500000000000005"/>
    <n v="40.25"/>
    <n v="0.154"/>
    <n v="4.7E-2"/>
    <n v="6.4000000000000001E-2"/>
  </r>
  <r>
    <x v="4"/>
    <x v="144"/>
    <n v="109"/>
    <n v="4.7"/>
    <n v="47"/>
    <n v="0.57399999999999995"/>
    <n v="28.7"/>
    <n v="1.1220000000000001"/>
    <n v="56.100000000000009"/>
    <n v="0.63700000000000001"/>
    <n v="31.85"/>
    <n v="0.60899999999999999"/>
    <n v="6.2E-2"/>
    <n v="0.23200000000000001"/>
  </r>
  <r>
    <x v="4"/>
    <x v="107"/>
    <n v="110"/>
    <n v="4.6959999999999997"/>
    <n v="46.959999999999994"/>
    <n v="0.65700000000000003"/>
    <n v="32.85"/>
    <n v="1.2470000000000001"/>
    <n v="62.350000000000009"/>
    <n v="0.67200000000000004"/>
    <n v="33.6"/>
    <n v="0.22500000000000001"/>
    <n v="6.6000000000000003E-2"/>
    <n v="0.10299999999999999"/>
  </r>
  <r>
    <x v="4"/>
    <x v="141"/>
    <n v="111"/>
    <n v="4.681"/>
    <n v="46.81"/>
    <n v="0.45"/>
    <n v="22.5"/>
    <n v="1.1339999999999999"/>
    <n v="56.699999999999996"/>
    <n v="0.57099999999999995"/>
    <n v="28.549999999999997"/>
    <n v="0.29199999999999998"/>
    <n v="7.1999999999999995E-2"/>
    <n v="0.153"/>
  </r>
  <r>
    <x v="4"/>
    <x v="160"/>
    <n v="112"/>
    <n v="4.6680000000000001"/>
    <n v="46.68"/>
    <n v="0"/>
    <n v="0"/>
    <n v="0.69799999999999995"/>
    <n v="34.9"/>
    <n v="0.26800000000000002"/>
    <n v="13.4"/>
    <n v="0.55900000000000005"/>
    <n v="0.27"/>
    <n v="0.24299999999999999"/>
  </r>
  <r>
    <x v="4"/>
    <x v="161"/>
    <n v="113"/>
    <n v="4.6390000000000002"/>
    <n v="46.39"/>
    <n v="0.879"/>
    <n v="43.95"/>
    <n v="1.3129999999999999"/>
    <n v="65.649999999999991"/>
    <n v="0.47699999999999998"/>
    <n v="23.849999999999998"/>
    <n v="0.40100000000000002"/>
    <n v="5.6000000000000001E-2"/>
    <n v="7.0000000000000007E-2"/>
  </r>
  <r>
    <x v="4"/>
    <x v="143"/>
    <n v="114"/>
    <n v="4.6280000000000001"/>
    <n v="46.28"/>
    <n v="0.13800000000000001"/>
    <n v="6.9"/>
    <n v="0.77400000000000002"/>
    <n v="38.700000000000003"/>
    <n v="0.36599999999999999"/>
    <n v="18.3"/>
    <n v="0.318"/>
    <n v="0.10199999999999999"/>
    <n v="0.188"/>
  </r>
  <r>
    <x v="4"/>
    <x v="151"/>
    <n v="115"/>
    <n v="4.5869999999999997"/>
    <n v="45.87"/>
    <n v="0.33100000000000002"/>
    <n v="16.55"/>
    <n v="1.056"/>
    <n v="52.800000000000004"/>
    <n v="0.38"/>
    <n v="19"/>
    <n v="0.255"/>
    <n v="0.113"/>
    <n v="0.17699999999999999"/>
  </r>
  <r>
    <x v="4"/>
    <x v="126"/>
    <n v="116"/>
    <n v="4.5590000000000002"/>
    <n v="45.59"/>
    <n v="0.85"/>
    <n v="42.5"/>
    <n v="1.0549999999999999"/>
    <n v="52.75"/>
    <n v="0.81499999999999995"/>
    <n v="40.75"/>
    <n v="0.28299999999999997"/>
    <n v="6.4000000000000001E-2"/>
    <n v="9.5000000000000001E-2"/>
  </r>
  <r>
    <x v="4"/>
    <x v="109"/>
    <n v="117"/>
    <n v="4.548"/>
    <n v="45.480000000000004"/>
    <n v="1.1000000000000001"/>
    <n v="55.000000000000007"/>
    <n v="0.84199999999999997"/>
    <n v="42.1"/>
    <n v="0.78500000000000003"/>
    <n v="39.25"/>
    <n v="0.30499999999999999"/>
    <n v="0.125"/>
    <n v="0.27"/>
  </r>
  <r>
    <x v="4"/>
    <x v="149"/>
    <n v="118"/>
    <n v="4.5339999999999998"/>
    <n v="45.339999999999996"/>
    <n v="0.38"/>
    <n v="19"/>
    <n v="0.82899999999999996"/>
    <n v="41.449999999999996"/>
    <n v="0.375"/>
    <n v="18.75"/>
    <n v="0.33200000000000002"/>
    <n v="8.5999999999999993E-2"/>
    <n v="0.20699999999999999"/>
  </r>
  <r>
    <x v="4"/>
    <x v="129"/>
    <n v="119"/>
    <n v="4.5190000000000001"/>
    <n v="45.190000000000005"/>
    <n v="0.88600000000000001"/>
    <n v="44.3"/>
    <n v="0.66600000000000004"/>
    <n v="33.300000000000004"/>
    <n v="0.752"/>
    <n v="37.6"/>
    <n v="0.34599999999999997"/>
    <n v="0.16400000000000001"/>
    <n v="4.2999999999999997E-2"/>
  </r>
  <r>
    <x v="4"/>
    <x v="168"/>
    <n v="120"/>
    <n v="4.516"/>
    <n v="45.160000000000004"/>
    <n v="0.308"/>
    <n v="15.4"/>
    <n v="0.93899999999999995"/>
    <n v="46.949999999999996"/>
    <n v="0.42799999999999999"/>
    <n v="21.4"/>
    <n v="0.38200000000000001"/>
    <n v="0.16700000000000001"/>
    <n v="0.26900000000000002"/>
  </r>
  <r>
    <x v="4"/>
    <x v="124"/>
    <n v="121"/>
    <n v="4.5090000000000003"/>
    <n v="45.09"/>
    <n v="0.51200000000000001"/>
    <n v="25.6"/>
    <n v="0.98299999999999998"/>
    <n v="49.15"/>
    <n v="0.58099999999999996"/>
    <n v="29.049999999999997"/>
    <n v="0.43099999999999999"/>
    <n v="5.2999999999999999E-2"/>
    <n v="0.372"/>
  </r>
  <r>
    <x v="4"/>
    <x v="123"/>
    <n v="122"/>
    <n v="4.49"/>
    <n v="44.9"/>
    <n v="0.56999999999999995"/>
    <n v="28.499999999999996"/>
    <n v="1.167"/>
    <n v="58.35"/>
    <n v="0.48899999999999999"/>
    <n v="24.45"/>
    <n v="6.6000000000000003E-2"/>
    <n v="8.7999999999999995E-2"/>
    <n v="0.106"/>
  </r>
  <r>
    <x v="4"/>
    <x v="93"/>
    <n v="123"/>
    <n v="4.4660000000000002"/>
    <n v="44.660000000000004"/>
    <n v="0.20399999999999999"/>
    <n v="10.199999999999999"/>
    <n v="0.98599999999999999"/>
    <n v="49.3"/>
    <n v="0.39"/>
    <n v="19.5"/>
    <n v="0.49399999999999999"/>
    <n v="0.13800000000000001"/>
    <n v="0.19700000000000001"/>
  </r>
  <r>
    <x v="4"/>
    <x v="106"/>
    <n v="124"/>
    <n v="4.4610000000000003"/>
    <n v="44.61"/>
    <n v="0.92100000000000004"/>
    <n v="46.050000000000004"/>
    <n v="1"/>
    <n v="50"/>
    <n v="0.81499999999999995"/>
    <n v="40.75"/>
    <n v="0.16700000000000001"/>
    <n v="5.5E-2"/>
    <n v="5.8999999999999997E-2"/>
  </r>
  <r>
    <x v="4"/>
    <x v="108"/>
    <n v="125"/>
    <n v="4.4560000000000004"/>
    <n v="44.56"/>
    <n v="0.56200000000000006"/>
    <n v="28.1"/>
    <n v="0.92800000000000005"/>
    <n v="46.400000000000006"/>
    <n v="0.72299999999999998"/>
    <n v="36.15"/>
    <n v="0.52700000000000002"/>
    <n v="0.14299999999999999"/>
    <n v="0.16600000000000001"/>
  </r>
  <r>
    <x v="4"/>
    <x v="111"/>
    <n v="126"/>
    <n v="4.4370000000000003"/>
    <n v="44.370000000000005"/>
    <n v="1.0429999999999999"/>
    <n v="52.15"/>
    <n v="0.98"/>
    <n v="49"/>
    <n v="0.57399999999999995"/>
    <n v="28.7"/>
    <n v="0.24099999999999999"/>
    <n v="8.8999999999999996E-2"/>
    <n v="0.14799999999999999"/>
  </r>
  <r>
    <x v="4"/>
    <x v="119"/>
    <n v="127"/>
    <n v="4.4180000000000001"/>
    <n v="44.18"/>
    <n v="9.4E-2"/>
    <n v="4.7"/>
    <n v="1.125"/>
    <n v="56.25"/>
    <n v="0.35699999999999998"/>
    <n v="17.849999999999998"/>
    <n v="0.26900000000000002"/>
    <n v="5.2999999999999999E-2"/>
    <n v="0.21199999999999999"/>
  </r>
  <r>
    <x v="4"/>
    <x v="137"/>
    <n v="128"/>
    <n v="4.3899999999999997"/>
    <n v="43.899999999999991"/>
    <n v="0.38500000000000001"/>
    <n v="19.25"/>
    <n v="1.105"/>
    <n v="55.25"/>
    <n v="0.308"/>
    <n v="15.4"/>
    <n v="0.32700000000000001"/>
    <n v="5.1999999999999998E-2"/>
    <n v="0.153"/>
  </r>
  <r>
    <x v="4"/>
    <x v="122"/>
    <n v="129"/>
    <n v="4.3739999999999997"/>
    <n v="43.739999999999995"/>
    <n v="0.26800000000000002"/>
    <n v="13.4"/>
    <n v="0.84099999999999997"/>
    <n v="42.05"/>
    <n v="0.24199999999999999"/>
    <n v="12.1"/>
    <n v="0.309"/>
    <n v="4.4999999999999998E-2"/>
    <n v="0.252"/>
  </r>
  <r>
    <x v="4"/>
    <x v="131"/>
    <n v="130"/>
    <n v="4.3659999999999997"/>
    <n v="43.66"/>
    <n v="0.94899999999999995"/>
    <n v="47.449999999999996"/>
    <n v="1.2649999999999999"/>
    <n v="63.249999999999993"/>
    <n v="0.83099999999999996"/>
    <n v="41.55"/>
    <n v="0.47"/>
    <n v="4.7E-2"/>
    <n v="0.24399999999999999"/>
  </r>
  <r>
    <x v="4"/>
    <x v="128"/>
    <n v="131"/>
    <n v="4.3600000000000003"/>
    <n v="43.600000000000009"/>
    <n v="0.71"/>
    <n v="35.5"/>
    <n v="1.181"/>
    <n v="59.050000000000004"/>
    <n v="0.55500000000000005"/>
    <n v="27.750000000000004"/>
    <n v="0.52500000000000002"/>
    <n v="0.17199999999999999"/>
    <n v="0.56599999999999995"/>
  </r>
  <r>
    <x v="4"/>
    <x v="148"/>
    <n v="132"/>
    <n v="4.3499999999999996"/>
    <n v="43.499999999999993"/>
    <n v="0.35"/>
    <n v="17.5"/>
    <n v="0.76600000000000001"/>
    <n v="38.299999999999997"/>
    <n v="0.192"/>
    <n v="9.6"/>
    <n v="0.17399999999999999"/>
    <n v="7.8E-2"/>
    <n v="0.19800000000000001"/>
  </r>
  <r>
    <x v="4"/>
    <x v="110"/>
    <n v="133"/>
    <n v="4.3319999999999999"/>
    <n v="43.32"/>
    <n v="0.82"/>
    <n v="41"/>
    <n v="1.39"/>
    <n v="69.5"/>
    <n v="0.73899999999999999"/>
    <n v="36.950000000000003"/>
    <n v="0.17799999999999999"/>
    <n v="0.01"/>
    <n v="0.187"/>
  </r>
  <r>
    <x v="4"/>
    <x v="121"/>
    <n v="134"/>
    <n v="4.2859999999999996"/>
    <n v="42.86"/>
    <n v="0.33600000000000002"/>
    <n v="16.8"/>
    <n v="1.0329999999999999"/>
    <n v="51.65"/>
    <n v="0.53200000000000003"/>
    <n v="26.6"/>
    <n v="0.34399999999999997"/>
    <n v="0.1"/>
    <n v="0.20899999999999999"/>
  </r>
  <r>
    <x v="4"/>
    <x v="100"/>
    <n v="135"/>
    <n v="4.2119999999999997"/>
    <n v="42.12"/>
    <n v="0.81100000000000005"/>
    <n v="40.550000000000004"/>
    <n v="1.149"/>
    <n v="57.45"/>
    <n v="0"/>
    <n v="0"/>
    <n v="0.313"/>
    <n v="0.13500000000000001"/>
    <n v="7.3999999999999996E-2"/>
  </r>
  <r>
    <x v="4"/>
    <x v="140"/>
    <n v="136"/>
    <n v="4.1890000000000001"/>
    <n v="41.89"/>
    <n v="0.33200000000000002"/>
    <n v="16.600000000000001"/>
    <n v="1.069"/>
    <n v="53.449999999999996"/>
    <n v="0.443"/>
    <n v="22.15"/>
    <n v="0.35599999999999998"/>
    <n v="0.06"/>
    <n v="0.252"/>
  </r>
  <r>
    <x v="4"/>
    <x v="134"/>
    <n v="137"/>
    <n v="4.1660000000000004"/>
    <n v="41.660000000000004"/>
    <n v="0.91300000000000003"/>
    <n v="45.65"/>
    <n v="1.0389999999999999"/>
    <n v="51.949999999999996"/>
    <n v="0.64400000000000002"/>
    <n v="32.200000000000003"/>
    <n v="0.24099999999999999"/>
    <n v="6.7000000000000004E-2"/>
    <n v="7.5999999999999998E-2"/>
  </r>
  <r>
    <x v="4"/>
    <x v="84"/>
    <n v="138"/>
    <n v="4.1070000000000002"/>
    <n v="41.070000000000007"/>
    <n v="0.57799999999999996"/>
    <n v="28.9"/>
    <n v="1.0580000000000001"/>
    <n v="52.900000000000006"/>
    <n v="0.42599999999999999"/>
    <n v="21.3"/>
    <n v="0.43099999999999999"/>
    <n v="8.6999999999999994E-2"/>
    <n v="0.247"/>
  </r>
  <r>
    <x v="4"/>
    <x v="157"/>
    <n v="139"/>
    <n v="4.085"/>
    <n v="40.85"/>
    <n v="0.27500000000000002"/>
    <n v="13.750000000000002"/>
    <n v="0.57199999999999995"/>
    <n v="28.599999999999998"/>
    <n v="0.41"/>
    <n v="20.5"/>
    <n v="0.29299999999999998"/>
    <n v="8.5000000000000006E-2"/>
    <n v="0.17699999999999999"/>
  </r>
  <r>
    <x v="4"/>
    <x v="116"/>
    <n v="140"/>
    <n v="4.0149999999999997"/>
    <n v="40.149999999999991"/>
    <n v="0.755"/>
    <n v="37.75"/>
    <n v="0.76500000000000001"/>
    <n v="38.25"/>
    <n v="0.58799999999999997"/>
    <n v="29.4"/>
    <n v="0.498"/>
    <n v="8.5000000000000006E-2"/>
    <n v="0.2"/>
  </r>
  <r>
    <x v="4"/>
    <x v="115"/>
    <n v="141"/>
    <n v="3.9750000000000001"/>
    <n v="39.75"/>
    <n v="7.2999999999999995E-2"/>
    <n v="3.65"/>
    <n v="0.92200000000000004"/>
    <n v="46.1"/>
    <n v="0.443"/>
    <n v="22.15"/>
    <n v="0.37"/>
    <n v="3.3000000000000002E-2"/>
    <n v="0.23300000000000001"/>
  </r>
  <r>
    <x v="4"/>
    <x v="139"/>
    <n v="142"/>
    <n v="3.9729999999999999"/>
    <n v="39.730000000000004"/>
    <n v="0.27400000000000002"/>
    <n v="13.700000000000001"/>
    <n v="0.75700000000000001"/>
    <n v="37.85"/>
    <n v="0.505"/>
    <n v="25.25"/>
    <n v="0.14199999999999999"/>
    <n v="7.8E-2"/>
    <n v="0.27500000000000002"/>
  </r>
  <r>
    <x v="4"/>
    <x v="146"/>
    <n v="143"/>
    <n v="3.9329999999999998"/>
    <n v="39.33"/>
    <n v="0.27400000000000002"/>
    <n v="13.700000000000001"/>
    <n v="0.91600000000000004"/>
    <n v="45.800000000000004"/>
    <n v="0.55500000000000005"/>
    <n v="27.750000000000004"/>
    <n v="0.14799999999999999"/>
    <n v="4.1000000000000002E-2"/>
    <n v="0.16900000000000001"/>
  </r>
  <r>
    <x v="4"/>
    <x v="96"/>
    <n v="144"/>
    <n v="3.802"/>
    <n v="38.019999999999996"/>
    <n v="0.48899999999999999"/>
    <n v="24.45"/>
    <n v="1.169"/>
    <n v="58.45"/>
    <n v="0.16800000000000001"/>
    <n v="8.4"/>
    <n v="0.35899999999999999"/>
    <n v="9.2999999999999999E-2"/>
    <n v="0.107"/>
  </r>
  <r>
    <x v="4"/>
    <x v="156"/>
    <n v="145"/>
    <n v="3.7749999999999999"/>
    <n v="37.75"/>
    <n v="4.5999999999999999E-2"/>
    <n v="2.2999999999999998"/>
    <n v="0.44700000000000001"/>
    <n v="22.35"/>
    <n v="0.38"/>
    <n v="19"/>
    <n v="0.22"/>
    <n v="0.18"/>
    <n v="0.17599999999999999"/>
  </r>
  <r>
    <x v="4"/>
    <x v="114"/>
    <n v="146"/>
    <n v="3.6629999999999998"/>
    <n v="36.629999999999995"/>
    <n v="0.36599999999999999"/>
    <n v="18.3"/>
    <n v="1.1140000000000001"/>
    <n v="55.7"/>
    <n v="0.433"/>
    <n v="21.65"/>
    <n v="0.36099999999999999"/>
    <n v="8.8999999999999996E-2"/>
    <n v="0.151"/>
  </r>
  <r>
    <x v="4"/>
    <x v="118"/>
    <n v="147"/>
    <n v="3.597"/>
    <n v="35.97"/>
    <n v="0.32300000000000001"/>
    <n v="16.150000000000002"/>
    <n v="0.68799999999999994"/>
    <n v="34.4"/>
    <n v="0.44900000000000001"/>
    <n v="22.45"/>
    <n v="2.5999999999999999E-2"/>
    <n v="0.11"/>
    <n v="0.41899999999999998"/>
  </r>
  <r>
    <x v="4"/>
    <x v="127"/>
    <n v="148"/>
    <n v="3.488"/>
    <n v="34.880000000000003"/>
    <n v="1.0409999999999999"/>
    <n v="52.05"/>
    <n v="1.145"/>
    <n v="57.25"/>
    <n v="0.53800000000000003"/>
    <n v="26.900000000000002"/>
    <n v="0.45500000000000002"/>
    <n v="0.1"/>
    <n v="2.5000000000000001E-2"/>
  </r>
  <r>
    <x v="4"/>
    <x v="155"/>
    <n v="149"/>
    <n v="3.4620000000000002"/>
    <n v="34.620000000000005"/>
    <n v="0.61899999999999999"/>
    <n v="30.95"/>
    <n v="0.378"/>
    <n v="18.899999999999999"/>
    <n v="0.44"/>
    <n v="22"/>
    <n v="1.2999999999999999E-2"/>
    <n v="0.14099999999999999"/>
    <n v="0.33100000000000002"/>
  </r>
  <r>
    <x v="4"/>
    <x v="130"/>
    <n v="150"/>
    <n v="3.41"/>
    <n v="34.1"/>
    <n v="0.191"/>
    <n v="9.5500000000000007"/>
    <n v="0.56000000000000005"/>
    <n v="28.000000000000004"/>
    <n v="0.495"/>
    <n v="24.75"/>
    <n v="0.443"/>
    <n v="8.8999999999999996E-2"/>
    <n v="0.218"/>
  </r>
  <r>
    <x v="4"/>
    <x v="135"/>
    <n v="151"/>
    <n v="3.38"/>
    <n v="33.799999999999997"/>
    <n v="0.28699999999999998"/>
    <n v="14.35"/>
    <n v="1.163"/>
    <n v="58.15"/>
    <n v="0.46300000000000002"/>
    <n v="23.150000000000002"/>
    <n v="0.14299999999999999"/>
    <n v="7.6999999999999999E-2"/>
    <n v="0.108"/>
  </r>
  <r>
    <x v="4"/>
    <x v="153"/>
    <n v="152"/>
    <n v="3.3340000000000001"/>
    <n v="33.340000000000003"/>
    <n v="0.35899999999999999"/>
    <n v="17.95"/>
    <n v="0.71099999999999997"/>
    <n v="35.549999999999997"/>
    <n v="0.61399999999999999"/>
    <n v="30.7"/>
    <n v="0.55500000000000005"/>
    <n v="0.41099999999999998"/>
    <n v="0.217"/>
  </r>
  <r>
    <x v="4"/>
    <x v="145"/>
    <n v="153"/>
    <n v="3.2309999999999999"/>
    <n v="32.309999999999995"/>
    <n v="0.47599999999999998"/>
    <n v="23.799999999999997"/>
    <n v="0.88500000000000001"/>
    <n v="44.25"/>
    <n v="0.499"/>
    <n v="24.95"/>
    <n v="0.41699999999999998"/>
    <n v="0.14699999999999999"/>
    <n v="0.27600000000000002"/>
  </r>
  <r>
    <x v="4"/>
    <x v="152"/>
    <n v="154"/>
    <n v="3.2029999999999998"/>
    <n v="32.03"/>
    <n v="0.35"/>
    <n v="17.5"/>
    <n v="0.51700000000000002"/>
    <n v="25.85"/>
    <n v="0.36099999999999999"/>
    <n v="18.05"/>
    <n v="0"/>
    <n v="2.5000000000000001E-2"/>
    <n v="0.158"/>
  </r>
  <r>
    <x v="4"/>
    <x v="147"/>
    <n v="155"/>
    <n v="3.0830000000000002"/>
    <n v="30.830000000000002"/>
    <n v="2.5999999999999999E-2"/>
    <n v="1.3"/>
    <n v="0"/>
    <n v="0"/>
    <n v="0.105"/>
    <n v="5.25"/>
    <n v="0.22500000000000001"/>
    <n v="3.5000000000000003E-2"/>
    <n v="0.23499999999999999"/>
  </r>
  <r>
    <x v="4"/>
    <x v="162"/>
    <n v="156"/>
    <n v="2.8530000000000002"/>
    <n v="28.53"/>
    <n v="0.30599999999999999"/>
    <n v="15.299999999999999"/>
    <n v="0.57499999999999996"/>
    <n v="28.749999999999996"/>
    <n v="0.29499999999999998"/>
    <n v="14.75"/>
    <n v="0.01"/>
    <n v="9.0999999999999998E-2"/>
    <n v="0.202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D064C-3598-42D8-9706-58B7C04F659A}" name="PivotTable3"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rowHeaderCaption="Country">
  <location ref="A3:B13" firstHeaderRow="1" firstDataRow="1" firstDataCol="1" rowPageCount="1" colPageCount="1"/>
  <pivotFields count="14">
    <pivotField axis="axisPage" showAll="0">
      <items count="6">
        <item x="0"/>
        <item x="1"/>
        <item x="2"/>
        <item x="3"/>
        <item x="4"/>
        <item t="default"/>
      </items>
    </pivotField>
    <pivotField axis="axisRow" showAll="0" measureFilter="1" sortType="descending">
      <items count="170">
        <item x="152"/>
        <item x="94"/>
        <item x="67"/>
        <item x="136"/>
        <item x="29"/>
        <item x="126"/>
        <item x="9"/>
        <item x="12"/>
        <item x="79"/>
        <item x="48"/>
        <item x="108"/>
        <item x="58"/>
        <item x="18"/>
        <item x="159"/>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68"/>
        <item x="129"/>
        <item x="25"/>
        <item x="113"/>
        <item x="101"/>
        <item x="42"/>
        <item x="149"/>
        <item x="118"/>
        <item x="104"/>
        <item x="71"/>
        <item x="164"/>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61"/>
        <item x="120"/>
        <item x="6"/>
        <item x="8"/>
        <item x="56"/>
        <item x="143"/>
        <item x="77"/>
        <item x="65"/>
        <item x="167"/>
        <item x="166"/>
        <item x="3"/>
        <item x="21"/>
        <item x="80"/>
        <item x="107"/>
        <item x="24"/>
        <item x="52"/>
        <item x="57"/>
        <item x="89"/>
        <item x="59"/>
        <item x="87"/>
        <item x="158"/>
        <item x="27"/>
        <item x="85"/>
        <item x="63"/>
        <item x="153"/>
        <item x="34"/>
        <item x="141"/>
        <item x="86"/>
        <item x="122"/>
        <item x="23"/>
        <item x="44"/>
        <item x="54"/>
        <item x="160"/>
        <item x="90"/>
        <item x="112"/>
        <item x="46"/>
        <item x="162"/>
        <item x="35"/>
        <item x="131"/>
        <item x="117"/>
        <item x="39"/>
        <item x="100"/>
        <item x="7"/>
        <item x="0"/>
        <item x="155"/>
        <item x="37"/>
        <item x="163"/>
        <item x="105"/>
        <item x="145"/>
        <item x="33"/>
        <item x="157"/>
        <item x="165"/>
        <item x="40"/>
        <item x="106"/>
        <item x="75"/>
        <item x="69"/>
        <item x="140"/>
        <item x="110"/>
        <item x="19"/>
        <item x="20"/>
        <item x="14"/>
        <item x="31"/>
        <item x="43"/>
        <item x="22"/>
        <item x="74"/>
        <item x="135"/>
        <item x="84"/>
        <item x="1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numFmtId="9" showAll="0"/>
    <pivotField showAll="0"/>
    <pivotField numFmtId="9" showAll="0"/>
  </pivotFields>
  <rowFields count="1">
    <field x="1"/>
  </rowFields>
  <rowItems count="10">
    <i>
      <x v="111"/>
    </i>
    <i>
      <x v="38"/>
    </i>
    <i>
      <x v="61"/>
    </i>
    <i>
      <x v="144"/>
    </i>
    <i>
      <x v="46"/>
    </i>
    <i>
      <x v="103"/>
    </i>
    <i>
      <x v="25"/>
    </i>
    <i>
      <x v="104"/>
    </i>
    <i>
      <x v="6"/>
    </i>
    <i>
      <x v="143"/>
    </i>
  </rowItems>
  <colItems count="1">
    <i/>
  </colItems>
  <pageFields count="1">
    <pageField fld="0" item="2" hier="-1"/>
  </pageFields>
  <dataFields count="1">
    <dataField name="Average of Happiness_Score (%)" fld="4"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91A2C-AE2A-48F1-B5ED-3B9D32DCE4BC}"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rowPageCount="1" colPageCount="1"/>
  <pivotFields count="14">
    <pivotField axis="axisPage" showAll="0">
      <items count="6">
        <item x="0"/>
        <item x="1"/>
        <item x="2"/>
        <item x="3"/>
        <item x="4"/>
        <item t="default"/>
      </items>
    </pivotField>
    <pivotField axis="axisRow" showAll="0" measureFilter="1" sortType="ascending">
      <items count="170">
        <item x="152"/>
        <item x="94"/>
        <item x="67"/>
        <item x="136"/>
        <item x="29"/>
        <item x="126"/>
        <item x="9"/>
        <item x="12"/>
        <item x="79"/>
        <item x="48"/>
        <item x="108"/>
        <item x="58"/>
        <item x="18"/>
        <item x="159"/>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68"/>
        <item x="129"/>
        <item x="25"/>
        <item x="113"/>
        <item x="101"/>
        <item x="42"/>
        <item x="149"/>
        <item x="118"/>
        <item x="104"/>
        <item x="71"/>
        <item x="164"/>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61"/>
        <item x="120"/>
        <item x="6"/>
        <item x="8"/>
        <item x="56"/>
        <item x="143"/>
        <item x="77"/>
        <item x="65"/>
        <item x="167"/>
        <item x="166"/>
        <item x="3"/>
        <item x="21"/>
        <item x="80"/>
        <item x="107"/>
        <item x="24"/>
        <item x="52"/>
        <item x="57"/>
        <item x="89"/>
        <item x="59"/>
        <item x="87"/>
        <item x="158"/>
        <item x="27"/>
        <item x="85"/>
        <item x="63"/>
        <item x="153"/>
        <item x="34"/>
        <item x="141"/>
        <item x="86"/>
        <item x="122"/>
        <item x="23"/>
        <item x="44"/>
        <item x="54"/>
        <item x="160"/>
        <item x="90"/>
        <item x="112"/>
        <item x="46"/>
        <item x="162"/>
        <item x="35"/>
        <item x="131"/>
        <item x="117"/>
        <item x="39"/>
        <item x="100"/>
        <item x="7"/>
        <item x="0"/>
        <item x="155"/>
        <item x="37"/>
        <item x="163"/>
        <item x="105"/>
        <item x="145"/>
        <item x="33"/>
        <item x="157"/>
        <item x="165"/>
        <item x="40"/>
        <item x="106"/>
        <item x="75"/>
        <item x="69"/>
        <item x="140"/>
        <item x="110"/>
        <item x="19"/>
        <item x="20"/>
        <item x="14"/>
        <item x="31"/>
        <item x="43"/>
        <item x="22"/>
        <item x="74"/>
        <item x="135"/>
        <item x="84"/>
        <item x="1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numFmtId="9" showAll="0"/>
    <pivotField showAll="0"/>
    <pivotField numFmtId="9" showAll="0"/>
  </pivotFields>
  <rowFields count="1">
    <field x="1"/>
  </rowFields>
  <rowItems count="11">
    <i>
      <x v="22"/>
    </i>
    <i>
      <x v="145"/>
    </i>
    <i>
      <x v="151"/>
    </i>
    <i>
      <x/>
    </i>
    <i>
      <x v="14"/>
    </i>
    <i>
      <x v="125"/>
    </i>
    <i>
      <x v="55"/>
    </i>
    <i>
      <x v="82"/>
    </i>
    <i>
      <x v="149"/>
    </i>
    <i>
      <x v="87"/>
    </i>
    <i t="grand">
      <x/>
    </i>
  </rowItems>
  <colItems count="1">
    <i/>
  </colItems>
  <pageFields count="1">
    <pageField fld="0" item="1" hier="-1"/>
  </pageFields>
  <dataFields count="1">
    <dataField name="Average of Happiness_Score (%)" fld="4"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20E00-F8D7-4BBB-A3F1-5FB4520EABD3}" name="PivotTable1"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rowHeaderCaption="Year">
  <location ref="A3:B8" firstHeaderRow="1" firstDataRow="1" firstDataCol="1"/>
  <pivotFields count="14">
    <pivotField axis="axisRow" showAll="0">
      <items count="6">
        <item x="0"/>
        <item x="1"/>
        <item x="2"/>
        <item x="3"/>
        <item x="4"/>
        <item t="default"/>
      </items>
    </pivotField>
    <pivotField showAll="0"/>
    <pivotField showAll="0"/>
    <pivotField showAll="0"/>
    <pivotField dataField="1" showAll="0"/>
    <pivotField showAll="0"/>
    <pivotField showAll="0"/>
    <pivotField showAll="0"/>
    <pivotField showAll="0"/>
    <pivotField showAll="0"/>
    <pivotField showAll="0"/>
    <pivotField numFmtId="9" showAll="0"/>
    <pivotField showAll="0"/>
    <pivotField numFmtId="9" showAll="0"/>
  </pivotFields>
  <rowFields count="1">
    <field x="0"/>
  </rowFields>
  <rowItems count="5">
    <i>
      <x/>
    </i>
    <i>
      <x v="1"/>
    </i>
    <i>
      <x v="2"/>
    </i>
    <i>
      <x v="3"/>
    </i>
    <i>
      <x v="4"/>
    </i>
  </rowItems>
  <colItems count="1">
    <i/>
  </colItems>
  <dataFields count="1">
    <dataField name="Average of Happiness_Score (%)" fld="4" subtotal="average"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FCD949-565B-407E-982D-072EEF4564F2}" name="PivotTable1" cacheId="2" dataOnRows="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
  <location ref="A32:F36" firstHeaderRow="1" firstDataRow="2" firstDataCol="1"/>
  <pivotFields count="14">
    <pivotField axis="axisCol" showAll="0">
      <items count="6">
        <item x="0"/>
        <item x="1"/>
        <item x="2"/>
        <item x="3"/>
        <item x="4"/>
        <item t="default"/>
      </items>
    </pivotField>
    <pivotField showAll="0">
      <items count="170">
        <item h="1" x="152"/>
        <item h="1" x="94"/>
        <item h="1" x="67"/>
        <item h="1" x="136"/>
        <item h="1" x="29"/>
        <item h="1" x="126"/>
        <item h="1" x="9"/>
        <item h="1" x="12"/>
        <item h="1" x="79"/>
        <item h="1" x="48"/>
        <item x="108"/>
        <item h="1" x="58"/>
        <item h="1" x="18"/>
        <item h="1" x="159"/>
        <item h="1" x="154"/>
        <item h="1" x="78"/>
        <item h="1" x="50"/>
        <item h="1" x="95"/>
        <item h="1" x="127"/>
        <item h="1" x="15"/>
        <item h="1" x="133"/>
        <item h="1" x="151"/>
        <item h="1" x="156"/>
        <item h="1" x="144"/>
        <item h="1" x="132"/>
        <item h="1" x="4"/>
        <item h="1" x="147"/>
        <item h="1" x="148"/>
        <item h="1" x="26"/>
        <item h="1" x="83"/>
        <item h="1" x="32"/>
        <item h="1" x="139"/>
        <item h="1" x="138"/>
        <item h="1" x="119"/>
        <item h="1" x="11"/>
        <item h="1" x="61"/>
        <item h="1" x="66"/>
        <item h="1" x="30"/>
        <item h="1" x="2"/>
        <item h="1" x="125"/>
        <item h="1" x="97"/>
        <item h="1" x="47"/>
        <item h="1" x="134"/>
        <item h="1" x="41"/>
        <item h="1" x="72"/>
        <item h="1" x="121"/>
        <item h="1" x="5"/>
        <item h="1" x="28"/>
        <item h="1" x="142"/>
        <item h="1" x="168"/>
        <item h="1" x="129"/>
        <item h="1" x="25"/>
        <item h="1" x="113"/>
        <item h="1" x="101"/>
        <item h="1" x="42"/>
        <item h="1" x="149"/>
        <item h="1" x="118"/>
        <item h="1" x="104"/>
        <item h="1" x="71"/>
        <item h="1" x="164"/>
        <item h="1" x="103"/>
        <item h="1" x="1"/>
        <item h="1" x="116"/>
        <item h="1" x="73"/>
        <item h="1" x="109"/>
        <item h="1" x="111"/>
        <item h="1" x="17"/>
        <item h="1" x="10"/>
        <item h="1" x="49"/>
        <item h="1" x="150"/>
        <item h="1" x="64"/>
        <item h="1" x="45"/>
        <item h="1" x="81"/>
        <item h="1" x="53"/>
        <item h="1" x="124"/>
        <item h="1" x="68"/>
        <item h="1" x="38"/>
        <item h="1" x="76"/>
        <item h="1" x="98"/>
        <item h="1" x="88"/>
        <item h="1" x="102"/>
        <item h="1" x="96"/>
        <item h="1" x="115"/>
        <item h="1" x="62"/>
        <item h="1" x="55"/>
        <item h="1" x="16"/>
        <item h="1" x="92"/>
        <item h="1" x="146"/>
        <item h="1" x="130"/>
        <item h="1" x="60"/>
        <item h="1" x="137"/>
        <item h="1" x="36"/>
        <item h="1" x="123"/>
        <item h="1" x="70"/>
        <item h="1" x="13"/>
        <item h="1" x="51"/>
        <item h="1" x="99"/>
        <item h="1" x="82"/>
        <item h="1" x="91"/>
        <item h="1" x="93"/>
        <item h="1" x="128"/>
        <item h="1" x="161"/>
        <item h="1" x="120"/>
        <item h="1" x="6"/>
        <item h="1" x="8"/>
        <item h="1" x="56"/>
        <item h="1" x="143"/>
        <item h="1" x="77"/>
        <item h="1" x="65"/>
        <item h="1" x="167"/>
        <item h="1" x="166"/>
        <item h="1" x="3"/>
        <item h="1" x="21"/>
        <item h="1" x="80"/>
        <item h="1" x="107"/>
        <item h="1" x="24"/>
        <item h="1" x="52"/>
        <item h="1" x="57"/>
        <item h="1" x="89"/>
        <item h="1" x="59"/>
        <item h="1" x="87"/>
        <item h="1" x="158"/>
        <item h="1" x="27"/>
        <item h="1" x="85"/>
        <item h="1" x="63"/>
        <item h="1" x="153"/>
        <item h="1" x="34"/>
        <item h="1" x="141"/>
        <item h="1" x="86"/>
        <item h="1" x="122"/>
        <item h="1" x="23"/>
        <item h="1" x="44"/>
        <item h="1" x="54"/>
        <item h="1" x="160"/>
        <item h="1" x="90"/>
        <item h="1" x="112"/>
        <item h="1" x="46"/>
        <item h="1" x="162"/>
        <item h="1" x="35"/>
        <item h="1" x="131"/>
        <item h="1" x="117"/>
        <item h="1" x="39"/>
        <item h="1" x="100"/>
        <item h="1" x="7"/>
        <item h="1" x="0"/>
        <item h="1" x="155"/>
        <item h="1" x="37"/>
        <item h="1" x="163"/>
        <item h="1" x="105"/>
        <item h="1" x="145"/>
        <item h="1" x="33"/>
        <item h="1" x="157"/>
        <item h="1" x="165"/>
        <item h="1" x="40"/>
        <item h="1" x="106"/>
        <item h="1" x="75"/>
        <item h="1" x="69"/>
        <item h="1" x="140"/>
        <item h="1" x="110"/>
        <item h="1" x="19"/>
        <item h="1" x="20"/>
        <item h="1" x="14"/>
        <item h="1" x="31"/>
        <item h="1" x="43"/>
        <item h="1" x="22"/>
        <item h="1" x="74"/>
        <item h="1" x="135"/>
        <item h="1" x="84"/>
        <item h="1" x="114"/>
        <item t="default"/>
      </items>
    </pivotField>
    <pivotField showAll="0"/>
    <pivotField showAll="0"/>
    <pivotField showAll="0"/>
    <pivotField showAll="0"/>
    <pivotField showAll="0"/>
    <pivotField showAll="0"/>
    <pivotField showAll="0"/>
    <pivotField showAll="0"/>
    <pivotField showAll="0"/>
    <pivotField dataField="1" numFmtId="9" showAll="0"/>
    <pivotField dataField="1" showAll="0"/>
    <pivotField dataField="1" numFmtId="9" showAll="0"/>
  </pivotFields>
  <rowFields count="1">
    <field x="-2"/>
  </rowFields>
  <rowItems count="3">
    <i>
      <x/>
    </i>
    <i i="1">
      <x v="1"/>
    </i>
    <i i="2">
      <x v="2"/>
    </i>
  </rowItems>
  <colFields count="1">
    <field x="0"/>
  </colFields>
  <colItems count="5">
    <i>
      <x/>
    </i>
    <i>
      <x v="1"/>
    </i>
    <i>
      <x v="2"/>
    </i>
    <i>
      <x v="3"/>
    </i>
    <i>
      <x v="4"/>
    </i>
  </colItems>
  <dataFields count="3">
    <dataField name="Average of Freedom (%)" fld="11" subtotal="average" baseField="0" baseItem="0"/>
    <dataField name="Average of Trust_Government_Corruption (%)" fld="12" subtotal="average" baseField="0" baseItem="0"/>
    <dataField name="Average of Generosity (%)" fld="13" subtotal="average" baseField="0" baseItem="0"/>
  </dataFields>
  <formats count="1">
    <format dxfId="12">
      <pivotArea outline="0" collapsedLevelsAreSubtotals="1"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9C767E-07EF-44D5-A2AD-92C1B0944879}" name="PivotTable2" cacheId="2" dataOnRows="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A3:G8" firstHeaderRow="1" firstDataRow="2" firstDataCol="1"/>
  <pivotFields count="14">
    <pivotField axis="axisCol" showAll="0">
      <items count="6">
        <item x="0"/>
        <item x="1"/>
        <item x="2"/>
        <item x="3"/>
        <item x="4"/>
        <item t="default"/>
      </items>
    </pivotField>
    <pivotField showAll="0">
      <items count="170">
        <item h="1" x="152"/>
        <item h="1" x="94"/>
        <item h="1" x="67"/>
        <item h="1" x="136"/>
        <item h="1" x="29"/>
        <item h="1" x="126"/>
        <item h="1" x="9"/>
        <item h="1" x="12"/>
        <item h="1" x="79"/>
        <item h="1" x="48"/>
        <item x="108"/>
        <item h="1" x="58"/>
        <item h="1" x="18"/>
        <item h="1" x="159"/>
        <item h="1" x="154"/>
        <item h="1" x="78"/>
        <item h="1" x="50"/>
        <item h="1" x="95"/>
        <item h="1" x="127"/>
        <item h="1" x="15"/>
        <item h="1" x="133"/>
        <item h="1" x="151"/>
        <item h="1" x="156"/>
        <item h="1" x="144"/>
        <item h="1" x="132"/>
        <item h="1" x="4"/>
        <item h="1" x="147"/>
        <item h="1" x="148"/>
        <item h="1" x="26"/>
        <item h="1" x="83"/>
        <item h="1" x="32"/>
        <item h="1" x="139"/>
        <item h="1" x="138"/>
        <item h="1" x="119"/>
        <item h="1" x="11"/>
        <item h="1" x="61"/>
        <item h="1" x="66"/>
        <item h="1" x="30"/>
        <item h="1" x="2"/>
        <item h="1" x="125"/>
        <item h="1" x="97"/>
        <item h="1" x="47"/>
        <item h="1" x="134"/>
        <item h="1" x="41"/>
        <item h="1" x="72"/>
        <item h="1" x="121"/>
        <item h="1" x="5"/>
        <item h="1" x="28"/>
        <item h="1" x="142"/>
        <item h="1" x="168"/>
        <item h="1" x="129"/>
        <item h="1" x="25"/>
        <item h="1" x="113"/>
        <item h="1" x="101"/>
        <item h="1" x="42"/>
        <item h="1" x="149"/>
        <item h="1" x="118"/>
        <item h="1" x="104"/>
        <item h="1" x="71"/>
        <item h="1" x="164"/>
        <item h="1" x="103"/>
        <item h="1" x="1"/>
        <item h="1" x="116"/>
        <item h="1" x="73"/>
        <item h="1" x="109"/>
        <item h="1" x="111"/>
        <item h="1" x="17"/>
        <item h="1" x="10"/>
        <item h="1" x="49"/>
        <item h="1" x="150"/>
        <item h="1" x="64"/>
        <item h="1" x="45"/>
        <item h="1" x="81"/>
        <item h="1" x="53"/>
        <item h="1" x="124"/>
        <item h="1" x="68"/>
        <item h="1" x="38"/>
        <item h="1" x="76"/>
        <item h="1" x="98"/>
        <item h="1" x="88"/>
        <item h="1" x="102"/>
        <item h="1" x="96"/>
        <item h="1" x="115"/>
        <item h="1" x="62"/>
        <item h="1" x="55"/>
        <item h="1" x="16"/>
        <item h="1" x="92"/>
        <item h="1" x="146"/>
        <item h="1" x="130"/>
        <item h="1" x="60"/>
        <item h="1" x="137"/>
        <item h="1" x="36"/>
        <item h="1" x="123"/>
        <item h="1" x="70"/>
        <item h="1" x="13"/>
        <item h="1" x="51"/>
        <item h="1" x="99"/>
        <item h="1" x="82"/>
        <item h="1" x="91"/>
        <item h="1" x="93"/>
        <item h="1" x="128"/>
        <item h="1" x="161"/>
        <item h="1" x="120"/>
        <item h="1" x="6"/>
        <item h="1" x="8"/>
        <item h="1" x="56"/>
        <item h="1" x="143"/>
        <item h="1" x="77"/>
        <item h="1" x="65"/>
        <item h="1" x="167"/>
        <item h="1" x="166"/>
        <item h="1" x="3"/>
        <item h="1" x="21"/>
        <item h="1" x="80"/>
        <item h="1" x="107"/>
        <item h="1" x="24"/>
        <item h="1" x="52"/>
        <item h="1" x="57"/>
        <item h="1" x="89"/>
        <item h="1" x="59"/>
        <item h="1" x="87"/>
        <item h="1" x="158"/>
        <item h="1" x="27"/>
        <item h="1" x="85"/>
        <item h="1" x="63"/>
        <item h="1" x="153"/>
        <item h="1" x="34"/>
        <item h="1" x="141"/>
        <item h="1" x="86"/>
        <item h="1" x="122"/>
        <item h="1" x="23"/>
        <item h="1" x="44"/>
        <item h="1" x="54"/>
        <item h="1" x="160"/>
        <item h="1" x="90"/>
        <item h="1" x="112"/>
        <item h="1" x="46"/>
        <item h="1" x="162"/>
        <item h="1" x="35"/>
        <item h="1" x="131"/>
        <item h="1" x="117"/>
        <item h="1" x="39"/>
        <item h="1" x="100"/>
        <item h="1" x="7"/>
        <item h="1" x="0"/>
        <item h="1" x="155"/>
        <item h="1" x="37"/>
        <item h="1" x="163"/>
        <item h="1" x="105"/>
        <item h="1" x="145"/>
        <item h="1" x="33"/>
        <item h="1" x="157"/>
        <item h="1" x="165"/>
        <item h="1" x="40"/>
        <item h="1" x="106"/>
        <item h="1" x="75"/>
        <item h="1" x="69"/>
        <item h="1" x="140"/>
        <item h="1" x="110"/>
        <item h="1" x="19"/>
        <item h="1" x="20"/>
        <item h="1" x="14"/>
        <item h="1" x="31"/>
        <item h="1" x="43"/>
        <item h="1" x="22"/>
        <item h="1" x="74"/>
        <item h="1" x="135"/>
        <item h="1" x="84"/>
        <item h="1" x="114"/>
        <item t="default"/>
      </items>
    </pivotField>
    <pivotField showAll="0"/>
    <pivotField showAll="0"/>
    <pivotField dataField="1" showAll="0"/>
    <pivotField showAll="0"/>
    <pivotField dataField="1" showAll="0"/>
    <pivotField showAll="0"/>
    <pivotField dataField="1" showAll="0"/>
    <pivotField showAll="0"/>
    <pivotField dataField="1" showAll="0"/>
    <pivotField numFmtId="9" showAll="0"/>
    <pivotField showAll="0"/>
    <pivotField numFmtId="9" showAll="0"/>
  </pivotFields>
  <rowFields count="1">
    <field x="-2"/>
  </rowFields>
  <rowItems count="4">
    <i>
      <x/>
    </i>
    <i i="1">
      <x v="1"/>
    </i>
    <i i="2">
      <x v="2"/>
    </i>
    <i i="3">
      <x v="3"/>
    </i>
  </rowItems>
  <colFields count="1">
    <field x="0"/>
  </colFields>
  <colItems count="6">
    <i>
      <x/>
    </i>
    <i>
      <x v="1"/>
    </i>
    <i>
      <x v="2"/>
    </i>
    <i>
      <x v="3"/>
    </i>
    <i>
      <x v="4"/>
    </i>
    <i t="grand">
      <x/>
    </i>
  </colItems>
  <dataFields count="4">
    <dataField name="Average of Happiness_Score (%)" fld="4" subtotal="average" baseField="0" baseItem="0"/>
    <dataField name="Average of Economy_GDP_per_Capita (%)" fld="6" subtotal="average" baseField="0" baseItem="2"/>
    <dataField name="Average of Family (%)" fld="8" subtotal="average" baseField="0" baseItem="1"/>
    <dataField name="Average of Health_Life_Expectancy (%)" fld="10" subtotal="average" baseField="0" baseItem="1"/>
  </dataFields>
  <formats count="1">
    <format dxfId="14">
      <pivotArea dataOnly="0" labelOnly="1" fieldPosition="0">
        <references count="1">
          <reference field="0" count="0"/>
        </references>
      </pivotArea>
    </format>
  </formats>
  <chartFormats count="5">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7"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9F500A-A231-4312-87F7-C6F2031B66B7}" name="PivotTable2"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location ref="A3:C159" firstHeaderRow="0" firstDataRow="1" firstDataCol="1" rowPageCount="1" colPageCount="1"/>
  <pivotFields count="14">
    <pivotField axis="axisPage" showAll="0">
      <items count="6">
        <item x="0"/>
        <item x="1"/>
        <item x="2"/>
        <item x="3"/>
        <item x="4"/>
        <item t="default"/>
      </items>
    </pivotField>
    <pivotField axis="axisRow" showAll="0">
      <items count="170">
        <item x="152"/>
        <item x="94"/>
        <item x="67"/>
        <item x="136"/>
        <item x="29"/>
        <item x="126"/>
        <item x="9"/>
        <item x="12"/>
        <item x="79"/>
        <item x="48"/>
        <item x="108"/>
        <item x="58"/>
        <item x="18"/>
        <item x="159"/>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68"/>
        <item x="129"/>
        <item x="25"/>
        <item x="113"/>
        <item x="101"/>
        <item x="42"/>
        <item x="149"/>
        <item x="118"/>
        <item x="104"/>
        <item x="71"/>
        <item x="164"/>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61"/>
        <item x="120"/>
        <item x="6"/>
        <item x="8"/>
        <item x="56"/>
        <item x="143"/>
        <item x="77"/>
        <item x="65"/>
        <item x="167"/>
        <item x="166"/>
        <item x="3"/>
        <item x="21"/>
        <item x="80"/>
        <item x="107"/>
        <item x="24"/>
        <item x="52"/>
        <item x="57"/>
        <item x="89"/>
        <item x="59"/>
        <item x="87"/>
        <item x="158"/>
        <item x="27"/>
        <item x="85"/>
        <item x="63"/>
        <item x="153"/>
        <item x="34"/>
        <item x="141"/>
        <item x="86"/>
        <item x="122"/>
        <item x="23"/>
        <item x="44"/>
        <item x="54"/>
        <item x="160"/>
        <item x="90"/>
        <item x="112"/>
        <item x="46"/>
        <item x="162"/>
        <item x="35"/>
        <item x="131"/>
        <item x="117"/>
        <item x="39"/>
        <item x="100"/>
        <item x="7"/>
        <item x="0"/>
        <item x="155"/>
        <item x="37"/>
        <item x="163"/>
        <item x="105"/>
        <item x="145"/>
        <item x="33"/>
        <item x="157"/>
        <item x="165"/>
        <item x="40"/>
        <item x="106"/>
        <item x="75"/>
        <item x="69"/>
        <item x="140"/>
        <item x="110"/>
        <item x="19"/>
        <item x="20"/>
        <item x="14"/>
        <item x="31"/>
        <item x="43"/>
        <item x="22"/>
        <item x="74"/>
        <item x="135"/>
        <item x="84"/>
        <item x="114"/>
        <item t="default"/>
      </items>
    </pivotField>
    <pivotField showAll="0"/>
    <pivotField showAll="0"/>
    <pivotField dataField="1" showAll="0"/>
    <pivotField showAll="0"/>
    <pivotField dataField="1" showAll="0"/>
    <pivotField showAll="0"/>
    <pivotField showAll="0"/>
    <pivotField showAll="0"/>
    <pivotField showAll="0"/>
    <pivotField numFmtId="9" showAll="0"/>
    <pivotField showAll="0"/>
    <pivotField numFmtId="9" showAll="0"/>
  </pivotFields>
  <rowFields count="1">
    <field x="1"/>
  </rowFields>
  <rowItems count="156">
    <i>
      <x/>
    </i>
    <i>
      <x v="1"/>
    </i>
    <i>
      <x v="2"/>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5"/>
    </i>
    <i>
      <x v="46"/>
    </i>
    <i>
      <x v="47"/>
    </i>
    <i>
      <x v="48"/>
    </i>
    <i>
      <x v="49"/>
    </i>
    <i>
      <x v="50"/>
    </i>
    <i>
      <x v="51"/>
    </i>
    <i>
      <x v="52"/>
    </i>
    <i>
      <x v="53"/>
    </i>
    <i>
      <x v="54"/>
    </i>
    <i>
      <x v="55"/>
    </i>
    <i>
      <x v="56"/>
    </i>
    <i>
      <x v="57"/>
    </i>
    <i>
      <x v="58"/>
    </i>
    <i>
      <x v="60"/>
    </i>
    <i>
      <x v="61"/>
    </i>
    <i>
      <x v="62"/>
    </i>
    <i>
      <x v="63"/>
    </i>
    <i>
      <x v="64"/>
    </i>
    <i>
      <x v="65"/>
    </i>
    <i>
      <x v="66"/>
    </i>
    <i>
      <x v="67"/>
    </i>
    <i>
      <x v="68"/>
    </i>
    <i>
      <x v="69"/>
    </i>
    <i>
      <x v="70"/>
    </i>
    <i>
      <x v="71"/>
    </i>
    <i>
      <x v="72"/>
    </i>
    <i>
      <x v="73"/>
    </i>
    <i>
      <x v="74"/>
    </i>
    <i>
      <x v="75"/>
    </i>
    <i>
      <x v="76"/>
    </i>
    <i>
      <x v="77"/>
    </i>
    <i>
      <x v="78"/>
    </i>
    <i>
      <x v="79"/>
    </i>
    <i>
      <x v="80"/>
    </i>
    <i>
      <x v="81"/>
    </i>
    <i>
      <x v="82"/>
    </i>
    <i>
      <x v="83"/>
    </i>
    <i>
      <x v="84"/>
    </i>
    <i>
      <x v="85"/>
    </i>
    <i>
      <x v="87"/>
    </i>
    <i>
      <x v="88"/>
    </i>
    <i>
      <x v="89"/>
    </i>
    <i>
      <x v="90"/>
    </i>
    <i>
      <x v="91"/>
    </i>
    <i>
      <x v="92"/>
    </i>
    <i>
      <x v="93"/>
    </i>
    <i>
      <x v="94"/>
    </i>
    <i>
      <x v="95"/>
    </i>
    <i>
      <x v="96"/>
    </i>
    <i>
      <x v="97"/>
    </i>
    <i>
      <x v="98"/>
    </i>
    <i>
      <x v="99"/>
    </i>
    <i>
      <x v="100"/>
    </i>
    <i>
      <x v="101"/>
    </i>
    <i>
      <x v="102"/>
    </i>
    <i>
      <x v="103"/>
    </i>
    <i>
      <x v="104"/>
    </i>
    <i>
      <x v="105"/>
    </i>
    <i>
      <x v="106"/>
    </i>
    <i>
      <x v="107"/>
    </i>
    <i>
      <x v="109"/>
    </i>
    <i>
      <x v="110"/>
    </i>
    <i>
      <x v="111"/>
    </i>
    <i>
      <x v="113"/>
    </i>
    <i>
      <x v="114"/>
    </i>
    <i>
      <x v="115"/>
    </i>
    <i>
      <x v="116"/>
    </i>
    <i>
      <x v="117"/>
    </i>
    <i>
      <x v="118"/>
    </i>
    <i>
      <x v="119"/>
    </i>
    <i>
      <x v="120"/>
    </i>
    <i>
      <x v="122"/>
    </i>
    <i>
      <x v="123"/>
    </i>
    <i>
      <x v="124"/>
    </i>
    <i>
      <x v="125"/>
    </i>
    <i>
      <x v="126"/>
    </i>
    <i>
      <x v="127"/>
    </i>
    <i>
      <x v="128"/>
    </i>
    <i>
      <x v="129"/>
    </i>
    <i>
      <x v="130"/>
    </i>
    <i>
      <x v="131"/>
    </i>
    <i>
      <x v="132"/>
    </i>
    <i>
      <x v="133"/>
    </i>
    <i>
      <x v="135"/>
    </i>
    <i>
      <x v="136"/>
    </i>
    <i>
      <x v="137"/>
    </i>
    <i>
      <x v="138"/>
    </i>
    <i>
      <x v="139"/>
    </i>
    <i>
      <x v="142"/>
    </i>
    <i>
      <x v="143"/>
    </i>
    <i>
      <x v="144"/>
    </i>
    <i>
      <x v="145"/>
    </i>
    <i>
      <x v="146"/>
    </i>
    <i>
      <x v="148"/>
    </i>
    <i>
      <x v="149"/>
    </i>
    <i>
      <x v="150"/>
    </i>
    <i>
      <x v="151"/>
    </i>
    <i>
      <x v="152"/>
    </i>
    <i>
      <x v="154"/>
    </i>
    <i>
      <x v="155"/>
    </i>
    <i>
      <x v="156"/>
    </i>
    <i>
      <x v="157"/>
    </i>
    <i>
      <x v="158"/>
    </i>
    <i>
      <x v="159"/>
    </i>
    <i>
      <x v="160"/>
    </i>
    <i>
      <x v="161"/>
    </i>
    <i>
      <x v="162"/>
    </i>
    <i>
      <x v="163"/>
    </i>
    <i>
      <x v="164"/>
    </i>
    <i>
      <x v="165"/>
    </i>
    <i>
      <x v="166"/>
    </i>
    <i>
      <x v="167"/>
    </i>
    <i>
      <x v="168"/>
    </i>
  </rowItems>
  <colFields count="1">
    <field x="-2"/>
  </colFields>
  <colItems count="2">
    <i>
      <x/>
    </i>
    <i i="1">
      <x v="1"/>
    </i>
  </colItems>
  <pageFields count="1">
    <pageField fld="0" item="4" hier="-1"/>
  </pageFields>
  <dataFields count="2">
    <dataField name="Average of Happiness_Score (%)" fld="4" subtotal="average" baseField="1" baseItem="0"/>
    <dataField name="Average of Economy_GDP_per_Capita (%)"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191EFE51-20E0-4BF2-AA1E-1A5B8CE624A9}" autoFormatId="16" applyNumberFormats="0" applyBorderFormats="0" applyFontFormats="0" applyPatternFormats="0" applyAlignmentFormats="0" applyWidthHeightFormats="0">
  <queryTableRefresh nextId="17">
    <queryTableFields count="14">
      <queryTableField id="1" name="Year" tableColumnId="1"/>
      <queryTableField id="2" name="Country" tableColumnId="2"/>
      <queryTableField id="3" name="Happiness_Rank" tableColumnId="3"/>
      <queryTableField id="4" name="Happiness_Score" tableColumnId="4"/>
      <queryTableField id="13" dataBound="0" tableColumnId="14"/>
      <queryTableField id="5" name="Economy_GDP_per_Capita" tableColumnId="5"/>
      <queryTableField id="14" dataBound="0" tableColumnId="15"/>
      <queryTableField id="6" name="Family" tableColumnId="6"/>
      <queryTableField id="15" dataBound="0" tableColumnId="16"/>
      <queryTableField id="7" name="Health_Life_Expectancy" tableColumnId="7"/>
      <queryTableField id="16" dataBound="0" tableColumnId="17"/>
      <queryTableField id="8" name="Freedom" tableColumnId="8"/>
      <queryTableField id="9" name="Trust_Government_Corruption" tableColumnId="9"/>
      <queryTableField id="10" name="Generosity" tableColumnId="10"/>
    </queryTableFields>
    <queryTableDeletedFields count="1">
      <deletedField name="Regio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6D2FC80-8DF6-4EFD-85DE-98ED7720858B}" autoFormatId="16" applyNumberFormats="0" applyBorderFormats="0" applyFontFormats="0" applyPatternFormats="0" applyAlignmentFormats="0" applyWidthHeightFormats="0">
  <queryTableRefresh nextId="22">
    <queryTableFields count="10">
      <queryTableField id="11" name="Year" tableColumnId="11"/>
      <queryTableField id="1" name="Country" tableColumnId="1"/>
      <queryTableField id="2" name="Region" tableColumnId="2"/>
      <queryTableField id="12" name="Happiness_Rank" tableColumnId="12"/>
      <queryTableField id="13" name="Happiness_Score" tableColumnId="13"/>
      <queryTableField id="14" name="Economy_GDP_per_Capita" tableColumnId="14"/>
      <queryTableField id="7" name="Family" tableColumnId="7"/>
      <queryTableField id="15" name="Health_Life_Expectancy" tableColumnId="15"/>
      <queryTableField id="9" name="Freedom" tableColumnId="9"/>
      <queryTableField id="16" name="Trust_Government_Corruption"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FF12A7F9-636C-4F28-B8F9-AC24BE4C48BF}" autoFormatId="16" applyNumberFormats="0" applyBorderFormats="0" applyFontFormats="0" applyPatternFormats="0" applyAlignmentFormats="0" applyWidthHeightFormats="0">
  <queryTableRefresh nextId="26">
    <queryTableFields count="11">
      <queryTableField id="14" name="Year" tableColumnId="14"/>
      <queryTableField id="1" name="Country" tableColumnId="1"/>
      <queryTableField id="2" name="Region" tableColumnId="2"/>
      <queryTableField id="15" name="Happiness_Rank" tableColumnId="15"/>
      <queryTableField id="16" name="Happiness_Score" tableColumnId="16"/>
      <queryTableField id="17" name="Economy_GDP_per_Capita" tableColumnId="17"/>
      <queryTableField id="8" name="Family" tableColumnId="8"/>
      <queryTableField id="18" name="Health_Life_Expectancy" tableColumnId="18"/>
      <queryTableField id="10" name="Freedom" tableColumnId="10"/>
      <queryTableField id="19" name="Trust_Government_Corruption" tableColumnId="19"/>
      <queryTableField id="12" name="Generosity"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FE87371D-A630-4AA7-B5FC-9DC9CC0C074B}" autoFormatId="16" applyNumberFormats="0" applyBorderFormats="0" applyFontFormats="0" applyPatternFormats="0" applyAlignmentFormats="0" applyWidthHeightFormats="0">
  <queryTableRefresh nextId="24">
    <queryTableFields count="10">
      <queryTableField id="18" name="Year" tableColumnId="18"/>
      <queryTableField id="1" name="Country" tableColumnId="1"/>
      <queryTableField id="13" name="Happiness_Rank" tableColumnId="13"/>
      <queryTableField id="14" name="Happiness_Score" tableColumnId="14"/>
      <queryTableField id="15" name="Economy_GDP_per_Capita" tableColumnId="15"/>
      <queryTableField id="7" name="Family" tableColumnId="7"/>
      <queryTableField id="16" name="Health_Life_Expectancy" tableColumnId="16"/>
      <queryTableField id="9" name="Freedom" tableColumnId="9"/>
      <queryTableField id="10" name="Generosity" tableColumnId="10"/>
      <queryTableField id="17" name="Trust_Government_Corruption"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4" xr16:uid="{8FD75472-E387-479A-A8D0-5A8FB8F063E7}" autoFormatId="16" applyNumberFormats="0" applyBorderFormats="0" applyFontFormats="0" applyPatternFormats="0" applyAlignmentFormats="0" applyWidthHeightFormats="0">
  <queryTableRefresh nextId="27">
    <queryTableFields count="10">
      <queryTableField id="10" name="Year" tableColumnId="10"/>
      <queryTableField id="11" name="Happiness_Rank" tableColumnId="11"/>
      <queryTableField id="12" name="Country" tableColumnId="12"/>
      <queryTableField id="13" name="Happiness_Score" tableColumnId="13"/>
      <queryTableField id="14" name="Economy_GDP_per_Capita" tableColumnId="14"/>
      <queryTableField id="15" name="Family" tableColumnId="15"/>
      <queryTableField id="16" name="Health_Life_Expectancy" tableColumnId="16"/>
      <queryTableField id="17" name="Freedom" tableColumnId="17"/>
      <queryTableField id="8" name="Generosity" tableColumnId="8"/>
      <queryTableField id="18" name="Trust_Government_Corruption" tableColumnId="1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5" xr16:uid="{043DC3A6-D22C-4D01-90BD-7C87ACB074AD}" autoFormatId="16" applyNumberFormats="0" applyBorderFormats="0" applyFontFormats="0" applyPatternFormats="0" applyAlignmentFormats="0" applyWidthHeightFormats="0">
  <queryTableRefresh nextId="27">
    <queryTableFields count="10">
      <queryTableField id="10" name="Year" tableColumnId="10"/>
      <queryTableField id="11" name="Happiness_Rank" tableColumnId="11"/>
      <queryTableField id="12" name="Country" tableColumnId="12"/>
      <queryTableField id="13" name="Happiness_Score" tableColumnId="13"/>
      <queryTableField id="14" name="Economy_GDP_per_Capita" tableColumnId="14"/>
      <queryTableField id="15" name="Family" tableColumnId="15"/>
      <queryTableField id="16" name="Health_Life_Expectancy" tableColumnId="16"/>
      <queryTableField id="17" name="Freedom" tableColumnId="17"/>
      <queryTableField id="8" name="Generosity" tableColumnId="8"/>
      <queryTableField id="18" name="Trust_Government_Corruptio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B6E253-CFAC-4CDC-B3FD-92CA925F75CD}" sourceName="Year">
  <pivotTables>
    <pivotTable tabId="11" name="PivotTable4"/>
  </pivotTables>
  <data>
    <tabular pivotCacheId="1459664908">
      <items count="5">
        <i x="0"/>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6182F5D-073C-4330-ACC0-1F7DDE8E22F1}" sourceName="Year">
  <pivotTables>
    <pivotTable tabId="10" name="PivotTable3"/>
  </pivotTables>
  <data>
    <tabular pivotCacheId="1459664908">
      <items count="5">
        <i x="0"/>
        <i x="1"/>
        <i x="2" s="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C824842-3F13-4118-B2AD-8E6F71816556}" sourceName="Country">
  <pivotTables>
    <pivotTable tabId="13" name="PivotTable2"/>
    <pivotTable tabId="13" name="PivotTable1"/>
  </pivotTables>
  <data>
    <tabular pivotCacheId="1459664908">
      <items count="169">
        <i x="152"/>
        <i x="94"/>
        <i x="67"/>
        <i x="136"/>
        <i x="29"/>
        <i x="126"/>
        <i x="9"/>
        <i x="12"/>
        <i x="79"/>
        <i x="48"/>
        <i x="108" s="1"/>
        <i x="58"/>
        <i x="18"/>
        <i x="159"/>
        <i x="154"/>
        <i x="78"/>
        <i x="50"/>
        <i x="95"/>
        <i x="127"/>
        <i x="15"/>
        <i x="133"/>
        <i x="151"/>
        <i x="156"/>
        <i x="144"/>
        <i x="132"/>
        <i x="4"/>
        <i x="147"/>
        <i x="148"/>
        <i x="26"/>
        <i x="83"/>
        <i x="32"/>
        <i x="139"/>
        <i x="138"/>
        <i x="119"/>
        <i x="11"/>
        <i x="61"/>
        <i x="66"/>
        <i x="30"/>
        <i x="2"/>
        <i x="125"/>
        <i x="97"/>
        <i x="47"/>
        <i x="134"/>
        <i x="41"/>
        <i x="72"/>
        <i x="121"/>
        <i x="5"/>
        <i x="28"/>
        <i x="142"/>
        <i x="168"/>
        <i x="129"/>
        <i x="25"/>
        <i x="113"/>
        <i x="101"/>
        <i x="42"/>
        <i x="149"/>
        <i x="118"/>
        <i x="104"/>
        <i x="71"/>
        <i x="164"/>
        <i x="103"/>
        <i x="1"/>
        <i x="116"/>
        <i x="73"/>
        <i x="109"/>
        <i x="111"/>
        <i x="17"/>
        <i x="10"/>
        <i x="49"/>
        <i x="150"/>
        <i x="64"/>
        <i x="45"/>
        <i x="81"/>
        <i x="53"/>
        <i x="124"/>
        <i x="68"/>
        <i x="38"/>
        <i x="76"/>
        <i x="98"/>
        <i x="88"/>
        <i x="102"/>
        <i x="96"/>
        <i x="115"/>
        <i x="62"/>
        <i x="55"/>
        <i x="16"/>
        <i x="92"/>
        <i x="146"/>
        <i x="130"/>
        <i x="60"/>
        <i x="137"/>
        <i x="36"/>
        <i x="123"/>
        <i x="70"/>
        <i x="13"/>
        <i x="51"/>
        <i x="99"/>
        <i x="82"/>
        <i x="91"/>
        <i x="93"/>
        <i x="128"/>
        <i x="161"/>
        <i x="120"/>
        <i x="6"/>
        <i x="8"/>
        <i x="56"/>
        <i x="143"/>
        <i x="77"/>
        <i x="65"/>
        <i x="167"/>
        <i x="166"/>
        <i x="3"/>
        <i x="21"/>
        <i x="80"/>
        <i x="107"/>
        <i x="24"/>
        <i x="52"/>
        <i x="57"/>
        <i x="89"/>
        <i x="59"/>
        <i x="87"/>
        <i x="158"/>
        <i x="27"/>
        <i x="85"/>
        <i x="63"/>
        <i x="153"/>
        <i x="34"/>
        <i x="141"/>
        <i x="86"/>
        <i x="122"/>
        <i x="23"/>
        <i x="44"/>
        <i x="54"/>
        <i x="160"/>
        <i x="90"/>
        <i x="112"/>
        <i x="46"/>
        <i x="162"/>
        <i x="35"/>
        <i x="131"/>
        <i x="117"/>
        <i x="39"/>
        <i x="100"/>
        <i x="7"/>
        <i x="0"/>
        <i x="155"/>
        <i x="37"/>
        <i x="163"/>
        <i x="105"/>
        <i x="145"/>
        <i x="33"/>
        <i x="157"/>
        <i x="165"/>
        <i x="40"/>
        <i x="106"/>
        <i x="75"/>
        <i x="69"/>
        <i x="140"/>
        <i x="110"/>
        <i x="19"/>
        <i x="20"/>
        <i x="14"/>
        <i x="31"/>
        <i x="43"/>
        <i x="22"/>
        <i x="74"/>
        <i x="135"/>
        <i x="84"/>
        <i x="1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2782F0E-ECF3-4605-B2C5-6EE630F20886}"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8D75CB3-1CFF-4FCD-BD2B-84E66E4CF0FF}"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EAE00EE-12F8-4132-8D90-8D304CA43D88}" cache="Slicer_Country" caption="Country" startItem="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6D62AE-EC39-4C06-AC62-8348D155BDAD}" name="Master" displayName="Master" ref="A1:N783" tableType="queryTable" totalsRowShown="0">
  <autoFilter ref="A1:N783" xr:uid="{1D6D62AE-EC39-4C06-AC62-8348D155BDAD}"/>
  <tableColumns count="14">
    <tableColumn id="1" xr3:uid="{138E3CDA-1742-450C-8E30-4548C43BD5D9}" uniqueName="1" name="Year" queryTableFieldId="1" dataDxfId="37"/>
    <tableColumn id="2" xr3:uid="{344C8555-9845-4682-83E0-54B857ACE605}" uniqueName="2" name="Country" queryTableFieldId="2" dataDxfId="36"/>
    <tableColumn id="3" xr3:uid="{909F5079-D950-4AF3-8594-18040B8B2087}" uniqueName="3" name="Happiness_Rank" queryTableFieldId="3"/>
    <tableColumn id="4" xr3:uid="{AFFE46DC-7678-4859-B40F-82335ED7BFF9}" uniqueName="4" name="Happiness_Score" queryTableFieldId="4"/>
    <tableColumn id="14" xr3:uid="{941364D1-9B07-4C78-82FF-CE7FCFD72E5C}" uniqueName="14" name="Happiness_Score (%)" queryTableFieldId="13" dataDxfId="35">
      <calculatedColumnFormula>(Master[[#This Row],[Happiness_Score]]*100)/10</calculatedColumnFormula>
    </tableColumn>
    <tableColumn id="5" xr3:uid="{1EDF0B79-B5E2-427A-9639-5A8DB7BA8446}" uniqueName="5" name="Economy_GDP_per_Capita" queryTableFieldId="5"/>
    <tableColumn id="15" xr3:uid="{F259683B-3CFC-4734-A56F-EF015F8223F8}" uniqueName="15" name="Economy_GDP_per_Capita (%)" queryTableFieldId="14" dataDxfId="34">
      <calculatedColumnFormula>(Master[[#This Row],[Economy_GDP_per_Capita]]*100)/2</calculatedColumnFormula>
    </tableColumn>
    <tableColumn id="6" xr3:uid="{AC4524A3-0181-44E3-96D3-0F893335BA2E}" uniqueName="6" name="Family" queryTableFieldId="6"/>
    <tableColumn id="16" xr3:uid="{3D3E8F23-A91D-4AFD-8B24-6B0D5D33774A}" uniqueName="16" name="Family (%)" queryTableFieldId="15" dataDxfId="33">
      <calculatedColumnFormula>(Master[[#This Row],[Family]]*100)/2</calculatedColumnFormula>
    </tableColumn>
    <tableColumn id="7" xr3:uid="{2D38F145-2D94-4D7A-BD59-F7E78350C388}" uniqueName="7" name="Health_Life_Expectancy" queryTableFieldId="7"/>
    <tableColumn id="17" xr3:uid="{821ECE03-8543-43D8-9B12-0471E18E8C67}" uniqueName="17" name="Health_Life_Expectancy (%)" queryTableFieldId="16" dataDxfId="32">
      <calculatedColumnFormula>(Master[[#This Row],[Health_Life_Expectancy]]*100)/2</calculatedColumnFormula>
    </tableColumn>
    <tableColumn id="8" xr3:uid="{BE5EACBE-BA4D-4B83-84A0-B82A16E13D1E}" uniqueName="8" name="Freedom (%)" queryTableFieldId="8" dataCellStyle="Percent"/>
    <tableColumn id="9" xr3:uid="{F1B311EB-71AB-419D-8C4A-D646D84520A7}" uniqueName="9" name="Trust_Government_Corruption (%)" queryTableFieldId="9" dataCellStyle="Percent"/>
    <tableColumn id="10" xr3:uid="{810C6978-419E-4C5C-8162-7834C71F27E8}" uniqueName="10" name="Generosity (%)" queryTableFieldId="10"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76A0D-9346-4601-970C-F3E67A6EBEA5}" name="_2015_selected_columns__2" displayName="_2015_selected_columns__2" ref="A1:J159" tableType="queryTable" totalsRowShown="0">
  <autoFilter ref="A1:J159" xr:uid="{BBC76A0D-9346-4601-970C-F3E67A6EBEA5}"/>
  <tableColumns count="10">
    <tableColumn id="11" xr3:uid="{1548C332-2B99-4DFD-9FF3-EA8AB960F824}" uniqueName="11" name="Year" queryTableFieldId="11"/>
    <tableColumn id="1" xr3:uid="{47B48897-0D2C-41E5-AE38-932341212C7D}" uniqueName="1" name="Country" queryTableFieldId="1" dataDxfId="31"/>
    <tableColumn id="2" xr3:uid="{40D1DD10-9D8B-4415-8803-9002A4825F20}" uniqueName="2" name="Region" queryTableFieldId="2" dataDxfId="30"/>
    <tableColumn id="12" xr3:uid="{C52FF77E-BA0A-477D-BCC3-3F0007F417EC}" uniqueName="12" name="Happiness_Rank" queryTableFieldId="12"/>
    <tableColumn id="13" xr3:uid="{0CEF1DAC-B752-47D6-BD86-187760D7D0A1}" uniqueName="13" name="Happiness_Score" queryTableFieldId="13"/>
    <tableColumn id="14" xr3:uid="{664DE114-0E6F-4F25-8A24-E09890AFE2DD}" uniqueName="14" name="Economy_GDP_per_Capita" queryTableFieldId="14"/>
    <tableColumn id="7" xr3:uid="{4910666F-D2C6-4FEF-8E5E-12E8C31EE7C6}" uniqueName="7" name="Family" queryTableFieldId="7"/>
    <tableColumn id="15" xr3:uid="{11F35538-0A83-47EF-BAC9-CA9CC0883F99}" uniqueName="15" name="Health_Life_Expectancy" queryTableFieldId="15"/>
    <tableColumn id="9" xr3:uid="{B40A6ED8-C102-4211-AC61-ABB407EEF224}" uniqueName="9" name="Freedom" queryTableFieldId="9"/>
    <tableColumn id="16" xr3:uid="{AFCF904F-5CF7-4C90-A513-B599EA3E3578}" uniqueName="16" name="Trust_Government_Corruption"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35A71B-29AF-4F95-9A56-B39C4BF0BC4D}" name="_2016" displayName="_2016" ref="A1:K158" tableType="queryTable" totalsRowShown="0">
  <autoFilter ref="A1:K158" xr:uid="{D735A71B-29AF-4F95-9A56-B39C4BF0BC4D}"/>
  <tableColumns count="11">
    <tableColumn id="14" xr3:uid="{7D549DD1-29C3-4943-8926-323193BC43AB}" uniqueName="14" name="Year" queryTableFieldId="14"/>
    <tableColumn id="1" xr3:uid="{0C340719-BF38-4583-BF32-9B2EA68CC5AE}" uniqueName="1" name="Country" queryTableFieldId="1" dataDxfId="29"/>
    <tableColumn id="2" xr3:uid="{0B4962C2-29D5-4CC9-9892-941302D7D645}" uniqueName="2" name="Region" queryTableFieldId="2" dataDxfId="28"/>
    <tableColumn id="15" xr3:uid="{BD69EC90-F001-4FBB-853F-00158B450DBD}" uniqueName="15" name="Happiness_Rank" queryTableFieldId="15"/>
    <tableColumn id="16" xr3:uid="{426B68AF-5288-4405-97B8-488B32991E41}" uniqueName="16" name="Happiness_Score" queryTableFieldId="16"/>
    <tableColumn id="17" xr3:uid="{8401CB74-9BBE-4E31-886C-B4293DC84052}" uniqueName="17" name="Economy_GDP_per_Capita" queryTableFieldId="17"/>
    <tableColumn id="8" xr3:uid="{96340513-83DD-4CC6-BD81-54E95E3623F3}" uniqueName="8" name="Family" queryTableFieldId="8"/>
    <tableColumn id="18" xr3:uid="{9784F458-91ED-46A6-926A-3C3DDE59BA19}" uniqueName="18" name="Health_Life_Expectancy" queryTableFieldId="18"/>
    <tableColumn id="10" xr3:uid="{5B96951E-1355-413B-AACE-81C5363FF8BA}" uniqueName="10" name="Freedom" queryTableFieldId="10"/>
    <tableColumn id="19" xr3:uid="{EC401421-A2DA-46D4-A9C1-6FE697AB75C7}" uniqueName="19" name="Trust_Government_Corruption" queryTableFieldId="19"/>
    <tableColumn id="12" xr3:uid="{614037F2-716B-4AF1-A8D7-58F42303FAF3}" uniqueName="12" name="Generosity"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9187C6-5CA2-4CC0-844B-68CD0E001C52}" name="_2017" displayName="_2017" ref="A1:J156" tableType="queryTable" totalsRowShown="0">
  <autoFilter ref="A1:J156" xr:uid="{D49187C6-5CA2-4CC0-844B-68CD0E001C52}"/>
  <tableColumns count="10">
    <tableColumn id="18" xr3:uid="{F7209F2E-7FE2-467B-8EDF-286E8B250887}" uniqueName="18" name="Year" queryTableFieldId="18"/>
    <tableColumn id="1" xr3:uid="{2622F24C-2151-4105-ABC3-A0A921A3D4FE}" uniqueName="1" name="Country" queryTableFieldId="1" dataDxfId="27"/>
    <tableColumn id="13" xr3:uid="{C9F3783B-F628-4ECE-B009-8FE809DA5097}" uniqueName="13" name="Happiness_Rank" queryTableFieldId="13"/>
    <tableColumn id="14" xr3:uid="{F5E3E8D3-AC56-4D72-9F0C-AEA5E23E8CB1}" uniqueName="14" name="Happiness_Score" queryTableFieldId="14"/>
    <tableColumn id="15" xr3:uid="{46881E13-A3F3-48A6-BD0E-C8861C25E187}" uniqueName="15" name="Economy_GDP_per_Capita" queryTableFieldId="15"/>
    <tableColumn id="7" xr3:uid="{C5314421-BDA2-49AD-8F98-C6FE6AC2B563}" uniqueName="7" name="Family" queryTableFieldId="7"/>
    <tableColumn id="16" xr3:uid="{9EC2B43D-713A-49CC-8BDE-E1F7762631E0}" uniqueName="16" name="Health_Life_Expectancy" queryTableFieldId="16"/>
    <tableColumn id="9" xr3:uid="{CD67D128-91CC-4BEF-94B8-F211A886AA01}" uniqueName="9" name="Freedom" queryTableFieldId="9"/>
    <tableColumn id="10" xr3:uid="{C196776D-6DAE-46E6-87F7-F54CA4047FD3}" uniqueName="10" name="Generosity" queryTableFieldId="10"/>
    <tableColumn id="17" xr3:uid="{B8578786-2662-4B29-90AA-C7E82AE73033}" uniqueName="17" name="Trust_Government_Corruption"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7B4857-712B-4FB2-96E2-99956E08F485}" name="_2018" displayName="_2018" ref="A1:J157" tableType="queryTable" totalsRowShown="0">
  <autoFilter ref="A1:J157" xr:uid="{EA7B4857-712B-4FB2-96E2-99956E08F485}"/>
  <tableColumns count="10">
    <tableColumn id="10" xr3:uid="{9E936F5C-9982-4ED7-B4D7-999E07760007}" uniqueName="10" name="Year" queryTableFieldId="10"/>
    <tableColumn id="11" xr3:uid="{6D26F7FF-9C82-4DFB-A5E9-4C79FDA74424}" uniqueName="11" name="Happiness_Rank" queryTableFieldId="11"/>
    <tableColumn id="12" xr3:uid="{32612C4C-2D9B-4675-9114-F374EDDA1611}" uniqueName="12" name="Country" queryTableFieldId="12" dataDxfId="26"/>
    <tableColumn id="13" xr3:uid="{23093EE4-0D9B-4FA0-8396-6409D474ABF1}" uniqueName="13" name="Happiness_Score" queryTableFieldId="13"/>
    <tableColumn id="14" xr3:uid="{EC6F3686-CB9F-4EC4-9F85-54AE93DAB23D}" uniqueName="14" name="Economy_GDP_per_Capita" queryTableFieldId="14"/>
    <tableColumn id="15" xr3:uid="{BC92B2F0-D4E2-46A0-8733-0724283A1CBC}" uniqueName="15" name="Family" queryTableFieldId="15"/>
    <tableColumn id="16" xr3:uid="{EBEEBEE4-80D8-48D5-8B21-E8256CA46AEF}" uniqueName="16" name="Health_Life_Expectancy" queryTableFieldId="16"/>
    <tableColumn id="17" xr3:uid="{F12EB933-06AD-4EAF-B091-0069E9FED2F9}" uniqueName="17" name="Freedom" queryTableFieldId="17"/>
    <tableColumn id="8" xr3:uid="{42C8D8F4-976A-4F5C-AFD3-0E1B6A6DBE2C}" uniqueName="8" name="Generosity" queryTableFieldId="8"/>
    <tableColumn id="18" xr3:uid="{A69E65F0-DECA-4360-B30B-A3C23958E443}" uniqueName="18" name="Trust_Government_Corruption" queryTableFieldId="18" dataDxf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B42798-5547-4603-8F44-2518777CC57F}" name="_2019" displayName="_2019" ref="A1:J157" tableType="queryTable" totalsRowShown="0">
  <autoFilter ref="A1:J157" xr:uid="{97B42798-5547-4603-8F44-2518777CC57F}"/>
  <tableColumns count="10">
    <tableColumn id="10" xr3:uid="{B9AA3ADB-7464-4B80-934A-3660C754D780}" uniqueName="10" name="Year" queryTableFieldId="10"/>
    <tableColumn id="11" xr3:uid="{4126A3B9-26F0-43E1-A5BB-7F43619F4949}" uniqueName="11" name="Happiness_Rank" queryTableFieldId="11"/>
    <tableColumn id="12" xr3:uid="{CCA45CCB-F1AD-49AE-A2AF-1DBF7DA22C46}" uniqueName="12" name="Country" queryTableFieldId="12"/>
    <tableColumn id="13" xr3:uid="{48F18BEA-E7CB-45A0-9AB8-64C37E5546BA}" uniqueName="13" name="Happiness_Score" queryTableFieldId="13"/>
    <tableColumn id="14" xr3:uid="{3D35B1C0-31DD-4CCF-ADED-E5923A7676D2}" uniqueName="14" name="Economy_GDP_per_Capita" queryTableFieldId="14"/>
    <tableColumn id="15" xr3:uid="{777F4FA4-8067-48C7-AC1D-1A8B0C94D6AF}" uniqueName="15" name="Family" queryTableFieldId="15"/>
    <tableColumn id="16" xr3:uid="{A12E2C58-833C-4BC4-A3C0-88A4A8DC61B3}" uniqueName="16" name="Health_Life_Expectancy" queryTableFieldId="16"/>
    <tableColumn id="17" xr3:uid="{9309CE80-0A53-49CA-AE92-EB353DD35242}" uniqueName="17" name="Freedom" queryTableFieldId="17"/>
    <tableColumn id="8" xr3:uid="{8EAE4530-49CE-487F-86FD-513D875AF7B8}" uniqueName="8" name="Generosity" queryTableFieldId="8"/>
    <tableColumn id="18" xr3:uid="{E408005D-3F1B-4F85-BFBC-1D83C5D8340A}" uniqueName="18" name="Trust_Government_Corruption"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4470-8D6B-47DC-9A60-AE874CDD17D2}">
  <dimension ref="A1:B13"/>
  <sheetViews>
    <sheetView workbookViewId="0">
      <selection activeCell="F32" sqref="F32"/>
    </sheetView>
  </sheetViews>
  <sheetFormatPr defaultRowHeight="15" x14ac:dyDescent="0.25"/>
  <cols>
    <col min="1" max="1" width="12.5703125" bestFit="1" customWidth="1"/>
    <col min="2" max="2" width="30.140625" style="5" bestFit="1" customWidth="1"/>
  </cols>
  <sheetData>
    <row r="1" spans="1:2" x14ac:dyDescent="0.25">
      <c r="A1" s="1" t="s">
        <v>296</v>
      </c>
      <c r="B1" s="4">
        <v>2017</v>
      </c>
    </row>
    <row r="3" spans="1:2" x14ac:dyDescent="0.25">
      <c r="A3" s="1" t="s">
        <v>0</v>
      </c>
      <c r="B3" s="5" t="s">
        <v>311</v>
      </c>
    </row>
    <row r="4" spans="1:2" x14ac:dyDescent="0.25">
      <c r="A4" s="2" t="s">
        <v>8</v>
      </c>
      <c r="B4" s="5">
        <v>75.370001792907686</v>
      </c>
    </row>
    <row r="5" spans="1:2" x14ac:dyDescent="0.25">
      <c r="A5" s="2" t="s">
        <v>7</v>
      </c>
      <c r="B5" s="5">
        <v>75.219998359680204</v>
      </c>
    </row>
    <row r="6" spans="1:2" x14ac:dyDescent="0.25">
      <c r="A6" s="2" t="s">
        <v>6</v>
      </c>
      <c r="B6" s="5">
        <v>75.040001869201689</v>
      </c>
    </row>
    <row r="7" spans="1:2" x14ac:dyDescent="0.25">
      <c r="A7" s="2" t="s">
        <v>4</v>
      </c>
      <c r="B7" s="5">
        <v>74.939999580383301</v>
      </c>
    </row>
    <row r="8" spans="1:2" x14ac:dyDescent="0.25">
      <c r="A8" s="2" t="s">
        <v>11</v>
      </c>
      <c r="B8" s="5">
        <v>74.689998626709013</v>
      </c>
    </row>
    <row r="9" spans="1:2" x14ac:dyDescent="0.25">
      <c r="A9" s="2" t="s">
        <v>12</v>
      </c>
      <c r="B9" s="5">
        <v>73.769998550415011</v>
      </c>
    </row>
    <row r="10" spans="1:2" x14ac:dyDescent="0.25">
      <c r="A10" s="2" t="s">
        <v>9</v>
      </c>
      <c r="B10" s="5">
        <v>73.159999847412095</v>
      </c>
    </row>
    <row r="11" spans="1:2" x14ac:dyDescent="0.25">
      <c r="A11" s="2" t="s">
        <v>14</v>
      </c>
      <c r="B11" s="5">
        <v>73.140001296997099</v>
      </c>
    </row>
    <row r="12" spans="1:2" x14ac:dyDescent="0.25">
      <c r="A12" s="2" t="s">
        <v>16</v>
      </c>
      <c r="B12" s="5">
        <v>72.839999198913603</v>
      </c>
    </row>
    <row r="13" spans="1:2" x14ac:dyDescent="0.25">
      <c r="A13" s="2" t="s">
        <v>13</v>
      </c>
      <c r="B13" s="5">
        <v>72.839999198913603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1B57-66E4-42EB-B856-67BDE23C2981}">
  <dimension ref="A1:B14"/>
  <sheetViews>
    <sheetView workbookViewId="0">
      <selection activeCell="B10" sqref="B10"/>
    </sheetView>
  </sheetViews>
  <sheetFormatPr defaultRowHeight="15" x14ac:dyDescent="0.25"/>
  <cols>
    <col min="1" max="1" width="13.140625" bestFit="1" customWidth="1"/>
    <col min="2" max="2" width="30.140625" style="5" bestFit="1" customWidth="1"/>
  </cols>
  <sheetData>
    <row r="1" spans="1:2" x14ac:dyDescent="0.25">
      <c r="A1" s="1" t="s">
        <v>296</v>
      </c>
      <c r="B1" s="4">
        <v>2016</v>
      </c>
    </row>
    <row r="3" spans="1:2" x14ac:dyDescent="0.25">
      <c r="A3" s="1" t="s">
        <v>302</v>
      </c>
      <c r="B3" s="5" t="s">
        <v>311</v>
      </c>
    </row>
    <row r="4" spans="1:2" x14ac:dyDescent="0.25">
      <c r="A4" s="2" t="s">
        <v>170</v>
      </c>
      <c r="B4" s="5">
        <v>29.05</v>
      </c>
    </row>
    <row r="5" spans="1:2" x14ac:dyDescent="0.25">
      <c r="A5" s="2" t="s">
        <v>169</v>
      </c>
      <c r="B5" s="5">
        <v>30.689999999999998</v>
      </c>
    </row>
    <row r="6" spans="1:2" x14ac:dyDescent="0.25">
      <c r="A6" s="2" t="s">
        <v>171</v>
      </c>
      <c r="B6" s="5">
        <v>33.03</v>
      </c>
    </row>
    <row r="7" spans="1:2" x14ac:dyDescent="0.25">
      <c r="A7" s="2" t="s">
        <v>166</v>
      </c>
      <c r="B7" s="5">
        <v>33.6</v>
      </c>
    </row>
    <row r="8" spans="1:2" x14ac:dyDescent="0.25">
      <c r="A8" s="2" t="s">
        <v>168</v>
      </c>
      <c r="B8" s="5">
        <v>34.839999999999996</v>
      </c>
    </row>
    <row r="9" spans="1:2" x14ac:dyDescent="0.25">
      <c r="A9" s="2" t="s">
        <v>167</v>
      </c>
      <c r="B9" s="5">
        <v>35.15</v>
      </c>
    </row>
    <row r="10" spans="1:2" x14ac:dyDescent="0.25">
      <c r="A10" s="2" t="s">
        <v>163</v>
      </c>
      <c r="B10" s="5">
        <v>36.070000000000007</v>
      </c>
    </row>
    <row r="11" spans="1:2" x14ac:dyDescent="0.25">
      <c r="A11" s="2" t="s">
        <v>129</v>
      </c>
      <c r="B11" s="5">
        <v>36.22</v>
      </c>
    </row>
    <row r="12" spans="1:2" x14ac:dyDescent="0.25">
      <c r="A12" s="2" t="s">
        <v>159</v>
      </c>
      <c r="B12" s="5">
        <v>36.659999999999997</v>
      </c>
    </row>
    <row r="13" spans="1:2" x14ac:dyDescent="0.25">
      <c r="A13" s="2" t="s">
        <v>160</v>
      </c>
      <c r="B13" s="5">
        <v>36.950000000000003</v>
      </c>
    </row>
    <row r="14" spans="1:2" x14ac:dyDescent="0.25">
      <c r="A14" s="2" t="s">
        <v>303</v>
      </c>
      <c r="B14" s="5">
        <v>34.225999999999999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52C-31C2-44BA-967E-2470EE54A8BE}">
  <dimension ref="A3:B8"/>
  <sheetViews>
    <sheetView workbookViewId="0">
      <selection activeCell="S15" sqref="S15"/>
    </sheetView>
  </sheetViews>
  <sheetFormatPr defaultRowHeight="15" x14ac:dyDescent="0.25"/>
  <cols>
    <col min="1" max="1" width="13.140625" bestFit="1" customWidth="1"/>
    <col min="2" max="2" width="30.140625" style="5" bestFit="1" customWidth="1"/>
  </cols>
  <sheetData>
    <row r="3" spans="1:2" x14ac:dyDescent="0.25">
      <c r="A3" s="1" t="s">
        <v>296</v>
      </c>
      <c r="B3" s="5" t="s">
        <v>311</v>
      </c>
    </row>
    <row r="4" spans="1:2" x14ac:dyDescent="0.25">
      <c r="A4" s="2">
        <v>2015</v>
      </c>
      <c r="B4" s="5">
        <v>53.757341772151861</v>
      </c>
    </row>
    <row r="5" spans="1:2" x14ac:dyDescent="0.25">
      <c r="A5" s="2">
        <v>2016</v>
      </c>
      <c r="B5" s="5">
        <v>53.821847133757963</v>
      </c>
    </row>
    <row r="6" spans="1:2" x14ac:dyDescent="0.25">
      <c r="A6" s="2">
        <v>2017</v>
      </c>
      <c r="B6" s="5">
        <v>53.540193557739258</v>
      </c>
    </row>
    <row r="7" spans="1:2" x14ac:dyDescent="0.25">
      <c r="A7" s="2">
        <v>2018</v>
      </c>
      <c r="B7" s="5">
        <v>53.759166666666644</v>
      </c>
    </row>
    <row r="8" spans="1:2" x14ac:dyDescent="0.25">
      <c r="A8" s="2">
        <v>2019</v>
      </c>
      <c r="B8" s="5">
        <v>54.070961538461511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FF49-9357-4B46-87EB-8A3556F0A4F0}">
  <dimension ref="A3:I49"/>
  <sheetViews>
    <sheetView workbookViewId="0">
      <selection activeCell="H29" sqref="H29"/>
    </sheetView>
  </sheetViews>
  <sheetFormatPr defaultRowHeight="15" x14ac:dyDescent="0.25"/>
  <cols>
    <col min="1" max="1" width="42.7109375" bestFit="1" customWidth="1"/>
    <col min="2" max="2" width="16.28515625" style="5" bestFit="1" customWidth="1"/>
    <col min="3" max="6" width="6" style="5" bestFit="1" customWidth="1"/>
    <col min="7" max="7" width="12" style="5" bestFit="1" customWidth="1"/>
    <col min="8" max="9" width="42.85546875" style="5" bestFit="1" customWidth="1"/>
    <col min="10" max="25" width="42.85546875" bestFit="1" customWidth="1"/>
    <col min="26" max="26" width="31" bestFit="1" customWidth="1"/>
    <col min="27" max="27" width="35.140625" bestFit="1" customWidth="1"/>
    <col min="28" max="28" width="27.85546875" bestFit="1" customWidth="1"/>
    <col min="29" max="29" width="47.85546875" bestFit="1" customWidth="1"/>
    <col min="30" max="30" width="29.85546875" bestFit="1" customWidth="1"/>
    <col min="31" max="35" width="42.85546875" bestFit="1" customWidth="1"/>
    <col min="36" max="36" width="35.140625" bestFit="1" customWidth="1"/>
    <col min="37" max="37" width="43.85546875" bestFit="1" customWidth="1"/>
    <col min="38" max="38" width="25.7109375" bestFit="1" customWidth="1"/>
    <col min="39" max="39" width="41.28515625" bestFit="1" customWidth="1"/>
    <col min="40" max="40" width="27.85546875" bestFit="1" customWidth="1"/>
    <col min="41" max="41" width="47.85546875" bestFit="1" customWidth="1"/>
    <col min="42" max="42" width="29.85546875" bestFit="1" customWidth="1"/>
  </cols>
  <sheetData>
    <row r="3" spans="1:9" x14ac:dyDescent="0.25">
      <c r="B3" s="1" t="s">
        <v>318</v>
      </c>
      <c r="C3"/>
      <c r="D3"/>
      <c r="E3"/>
      <c r="F3"/>
      <c r="G3"/>
      <c r="H3"/>
      <c r="I3"/>
    </row>
    <row r="4" spans="1:9" x14ac:dyDescent="0.25">
      <c r="A4" s="1" t="s">
        <v>319</v>
      </c>
      <c r="B4" s="9">
        <v>2015</v>
      </c>
      <c r="C4" s="9">
        <v>2016</v>
      </c>
      <c r="D4" s="9">
        <v>2017</v>
      </c>
      <c r="E4" s="9">
        <v>2018</v>
      </c>
      <c r="F4" s="9">
        <v>2019</v>
      </c>
      <c r="G4" t="s">
        <v>303</v>
      </c>
      <c r="H4"/>
      <c r="I4"/>
    </row>
    <row r="5" spans="1:9" x14ac:dyDescent="0.25">
      <c r="A5" s="2" t="s">
        <v>311</v>
      </c>
      <c r="B5" s="6">
        <v>46.94</v>
      </c>
      <c r="C5" s="6">
        <v>46.429999999999993</v>
      </c>
      <c r="D5" s="6">
        <v>46.079998016357408</v>
      </c>
      <c r="E5" s="6">
        <v>45</v>
      </c>
      <c r="F5" s="6">
        <v>44.56</v>
      </c>
      <c r="G5" s="6">
        <v>45.801999603271483</v>
      </c>
      <c r="H5"/>
      <c r="I5"/>
    </row>
    <row r="6" spans="1:9" x14ac:dyDescent="0.25">
      <c r="A6" s="2" t="s">
        <v>312</v>
      </c>
      <c r="B6" s="6">
        <v>19.8765</v>
      </c>
      <c r="C6" s="6">
        <v>27.0885</v>
      </c>
      <c r="D6" s="6">
        <v>29.334148764610301</v>
      </c>
      <c r="E6" s="6">
        <v>26.6</v>
      </c>
      <c r="F6" s="6">
        <v>28.1</v>
      </c>
      <c r="G6" s="6">
        <v>26.199829752922064</v>
      </c>
      <c r="H6"/>
      <c r="I6"/>
    </row>
    <row r="7" spans="1:9" x14ac:dyDescent="0.25">
      <c r="A7" s="2" t="s">
        <v>313</v>
      </c>
      <c r="B7" s="6">
        <v>21.553000000000001</v>
      </c>
      <c r="C7" s="6">
        <v>12.374499999999999</v>
      </c>
      <c r="D7" s="6">
        <v>36.756587028503404</v>
      </c>
      <c r="E7" s="6">
        <v>42.5</v>
      </c>
      <c r="F7" s="6">
        <v>46.400000000000006</v>
      </c>
      <c r="G7" s="6">
        <v>31.91681740570068</v>
      </c>
      <c r="H7"/>
      <c r="I7"/>
    </row>
    <row r="8" spans="1:9" x14ac:dyDescent="0.25">
      <c r="A8" s="2" t="s">
        <v>314</v>
      </c>
      <c r="B8" s="6">
        <v>30.081999999999997</v>
      </c>
      <c r="C8" s="6">
        <v>26.494499999999999</v>
      </c>
      <c r="D8" s="6">
        <v>26.66205167770385</v>
      </c>
      <c r="E8" s="6">
        <v>28.95</v>
      </c>
      <c r="F8" s="6">
        <v>36.15</v>
      </c>
      <c r="G8" s="6">
        <v>29.667710335540768</v>
      </c>
      <c r="H8"/>
      <c r="I8"/>
    </row>
    <row r="32" spans="2:9" x14ac:dyDescent="0.25">
      <c r="B32" s="1" t="s">
        <v>318</v>
      </c>
      <c r="C32"/>
      <c r="D32"/>
      <c r="E32"/>
      <c r="F32"/>
      <c r="G32"/>
      <c r="H32"/>
      <c r="I32"/>
    </row>
    <row r="33" spans="1:9" x14ac:dyDescent="0.25">
      <c r="A33" s="1" t="s">
        <v>319</v>
      </c>
      <c r="B33">
        <v>2015</v>
      </c>
      <c r="C33">
        <v>2016</v>
      </c>
      <c r="D33">
        <v>2017</v>
      </c>
      <c r="E33">
        <v>2018</v>
      </c>
      <c r="F33">
        <v>2019</v>
      </c>
      <c r="G33"/>
      <c r="H33"/>
      <c r="I33"/>
    </row>
    <row r="34" spans="1:9" x14ac:dyDescent="0.25">
      <c r="A34" s="2" t="s">
        <v>315</v>
      </c>
      <c r="B34" s="8">
        <v>0.40820000000000001</v>
      </c>
      <c r="C34" s="8">
        <v>0.39778000000000002</v>
      </c>
      <c r="D34" s="8">
        <v>0.47835665941238398</v>
      </c>
      <c r="E34" s="8">
        <v>0.57999999999999996</v>
      </c>
      <c r="F34" s="8">
        <v>0.52700000000000002</v>
      </c>
      <c r="G34"/>
      <c r="H34"/>
      <c r="I34"/>
    </row>
    <row r="35" spans="1:9" x14ac:dyDescent="0.25">
      <c r="A35" s="2" t="s">
        <v>316</v>
      </c>
      <c r="B35" s="8">
        <v>0.12569</v>
      </c>
      <c r="C35" s="8">
        <v>0.12583</v>
      </c>
      <c r="D35" s="8">
        <v>0.123717859387398</v>
      </c>
      <c r="E35" s="8">
        <v>0.14399999999999999</v>
      </c>
      <c r="F35" s="8">
        <v>0.14299999999999999</v>
      </c>
      <c r="G35"/>
      <c r="H35"/>
      <c r="I35"/>
    </row>
    <row r="36" spans="1:9" x14ac:dyDescent="0.25">
      <c r="A36" s="2" t="s">
        <v>317</v>
      </c>
      <c r="B36" s="8">
        <v>0</v>
      </c>
      <c r="C36" s="8">
        <v>0.19131999999999999</v>
      </c>
      <c r="D36" s="8">
        <v>0.17225535213947299</v>
      </c>
      <c r="E36" s="8">
        <v>0.153</v>
      </c>
      <c r="F36" s="8">
        <v>0.16600000000000001</v>
      </c>
      <c r="G36"/>
    </row>
    <row r="37" spans="1:9" x14ac:dyDescent="0.25">
      <c r="B37"/>
      <c r="C37"/>
      <c r="D37"/>
      <c r="E37"/>
      <c r="F37"/>
      <c r="G37"/>
    </row>
    <row r="38" spans="1:9" x14ac:dyDescent="0.25">
      <c r="B38"/>
      <c r="C38"/>
      <c r="D38"/>
      <c r="E38"/>
      <c r="F38"/>
      <c r="G38"/>
    </row>
    <row r="39" spans="1:9" x14ac:dyDescent="0.25">
      <c r="B39"/>
      <c r="C39"/>
    </row>
    <row r="40" spans="1:9" x14ac:dyDescent="0.25">
      <c r="B40"/>
      <c r="C40"/>
    </row>
    <row r="41" spans="1:9" x14ac:dyDescent="0.25">
      <c r="B41"/>
      <c r="C41"/>
    </row>
    <row r="42" spans="1:9" x14ac:dyDescent="0.25">
      <c r="B42"/>
      <c r="C42"/>
    </row>
    <row r="43" spans="1:9" x14ac:dyDescent="0.25">
      <c r="B43"/>
      <c r="C43"/>
    </row>
    <row r="44" spans="1:9" x14ac:dyDescent="0.25">
      <c r="B44"/>
      <c r="C44"/>
    </row>
    <row r="45" spans="1:9" x14ac:dyDescent="0.25">
      <c r="B45"/>
      <c r="C45"/>
    </row>
    <row r="46" spans="1:9" x14ac:dyDescent="0.25">
      <c r="B46"/>
      <c r="C46"/>
    </row>
    <row r="47" spans="1:9" x14ac:dyDescent="0.25">
      <c r="B47"/>
      <c r="C47"/>
    </row>
    <row r="48" spans="1:9" x14ac:dyDescent="0.25">
      <c r="B48"/>
      <c r="C48"/>
    </row>
    <row r="49" spans="2:3" x14ac:dyDescent="0.25">
      <c r="B49"/>
      <c r="C49"/>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170F-49FD-4FD1-9E33-D4D93185E72D}">
  <dimension ref="A1:C159"/>
  <sheetViews>
    <sheetView topLeftCell="A132" workbookViewId="0">
      <selection activeCell="A151" sqref="A3:C159"/>
    </sheetView>
  </sheetViews>
  <sheetFormatPr defaultRowHeight="15" x14ac:dyDescent="0.25"/>
  <cols>
    <col min="1" max="1" width="22.7109375" bestFit="1" customWidth="1"/>
    <col min="2" max="2" width="30.140625" bestFit="1" customWidth="1"/>
    <col min="3" max="3" width="38.85546875" bestFit="1" customWidth="1"/>
  </cols>
  <sheetData>
    <row r="1" spans="1:3" x14ac:dyDescent="0.25">
      <c r="A1" s="1" t="s">
        <v>296</v>
      </c>
      <c r="B1" s="2">
        <v>2019</v>
      </c>
    </row>
    <row r="3" spans="1:3" x14ac:dyDescent="0.25">
      <c r="A3" s="1" t="s">
        <v>302</v>
      </c>
      <c r="B3" t="s">
        <v>311</v>
      </c>
      <c r="C3" t="s">
        <v>312</v>
      </c>
    </row>
    <row r="4" spans="1:3" x14ac:dyDescent="0.25">
      <c r="A4" s="2" t="s">
        <v>166</v>
      </c>
      <c r="B4" s="6">
        <v>32.03</v>
      </c>
      <c r="C4" s="6">
        <v>17.5</v>
      </c>
    </row>
    <row r="5" spans="1:3" x14ac:dyDescent="0.25">
      <c r="A5" s="2" t="s">
        <v>108</v>
      </c>
      <c r="B5" s="6">
        <v>47.190000000000005</v>
      </c>
      <c r="C5" s="6">
        <v>47.349999999999994</v>
      </c>
    </row>
    <row r="6" spans="1:3" x14ac:dyDescent="0.25">
      <c r="A6" s="2" t="s">
        <v>79</v>
      </c>
      <c r="B6" s="6">
        <v>52.11</v>
      </c>
      <c r="C6" s="6">
        <v>50.1</v>
      </c>
    </row>
    <row r="7" spans="1:3" x14ac:dyDescent="0.25">
      <c r="A7" s="2" t="s">
        <v>39</v>
      </c>
      <c r="B7" s="6">
        <v>60.86</v>
      </c>
      <c r="C7" s="6">
        <v>54.6</v>
      </c>
    </row>
    <row r="8" spans="1:3" x14ac:dyDescent="0.25">
      <c r="A8" s="2" t="s">
        <v>140</v>
      </c>
      <c r="B8" s="6">
        <v>45.59</v>
      </c>
      <c r="C8" s="6">
        <v>42.5</v>
      </c>
    </row>
    <row r="9" spans="1:3" x14ac:dyDescent="0.25">
      <c r="A9" s="2" t="s">
        <v>16</v>
      </c>
      <c r="B9" s="6">
        <v>72.28</v>
      </c>
      <c r="C9" s="6">
        <v>68.600000000000009</v>
      </c>
    </row>
    <row r="10" spans="1:3" x14ac:dyDescent="0.25">
      <c r="A10" s="2" t="s">
        <v>21</v>
      </c>
      <c r="B10" s="6">
        <v>72.460000000000008</v>
      </c>
      <c r="C10" s="6">
        <v>68.8</v>
      </c>
    </row>
    <row r="11" spans="1:3" x14ac:dyDescent="0.25">
      <c r="A11" s="2" t="s">
        <v>93</v>
      </c>
      <c r="B11" s="6">
        <v>52.080000000000005</v>
      </c>
      <c r="C11" s="6">
        <v>52.15</v>
      </c>
    </row>
    <row r="12" spans="1:3" x14ac:dyDescent="0.25">
      <c r="A12" s="2" t="s">
        <v>60</v>
      </c>
      <c r="B12" s="6">
        <v>61.989999999999995</v>
      </c>
      <c r="C12" s="6">
        <v>68.100000000000009</v>
      </c>
    </row>
    <row r="13" spans="1:3" x14ac:dyDescent="0.25">
      <c r="A13" s="2" t="s">
        <v>122</v>
      </c>
      <c r="B13" s="6">
        <v>44.56</v>
      </c>
      <c r="C13" s="6">
        <v>28.1</v>
      </c>
    </row>
    <row r="14" spans="1:3" x14ac:dyDescent="0.25">
      <c r="A14" s="2" t="s">
        <v>70</v>
      </c>
      <c r="B14" s="6">
        <v>53.230000000000004</v>
      </c>
      <c r="C14" s="6">
        <v>53.349999999999994</v>
      </c>
    </row>
    <row r="15" spans="1:3" x14ac:dyDescent="0.25">
      <c r="A15" s="2" t="s">
        <v>27</v>
      </c>
      <c r="B15" s="6">
        <v>69.22999999999999</v>
      </c>
      <c r="C15" s="6">
        <v>67.800000000000011</v>
      </c>
    </row>
    <row r="16" spans="1:3" x14ac:dyDescent="0.25">
      <c r="A16" s="2" t="s">
        <v>168</v>
      </c>
      <c r="B16" s="6">
        <v>48.83</v>
      </c>
      <c r="C16" s="6">
        <v>19.650000000000002</v>
      </c>
    </row>
    <row r="17" spans="1:3" x14ac:dyDescent="0.25">
      <c r="A17" s="2" t="s">
        <v>91</v>
      </c>
      <c r="B17" s="6">
        <v>50.82</v>
      </c>
      <c r="C17" s="6">
        <v>40.65</v>
      </c>
    </row>
    <row r="18" spans="1:3" x14ac:dyDescent="0.25">
      <c r="A18" s="2" t="s">
        <v>62</v>
      </c>
      <c r="B18" s="6">
        <v>57.79</v>
      </c>
      <c r="C18" s="6">
        <v>38.800000000000004</v>
      </c>
    </row>
    <row r="19" spans="1:3" x14ac:dyDescent="0.25">
      <c r="A19" s="2" t="s">
        <v>109</v>
      </c>
      <c r="B19" s="6">
        <v>53.86</v>
      </c>
      <c r="C19" s="6">
        <v>47.25</v>
      </c>
    </row>
    <row r="20" spans="1:3" x14ac:dyDescent="0.25">
      <c r="A20" s="2" t="s">
        <v>141</v>
      </c>
      <c r="B20" s="6">
        <v>34.880000000000003</v>
      </c>
      <c r="C20" s="6">
        <v>52.05</v>
      </c>
    </row>
    <row r="21" spans="1:3" x14ac:dyDescent="0.25">
      <c r="A21" s="2" t="s">
        <v>24</v>
      </c>
      <c r="B21" s="6">
        <v>63</v>
      </c>
      <c r="C21" s="6">
        <v>50.2</v>
      </c>
    </row>
    <row r="22" spans="1:3" x14ac:dyDescent="0.25">
      <c r="A22" s="2" t="s">
        <v>147</v>
      </c>
      <c r="B22" s="6">
        <v>50.11</v>
      </c>
      <c r="C22" s="6">
        <v>54.6</v>
      </c>
    </row>
    <row r="23" spans="1:3" x14ac:dyDescent="0.25">
      <c r="A23" s="2" t="s">
        <v>165</v>
      </c>
      <c r="B23" s="6">
        <v>45.87</v>
      </c>
      <c r="C23" s="6">
        <v>16.55</v>
      </c>
    </row>
    <row r="24" spans="1:3" x14ac:dyDescent="0.25">
      <c r="A24" s="2" t="s">
        <v>170</v>
      </c>
      <c r="B24" s="6">
        <v>37.75</v>
      </c>
      <c r="C24" s="6">
        <v>2.2999999999999998</v>
      </c>
    </row>
    <row r="25" spans="1:3" x14ac:dyDescent="0.25">
      <c r="A25" s="2" t="s">
        <v>158</v>
      </c>
      <c r="B25" s="6">
        <v>47</v>
      </c>
      <c r="C25" s="6">
        <v>28.7</v>
      </c>
    </row>
    <row r="26" spans="1:3" x14ac:dyDescent="0.25">
      <c r="A26" s="2" t="s">
        <v>146</v>
      </c>
      <c r="B26" s="6">
        <v>50.44</v>
      </c>
      <c r="C26" s="6">
        <v>27.450000000000003</v>
      </c>
    </row>
    <row r="27" spans="1:3" x14ac:dyDescent="0.25">
      <c r="A27" s="2" t="s">
        <v>9</v>
      </c>
      <c r="B27" s="6">
        <v>72.78</v>
      </c>
      <c r="C27" s="6">
        <v>68.25</v>
      </c>
    </row>
    <row r="28" spans="1:3" x14ac:dyDescent="0.25">
      <c r="A28" s="2" t="s">
        <v>161</v>
      </c>
      <c r="B28" s="6">
        <v>30.830000000000002</v>
      </c>
      <c r="C28" s="6">
        <v>1.3</v>
      </c>
    </row>
    <row r="29" spans="1:3" x14ac:dyDescent="0.25">
      <c r="A29" s="2" t="s">
        <v>162</v>
      </c>
      <c r="B29" s="6">
        <v>43.499999999999993</v>
      </c>
      <c r="C29" s="6">
        <v>17.5</v>
      </c>
    </row>
    <row r="30" spans="1:3" x14ac:dyDescent="0.25">
      <c r="A30" s="2" t="s">
        <v>36</v>
      </c>
      <c r="B30" s="6">
        <v>64.44</v>
      </c>
      <c r="C30" s="6">
        <v>57.95</v>
      </c>
    </row>
    <row r="31" spans="1:3" x14ac:dyDescent="0.25">
      <c r="A31" s="2" t="s">
        <v>97</v>
      </c>
      <c r="B31" s="6">
        <v>51.910000000000004</v>
      </c>
      <c r="C31" s="6">
        <v>51.449999999999996</v>
      </c>
    </row>
    <row r="32" spans="1:3" x14ac:dyDescent="0.25">
      <c r="A32" s="2" t="s">
        <v>43</v>
      </c>
      <c r="B32" s="6">
        <v>61.25</v>
      </c>
      <c r="C32" s="6">
        <v>49.25</v>
      </c>
    </row>
    <row r="33" spans="1:3" x14ac:dyDescent="0.25">
      <c r="A33" s="2" t="s">
        <v>153</v>
      </c>
      <c r="B33" s="6">
        <v>39.730000000000004</v>
      </c>
      <c r="C33" s="6">
        <v>13.700000000000001</v>
      </c>
    </row>
    <row r="34" spans="1:3" x14ac:dyDescent="0.25">
      <c r="A34" s="2" t="s">
        <v>152</v>
      </c>
      <c r="B34" s="6">
        <v>48.120000000000005</v>
      </c>
      <c r="C34" s="6">
        <v>33.650000000000006</v>
      </c>
    </row>
    <row r="35" spans="1:3" x14ac:dyDescent="0.25">
      <c r="A35" s="2" t="s">
        <v>133</v>
      </c>
      <c r="B35" s="6">
        <v>44.18</v>
      </c>
      <c r="C35" s="6">
        <v>4.7</v>
      </c>
    </row>
    <row r="36" spans="1:3" x14ac:dyDescent="0.25">
      <c r="A36" s="2" t="s">
        <v>19</v>
      </c>
      <c r="B36" s="6">
        <v>71.669999999999987</v>
      </c>
      <c r="C36" s="6">
        <v>51.7</v>
      </c>
    </row>
    <row r="37" spans="1:3" x14ac:dyDescent="0.25">
      <c r="A37" s="2" t="s">
        <v>73</v>
      </c>
      <c r="B37" s="6">
        <v>54.320000000000007</v>
      </c>
      <c r="C37" s="6">
        <v>57.75</v>
      </c>
    </row>
    <row r="38" spans="1:3" x14ac:dyDescent="0.25">
      <c r="A38" s="2" t="s">
        <v>78</v>
      </c>
      <c r="B38" s="6">
        <v>60.46</v>
      </c>
      <c r="C38" s="6">
        <v>63.149999999999991</v>
      </c>
    </row>
    <row r="39" spans="1:3" x14ac:dyDescent="0.25">
      <c r="A39" s="2" t="s">
        <v>40</v>
      </c>
      <c r="B39" s="6">
        <v>68.52000000000001</v>
      </c>
      <c r="C39" s="6">
        <v>63.449999999999996</v>
      </c>
    </row>
    <row r="40" spans="1:3" x14ac:dyDescent="0.25">
      <c r="A40" s="2" t="s">
        <v>7</v>
      </c>
      <c r="B40" s="6">
        <v>76</v>
      </c>
      <c r="C40" s="6">
        <v>69.150000000000006</v>
      </c>
    </row>
    <row r="41" spans="1:3" x14ac:dyDescent="0.25">
      <c r="A41" s="2" t="s">
        <v>111</v>
      </c>
      <c r="B41" s="6">
        <v>54.25</v>
      </c>
      <c r="C41" s="6">
        <v>50.749999999999993</v>
      </c>
    </row>
    <row r="42" spans="1:3" x14ac:dyDescent="0.25">
      <c r="A42" s="2" t="s">
        <v>59</v>
      </c>
      <c r="B42" s="6">
        <v>60.279999999999994</v>
      </c>
      <c r="C42" s="6">
        <v>45.6</v>
      </c>
    </row>
    <row r="43" spans="1:3" x14ac:dyDescent="0.25">
      <c r="A43" s="2" t="s">
        <v>148</v>
      </c>
      <c r="B43" s="6">
        <v>41.660000000000004</v>
      </c>
      <c r="C43" s="6">
        <v>45.65</v>
      </c>
    </row>
    <row r="44" spans="1:3" x14ac:dyDescent="0.25">
      <c r="A44" s="2" t="s">
        <v>53</v>
      </c>
      <c r="B44" s="6">
        <v>62.529999999999994</v>
      </c>
      <c r="C44" s="6">
        <v>39.700000000000003</v>
      </c>
    </row>
    <row r="45" spans="1:3" x14ac:dyDescent="0.25">
      <c r="A45" s="2" t="s">
        <v>85</v>
      </c>
      <c r="B45" s="6">
        <v>58.929999999999993</v>
      </c>
      <c r="C45" s="6">
        <v>61.850000000000009</v>
      </c>
    </row>
    <row r="46" spans="1:3" x14ac:dyDescent="0.25">
      <c r="A46" s="2" t="s">
        <v>135</v>
      </c>
      <c r="B46" s="6">
        <v>42.86</v>
      </c>
      <c r="C46" s="6">
        <v>16.8</v>
      </c>
    </row>
    <row r="47" spans="1:3" x14ac:dyDescent="0.25">
      <c r="A47" s="2" t="s">
        <v>11</v>
      </c>
      <c r="B47" s="6">
        <v>77.69</v>
      </c>
      <c r="C47" s="6">
        <v>67</v>
      </c>
    </row>
    <row r="48" spans="1:3" x14ac:dyDescent="0.25">
      <c r="A48" s="2" t="s">
        <v>38</v>
      </c>
      <c r="B48" s="6">
        <v>65.919999999999987</v>
      </c>
      <c r="C48" s="6">
        <v>66.2</v>
      </c>
    </row>
    <row r="49" spans="1:3" x14ac:dyDescent="0.25">
      <c r="A49" s="2" t="s">
        <v>156</v>
      </c>
      <c r="B49" s="6">
        <v>47.99</v>
      </c>
      <c r="C49" s="6">
        <v>52.849999999999994</v>
      </c>
    </row>
    <row r="50" spans="1:3" x14ac:dyDescent="0.25">
      <c r="A50" s="2" t="s">
        <v>295</v>
      </c>
      <c r="B50" s="6">
        <v>45.160000000000004</v>
      </c>
      <c r="C50" s="6">
        <v>15.4</v>
      </c>
    </row>
    <row r="51" spans="1:3" x14ac:dyDescent="0.25">
      <c r="A51" s="2" t="s">
        <v>143</v>
      </c>
      <c r="B51" s="6">
        <v>45.190000000000005</v>
      </c>
      <c r="C51" s="6">
        <v>44.3</v>
      </c>
    </row>
    <row r="52" spans="1:3" x14ac:dyDescent="0.25">
      <c r="A52" s="2" t="s">
        <v>35</v>
      </c>
      <c r="B52" s="6">
        <v>69.849999999999994</v>
      </c>
      <c r="C52" s="6">
        <v>68.650000000000006</v>
      </c>
    </row>
    <row r="53" spans="1:3" x14ac:dyDescent="0.25">
      <c r="A53" s="2" t="s">
        <v>127</v>
      </c>
      <c r="B53" s="6">
        <v>49.96</v>
      </c>
      <c r="C53" s="6">
        <v>30.55</v>
      </c>
    </row>
    <row r="54" spans="1:3" x14ac:dyDescent="0.25">
      <c r="A54" s="2" t="s">
        <v>115</v>
      </c>
      <c r="B54" s="6">
        <v>52.870000000000005</v>
      </c>
      <c r="C54" s="6">
        <v>59.050000000000004</v>
      </c>
    </row>
    <row r="55" spans="1:3" x14ac:dyDescent="0.25">
      <c r="A55" s="2" t="s">
        <v>54</v>
      </c>
      <c r="B55" s="6">
        <v>64.36</v>
      </c>
      <c r="C55" s="6">
        <v>40</v>
      </c>
    </row>
    <row r="56" spans="1:3" x14ac:dyDescent="0.25">
      <c r="A56" s="2" t="s">
        <v>163</v>
      </c>
      <c r="B56" s="6">
        <v>45.339999999999996</v>
      </c>
      <c r="C56" s="6">
        <v>19</v>
      </c>
    </row>
    <row r="57" spans="1:3" x14ac:dyDescent="0.25">
      <c r="A57" s="2" t="s">
        <v>132</v>
      </c>
      <c r="B57" s="6">
        <v>35.97</v>
      </c>
      <c r="C57" s="6">
        <v>16.150000000000002</v>
      </c>
    </row>
    <row r="58" spans="1:3" x14ac:dyDescent="0.25">
      <c r="A58" s="2" t="s">
        <v>118</v>
      </c>
      <c r="B58" s="6">
        <v>58.6</v>
      </c>
      <c r="C58" s="6">
        <v>32.1</v>
      </c>
    </row>
    <row r="59" spans="1:3" x14ac:dyDescent="0.25">
      <c r="A59" s="2" t="s">
        <v>84</v>
      </c>
      <c r="B59" s="6">
        <v>54.3</v>
      </c>
      <c r="C59" s="6">
        <v>71.899999999999991</v>
      </c>
    </row>
    <row r="60" spans="1:3" x14ac:dyDescent="0.25">
      <c r="A60" s="2" t="s">
        <v>117</v>
      </c>
      <c r="B60" s="6">
        <v>57.58</v>
      </c>
      <c r="C60" s="6">
        <v>60.050000000000004</v>
      </c>
    </row>
    <row r="61" spans="1:3" x14ac:dyDescent="0.25">
      <c r="A61" s="2" t="s">
        <v>6</v>
      </c>
      <c r="B61" s="6">
        <v>74.94</v>
      </c>
      <c r="C61" s="6">
        <v>69</v>
      </c>
    </row>
    <row r="62" spans="1:3" x14ac:dyDescent="0.25">
      <c r="A62" s="2" t="s">
        <v>130</v>
      </c>
      <c r="B62" s="6">
        <v>40.149999999999991</v>
      </c>
      <c r="C62" s="6">
        <v>37.75</v>
      </c>
    </row>
    <row r="63" spans="1:3" x14ac:dyDescent="0.25">
      <c r="A63" s="2" t="s">
        <v>86</v>
      </c>
      <c r="B63" s="6">
        <v>51.92</v>
      </c>
      <c r="C63" s="6">
        <v>46.550000000000004</v>
      </c>
    </row>
    <row r="64" spans="1:3" x14ac:dyDescent="0.25">
      <c r="A64" s="2" t="s">
        <v>123</v>
      </c>
      <c r="B64" s="6">
        <v>45.480000000000004</v>
      </c>
      <c r="C64" s="6">
        <v>55.000000000000007</v>
      </c>
    </row>
    <row r="65" spans="1:3" x14ac:dyDescent="0.25">
      <c r="A65" s="2" t="s">
        <v>125</v>
      </c>
      <c r="B65" s="6">
        <v>44.370000000000005</v>
      </c>
      <c r="C65" s="6">
        <v>52.15</v>
      </c>
    </row>
    <row r="66" spans="1:3" x14ac:dyDescent="0.25">
      <c r="A66" s="2" t="s">
        <v>26</v>
      </c>
      <c r="B66" s="6">
        <v>70.210000000000008</v>
      </c>
      <c r="C66" s="6">
        <v>74.95</v>
      </c>
    </row>
    <row r="67" spans="1:3" x14ac:dyDescent="0.25">
      <c r="A67" s="2" t="s">
        <v>17</v>
      </c>
      <c r="B67" s="6">
        <v>71.39</v>
      </c>
      <c r="C67" s="6">
        <v>63.800000000000004</v>
      </c>
    </row>
    <row r="68" spans="1:3" x14ac:dyDescent="0.25">
      <c r="A68" s="2" t="s">
        <v>61</v>
      </c>
      <c r="B68" s="6">
        <v>62.23</v>
      </c>
      <c r="C68" s="6">
        <v>64.7</v>
      </c>
    </row>
    <row r="69" spans="1:3" x14ac:dyDescent="0.25">
      <c r="A69" s="2" t="s">
        <v>164</v>
      </c>
      <c r="B69" s="6">
        <v>49.44</v>
      </c>
      <c r="C69" s="6">
        <v>28.449999999999996</v>
      </c>
    </row>
    <row r="70" spans="1:3" x14ac:dyDescent="0.25">
      <c r="A70" s="2" t="s">
        <v>76</v>
      </c>
      <c r="B70" s="6">
        <v>58.9</v>
      </c>
      <c r="C70" s="6">
        <v>41.55</v>
      </c>
    </row>
    <row r="71" spans="1:3" x14ac:dyDescent="0.25">
      <c r="A71" s="2" t="s">
        <v>57</v>
      </c>
      <c r="B71" s="6">
        <v>58.86</v>
      </c>
      <c r="C71" s="6">
        <v>66.349999999999994</v>
      </c>
    </row>
    <row r="72" spans="1:3" x14ac:dyDescent="0.25">
      <c r="A72" s="2" t="s">
        <v>95</v>
      </c>
      <c r="B72" s="6">
        <v>49.059999999999995</v>
      </c>
      <c r="C72" s="6">
        <v>41.85</v>
      </c>
    </row>
    <row r="73" spans="1:3" x14ac:dyDescent="0.25">
      <c r="A73" s="2" t="s">
        <v>65</v>
      </c>
      <c r="B73" s="6">
        <v>58.089999999999996</v>
      </c>
      <c r="C73" s="6">
        <v>58.650000000000006</v>
      </c>
    </row>
    <row r="74" spans="1:3" x14ac:dyDescent="0.25">
      <c r="A74" s="2" t="s">
        <v>138</v>
      </c>
      <c r="B74" s="6">
        <v>45.09</v>
      </c>
      <c r="C74" s="6">
        <v>25.6</v>
      </c>
    </row>
    <row r="75" spans="1:3" x14ac:dyDescent="0.25">
      <c r="A75" s="2" t="s">
        <v>80</v>
      </c>
      <c r="B75" s="6">
        <v>61</v>
      </c>
      <c r="C75" s="6">
        <v>44.1</v>
      </c>
    </row>
    <row r="76" spans="1:3" x14ac:dyDescent="0.25">
      <c r="A76" s="2" t="s">
        <v>50</v>
      </c>
      <c r="B76" s="6">
        <v>60.21</v>
      </c>
      <c r="C76" s="6">
        <v>75</v>
      </c>
    </row>
    <row r="77" spans="1:3" x14ac:dyDescent="0.25">
      <c r="A77" s="2" t="s">
        <v>89</v>
      </c>
      <c r="B77" s="6">
        <v>52.61</v>
      </c>
      <c r="C77" s="6">
        <v>27.55</v>
      </c>
    </row>
    <row r="78" spans="1:3" x14ac:dyDescent="0.25">
      <c r="A78" s="2" t="s">
        <v>112</v>
      </c>
      <c r="B78" s="6">
        <v>47.96</v>
      </c>
      <c r="C78" s="6">
        <v>38.200000000000003</v>
      </c>
    </row>
    <row r="79" spans="1:3" x14ac:dyDescent="0.25">
      <c r="A79" s="2" t="s">
        <v>102</v>
      </c>
      <c r="B79" s="6">
        <v>59.4</v>
      </c>
      <c r="C79" s="6">
        <v>59.35</v>
      </c>
    </row>
    <row r="80" spans="1:3" x14ac:dyDescent="0.25">
      <c r="A80" s="2" t="s">
        <v>116</v>
      </c>
      <c r="B80" s="6">
        <v>51.970000000000006</v>
      </c>
      <c r="C80" s="6">
        <v>49.35</v>
      </c>
    </row>
    <row r="81" spans="1:3" x14ac:dyDescent="0.25">
      <c r="A81" s="2" t="s">
        <v>110</v>
      </c>
      <c r="B81" s="6">
        <v>38.019999999999996</v>
      </c>
      <c r="C81" s="6">
        <v>24.45</v>
      </c>
    </row>
    <row r="82" spans="1:3" x14ac:dyDescent="0.25">
      <c r="A82" s="2" t="s">
        <v>129</v>
      </c>
      <c r="B82" s="6">
        <v>39.75</v>
      </c>
      <c r="C82" s="6">
        <v>3.65</v>
      </c>
    </row>
    <row r="83" spans="1:3" x14ac:dyDescent="0.25">
      <c r="A83" s="2" t="s">
        <v>74</v>
      </c>
      <c r="B83" s="6">
        <v>55.25</v>
      </c>
      <c r="C83" s="6">
        <v>52.2</v>
      </c>
    </row>
    <row r="84" spans="1:3" x14ac:dyDescent="0.25">
      <c r="A84" s="2" t="s">
        <v>67</v>
      </c>
      <c r="B84" s="6">
        <v>61.489999999999995</v>
      </c>
      <c r="C84" s="6">
        <v>61.9</v>
      </c>
    </row>
    <row r="85" spans="1:3" x14ac:dyDescent="0.25">
      <c r="A85" s="2" t="s">
        <v>25</v>
      </c>
      <c r="B85" s="6">
        <v>70.900000000000006</v>
      </c>
      <c r="C85" s="6">
        <v>80.45</v>
      </c>
    </row>
    <row r="86" spans="1:3" x14ac:dyDescent="0.25">
      <c r="A86" s="2" t="s">
        <v>160</v>
      </c>
      <c r="B86" s="6">
        <v>39.33</v>
      </c>
      <c r="C86" s="6">
        <v>13.700000000000001</v>
      </c>
    </row>
    <row r="87" spans="1:3" x14ac:dyDescent="0.25">
      <c r="A87" s="2" t="s">
        <v>144</v>
      </c>
      <c r="B87" s="6">
        <v>34.1</v>
      </c>
      <c r="C87" s="6">
        <v>9.5500000000000007</v>
      </c>
    </row>
    <row r="88" spans="1:3" x14ac:dyDescent="0.25">
      <c r="A88" s="2" t="s">
        <v>72</v>
      </c>
      <c r="B88" s="6">
        <v>53.390000000000008</v>
      </c>
      <c r="C88" s="6">
        <v>61.050000000000004</v>
      </c>
    </row>
    <row r="89" spans="1:3" x14ac:dyDescent="0.25">
      <c r="A89" s="2" t="s">
        <v>151</v>
      </c>
      <c r="B89" s="6">
        <v>43.899999999999991</v>
      </c>
      <c r="C89" s="6">
        <v>19.25</v>
      </c>
    </row>
    <row r="90" spans="1:3" x14ac:dyDescent="0.25">
      <c r="A90" s="2" t="s">
        <v>47</v>
      </c>
      <c r="B90" s="6">
        <v>67.260000000000005</v>
      </c>
      <c r="C90" s="6">
        <v>65</v>
      </c>
    </row>
    <row r="91" spans="1:3" x14ac:dyDescent="0.25">
      <c r="A91" s="2" t="s">
        <v>137</v>
      </c>
      <c r="B91" s="6">
        <v>44.9</v>
      </c>
      <c r="C91" s="6">
        <v>28.499999999999996</v>
      </c>
    </row>
    <row r="92" spans="1:3" x14ac:dyDescent="0.25">
      <c r="A92" s="2" t="s">
        <v>82</v>
      </c>
      <c r="B92" s="6">
        <v>58.879999999999995</v>
      </c>
      <c r="C92" s="6">
        <v>56.000000000000007</v>
      </c>
    </row>
    <row r="93" spans="1:3" x14ac:dyDescent="0.25">
      <c r="A93" s="2" t="s">
        <v>22</v>
      </c>
      <c r="B93" s="6">
        <v>65.95</v>
      </c>
      <c r="C93" s="6">
        <v>53.5</v>
      </c>
    </row>
    <row r="94" spans="1:3" x14ac:dyDescent="0.25">
      <c r="A94" s="2" t="s">
        <v>63</v>
      </c>
      <c r="B94" s="6">
        <v>55.29</v>
      </c>
      <c r="C94" s="6">
        <v>34.25</v>
      </c>
    </row>
    <row r="95" spans="1:3" x14ac:dyDescent="0.25">
      <c r="A95" s="2" t="s">
        <v>113</v>
      </c>
      <c r="B95" s="6">
        <v>52.85</v>
      </c>
      <c r="C95" s="6">
        <v>47.4</v>
      </c>
    </row>
    <row r="96" spans="1:3" x14ac:dyDescent="0.25">
      <c r="A96" s="2" t="s">
        <v>96</v>
      </c>
      <c r="B96" s="6">
        <v>55.23</v>
      </c>
      <c r="C96" s="6">
        <v>52.55</v>
      </c>
    </row>
    <row r="97" spans="1:3" x14ac:dyDescent="0.25">
      <c r="A97" s="2" t="s">
        <v>105</v>
      </c>
      <c r="B97" s="6">
        <v>52.080000000000005</v>
      </c>
      <c r="C97" s="6">
        <v>40.050000000000004</v>
      </c>
    </row>
    <row r="98" spans="1:3" x14ac:dyDescent="0.25">
      <c r="A98" s="2" t="s">
        <v>107</v>
      </c>
      <c r="B98" s="6">
        <v>44.660000000000004</v>
      </c>
      <c r="C98" s="6">
        <v>10.199999999999999</v>
      </c>
    </row>
    <row r="99" spans="1:3" x14ac:dyDescent="0.25">
      <c r="A99" s="2" t="s">
        <v>142</v>
      </c>
      <c r="B99" s="6">
        <v>43.600000000000009</v>
      </c>
      <c r="C99" s="6">
        <v>35.5</v>
      </c>
    </row>
    <row r="100" spans="1:3" x14ac:dyDescent="0.25">
      <c r="A100" s="2" t="s">
        <v>177</v>
      </c>
      <c r="B100" s="6">
        <v>46.39</v>
      </c>
      <c r="C100" s="6">
        <v>43.95</v>
      </c>
    </row>
    <row r="101" spans="1:3" x14ac:dyDescent="0.25">
      <c r="A101" s="2" t="s">
        <v>134</v>
      </c>
      <c r="B101" s="6">
        <v>49.13</v>
      </c>
      <c r="C101" s="6">
        <v>22.3</v>
      </c>
    </row>
    <row r="102" spans="1:3" x14ac:dyDescent="0.25">
      <c r="A102" s="2" t="s">
        <v>12</v>
      </c>
      <c r="B102" s="6">
        <v>74.88000000000001</v>
      </c>
      <c r="C102" s="6">
        <v>69.8</v>
      </c>
    </row>
    <row r="103" spans="1:3" x14ac:dyDescent="0.25">
      <c r="A103" s="2" t="s">
        <v>14</v>
      </c>
      <c r="B103" s="6">
        <v>73.070000000000007</v>
      </c>
      <c r="C103" s="6">
        <v>65.149999999999991</v>
      </c>
    </row>
    <row r="104" spans="1:3" x14ac:dyDescent="0.25">
      <c r="A104" s="2" t="s">
        <v>68</v>
      </c>
      <c r="B104" s="6">
        <v>61.05</v>
      </c>
      <c r="C104" s="6">
        <v>34.699999999999996</v>
      </c>
    </row>
    <row r="105" spans="1:3" x14ac:dyDescent="0.25">
      <c r="A105" s="2" t="s">
        <v>157</v>
      </c>
      <c r="B105" s="6">
        <v>46.28</v>
      </c>
      <c r="C105" s="6">
        <v>6.9</v>
      </c>
    </row>
    <row r="106" spans="1:3" x14ac:dyDescent="0.25">
      <c r="A106" s="2" t="s">
        <v>90</v>
      </c>
      <c r="B106" s="6">
        <v>52.65</v>
      </c>
      <c r="C106" s="6">
        <v>34.799999999999997</v>
      </c>
    </row>
    <row r="107" spans="1:3" x14ac:dyDescent="0.25">
      <c r="A107" s="2" t="s">
        <v>294</v>
      </c>
      <c r="B107" s="6">
        <v>52.739999999999995</v>
      </c>
      <c r="C107" s="6">
        <v>49.15</v>
      </c>
    </row>
    <row r="108" spans="1:3" x14ac:dyDescent="0.25">
      <c r="A108" s="2" t="s">
        <v>237</v>
      </c>
      <c r="B108" s="6">
        <v>57.179999999999993</v>
      </c>
      <c r="C108" s="6">
        <v>63.149999999999991</v>
      </c>
    </row>
    <row r="109" spans="1:3" x14ac:dyDescent="0.25">
      <c r="A109" s="2" t="s">
        <v>8</v>
      </c>
      <c r="B109" s="6">
        <v>75.539999999999992</v>
      </c>
      <c r="C109" s="6">
        <v>74.400000000000006</v>
      </c>
    </row>
    <row r="110" spans="1:3" x14ac:dyDescent="0.25">
      <c r="A110" s="2" t="s">
        <v>94</v>
      </c>
      <c r="B110" s="6">
        <v>56.529999999999994</v>
      </c>
      <c r="C110" s="6">
        <v>33.85</v>
      </c>
    </row>
    <row r="111" spans="1:3" x14ac:dyDescent="0.25">
      <c r="A111" s="2" t="s">
        <v>121</v>
      </c>
      <c r="B111" s="6">
        <v>46.959999999999994</v>
      </c>
      <c r="C111" s="6">
        <v>32.85</v>
      </c>
    </row>
    <row r="112" spans="1:3" x14ac:dyDescent="0.25">
      <c r="A112" s="2" t="s">
        <v>34</v>
      </c>
      <c r="B112" s="6">
        <v>63.21</v>
      </c>
      <c r="C112" s="6">
        <v>57.45</v>
      </c>
    </row>
    <row r="113" spans="1:3" x14ac:dyDescent="0.25">
      <c r="A113" s="2" t="s">
        <v>64</v>
      </c>
      <c r="B113" s="6">
        <v>57.430000000000007</v>
      </c>
      <c r="C113" s="6">
        <v>42.75</v>
      </c>
    </row>
    <row r="114" spans="1:3" x14ac:dyDescent="0.25">
      <c r="A114" s="2" t="s">
        <v>69</v>
      </c>
      <c r="B114" s="6">
        <v>56.970000000000006</v>
      </c>
      <c r="C114" s="6">
        <v>48</v>
      </c>
    </row>
    <row r="115" spans="1:3" x14ac:dyDescent="0.25">
      <c r="A115" s="2" t="s">
        <v>103</v>
      </c>
      <c r="B115" s="6">
        <v>56.31</v>
      </c>
      <c r="C115" s="6">
        <v>40.35</v>
      </c>
    </row>
    <row r="116" spans="1:3" x14ac:dyDescent="0.25">
      <c r="A116" s="2" t="s">
        <v>71</v>
      </c>
      <c r="B116" s="6">
        <v>61.820000000000007</v>
      </c>
      <c r="C116" s="6">
        <v>60.3</v>
      </c>
    </row>
    <row r="117" spans="1:3" x14ac:dyDescent="0.25">
      <c r="A117" s="2" t="s">
        <v>101</v>
      </c>
      <c r="B117" s="6">
        <v>56.929999999999993</v>
      </c>
      <c r="C117" s="6">
        <v>61.050000000000004</v>
      </c>
    </row>
    <row r="118" spans="1:3" x14ac:dyDescent="0.25">
      <c r="A118" s="2" t="s">
        <v>37</v>
      </c>
      <c r="B118" s="6">
        <v>63.739999999999995</v>
      </c>
      <c r="C118" s="6">
        <v>84.2</v>
      </c>
    </row>
    <row r="119" spans="1:3" x14ac:dyDescent="0.25">
      <c r="A119" s="2" t="s">
        <v>99</v>
      </c>
      <c r="B119" s="6">
        <v>60.7</v>
      </c>
      <c r="C119" s="6">
        <v>58.099999999999994</v>
      </c>
    </row>
    <row r="120" spans="1:3" x14ac:dyDescent="0.25">
      <c r="A120" s="2" t="s">
        <v>75</v>
      </c>
      <c r="B120" s="6">
        <v>56.48</v>
      </c>
      <c r="C120" s="6">
        <v>59.150000000000006</v>
      </c>
    </row>
    <row r="121" spans="1:3" x14ac:dyDescent="0.25">
      <c r="A121" s="2" t="s">
        <v>167</v>
      </c>
      <c r="B121" s="6">
        <v>33.340000000000003</v>
      </c>
      <c r="C121" s="6">
        <v>17.95</v>
      </c>
    </row>
    <row r="122" spans="1:3" x14ac:dyDescent="0.25">
      <c r="A122" s="2" t="s">
        <v>45</v>
      </c>
      <c r="B122" s="6">
        <v>63.75</v>
      </c>
      <c r="C122" s="6">
        <v>70.150000000000006</v>
      </c>
    </row>
    <row r="123" spans="1:3" x14ac:dyDescent="0.25">
      <c r="A123" s="2" t="s">
        <v>155</v>
      </c>
      <c r="B123" s="6">
        <v>46.81</v>
      </c>
      <c r="C123" s="6">
        <v>22.5</v>
      </c>
    </row>
    <row r="124" spans="1:3" x14ac:dyDescent="0.25">
      <c r="A124" s="2" t="s">
        <v>100</v>
      </c>
      <c r="B124" s="6">
        <v>56.029999999999994</v>
      </c>
      <c r="C124" s="6">
        <v>50.2</v>
      </c>
    </row>
    <row r="125" spans="1:3" x14ac:dyDescent="0.25">
      <c r="A125" s="2" t="s">
        <v>136</v>
      </c>
      <c r="B125" s="6">
        <v>43.739999999999995</v>
      </c>
      <c r="C125" s="6">
        <v>13.4</v>
      </c>
    </row>
    <row r="126" spans="1:3" x14ac:dyDescent="0.25">
      <c r="A126" s="2" t="s">
        <v>32</v>
      </c>
      <c r="B126" s="6">
        <v>62.61999999999999</v>
      </c>
      <c r="C126" s="6">
        <v>78.600000000000009</v>
      </c>
    </row>
    <row r="127" spans="1:3" x14ac:dyDescent="0.25">
      <c r="A127" s="2" t="s">
        <v>56</v>
      </c>
      <c r="B127" s="6">
        <v>61.980000000000004</v>
      </c>
      <c r="C127" s="6">
        <v>62.3</v>
      </c>
    </row>
    <row r="128" spans="1:3" x14ac:dyDescent="0.25">
      <c r="A128" s="2" t="s">
        <v>66</v>
      </c>
      <c r="B128" s="6">
        <v>61.180000000000007</v>
      </c>
      <c r="C128" s="6">
        <v>62.9</v>
      </c>
    </row>
    <row r="129" spans="1:3" x14ac:dyDescent="0.25">
      <c r="A129" s="2" t="s">
        <v>175</v>
      </c>
      <c r="B129" s="6">
        <v>46.68</v>
      </c>
      <c r="C129" s="6">
        <v>0</v>
      </c>
    </row>
    <row r="130" spans="1:3" x14ac:dyDescent="0.25">
      <c r="A130" s="2" t="s">
        <v>126</v>
      </c>
      <c r="B130" s="6">
        <v>47.220000000000006</v>
      </c>
      <c r="C130" s="6">
        <v>48</v>
      </c>
    </row>
    <row r="131" spans="1:3" x14ac:dyDescent="0.25">
      <c r="A131" s="2" t="s">
        <v>58</v>
      </c>
      <c r="B131" s="6">
        <v>58.95</v>
      </c>
      <c r="C131" s="6">
        <v>65.05</v>
      </c>
    </row>
    <row r="132" spans="1:3" x14ac:dyDescent="0.25">
      <c r="A132" s="2" t="s">
        <v>178</v>
      </c>
      <c r="B132" s="6">
        <v>28.53</v>
      </c>
      <c r="C132" s="6">
        <v>15.299999999999999</v>
      </c>
    </row>
    <row r="133" spans="1:3" x14ac:dyDescent="0.25">
      <c r="A133" s="2" t="s">
        <v>46</v>
      </c>
      <c r="B133" s="6">
        <v>63.54</v>
      </c>
      <c r="C133" s="6">
        <v>64.3</v>
      </c>
    </row>
    <row r="134" spans="1:3" x14ac:dyDescent="0.25">
      <c r="A134" s="2" t="s">
        <v>145</v>
      </c>
      <c r="B134" s="6">
        <v>43.66</v>
      </c>
      <c r="C134" s="6">
        <v>47.449999999999996</v>
      </c>
    </row>
    <row r="135" spans="1:3" x14ac:dyDescent="0.25">
      <c r="A135" s="2" t="s">
        <v>114</v>
      </c>
      <c r="B135" s="6">
        <v>42.12</v>
      </c>
      <c r="C135" s="6">
        <v>40.550000000000004</v>
      </c>
    </row>
    <row r="136" spans="1:3" x14ac:dyDescent="0.25">
      <c r="A136" s="2" t="s">
        <v>13</v>
      </c>
      <c r="B136" s="6">
        <v>73.429999999999993</v>
      </c>
      <c r="C136" s="6">
        <v>69.349999999999994</v>
      </c>
    </row>
    <row r="137" spans="1:3" x14ac:dyDescent="0.25">
      <c r="A137" s="2" t="s">
        <v>4</v>
      </c>
      <c r="B137" s="6">
        <v>74.8</v>
      </c>
      <c r="C137" s="6">
        <v>72.599999999999994</v>
      </c>
    </row>
    <row r="138" spans="1:3" x14ac:dyDescent="0.25">
      <c r="A138" s="2" t="s">
        <v>169</v>
      </c>
      <c r="B138" s="6">
        <v>34.620000000000005</v>
      </c>
      <c r="C138" s="6">
        <v>30.95</v>
      </c>
    </row>
    <row r="139" spans="1:3" x14ac:dyDescent="0.25">
      <c r="A139" s="2" t="s">
        <v>48</v>
      </c>
      <c r="B139" s="6">
        <v>64.460000000000008</v>
      </c>
      <c r="C139" s="6">
        <v>68.400000000000006</v>
      </c>
    </row>
    <row r="140" spans="1:3" x14ac:dyDescent="0.25">
      <c r="A140" s="2" t="s">
        <v>119</v>
      </c>
      <c r="B140" s="6">
        <v>54.669999999999995</v>
      </c>
      <c r="C140" s="6">
        <v>24.65</v>
      </c>
    </row>
    <row r="141" spans="1:3" x14ac:dyDescent="0.25">
      <c r="A141" s="2" t="s">
        <v>159</v>
      </c>
      <c r="B141" s="6">
        <v>32.309999999999995</v>
      </c>
      <c r="C141" s="6">
        <v>23.799999999999997</v>
      </c>
    </row>
    <row r="142" spans="1:3" x14ac:dyDescent="0.25">
      <c r="A142" s="2" t="s">
        <v>44</v>
      </c>
      <c r="B142" s="6">
        <v>60.08</v>
      </c>
      <c r="C142" s="6">
        <v>52.5</v>
      </c>
    </row>
    <row r="143" spans="1:3" x14ac:dyDescent="0.25">
      <c r="A143" s="2" t="s">
        <v>171</v>
      </c>
      <c r="B143" s="6">
        <v>40.85</v>
      </c>
      <c r="C143" s="6">
        <v>13.750000000000002</v>
      </c>
    </row>
    <row r="144" spans="1:3" x14ac:dyDescent="0.25">
      <c r="A144" s="2" t="s">
        <v>218</v>
      </c>
      <c r="B144" s="6">
        <v>61.92</v>
      </c>
      <c r="C144" s="6">
        <v>61.550000000000004</v>
      </c>
    </row>
    <row r="145" spans="1:3" x14ac:dyDescent="0.25">
      <c r="A145" s="2" t="s">
        <v>120</v>
      </c>
      <c r="B145" s="6">
        <v>44.61</v>
      </c>
      <c r="C145" s="6">
        <v>46.050000000000004</v>
      </c>
    </row>
    <row r="146" spans="1:3" x14ac:dyDescent="0.25">
      <c r="A146" s="2" t="s">
        <v>88</v>
      </c>
      <c r="B146" s="6">
        <v>53.730000000000004</v>
      </c>
      <c r="C146" s="6">
        <v>59.150000000000006</v>
      </c>
    </row>
    <row r="147" spans="1:3" x14ac:dyDescent="0.25">
      <c r="A147" s="2" t="s">
        <v>81</v>
      </c>
      <c r="B147" s="6">
        <v>52.470000000000006</v>
      </c>
      <c r="C147" s="6">
        <v>52.6</v>
      </c>
    </row>
    <row r="148" spans="1:3" x14ac:dyDescent="0.25">
      <c r="A148" s="2" t="s">
        <v>154</v>
      </c>
      <c r="B148" s="6">
        <v>41.89</v>
      </c>
      <c r="C148" s="6">
        <v>16.600000000000001</v>
      </c>
    </row>
    <row r="149" spans="1:3" x14ac:dyDescent="0.25">
      <c r="A149" s="2" t="s">
        <v>124</v>
      </c>
      <c r="B149" s="6">
        <v>43.32</v>
      </c>
      <c r="C149" s="6">
        <v>41</v>
      </c>
    </row>
    <row r="150" spans="1:3" x14ac:dyDescent="0.25">
      <c r="A150" s="2" t="s">
        <v>28</v>
      </c>
      <c r="B150" s="6">
        <v>68.25</v>
      </c>
      <c r="C150" s="6">
        <v>75.149999999999991</v>
      </c>
    </row>
    <row r="151" spans="1:3" x14ac:dyDescent="0.25">
      <c r="A151" s="2" t="s">
        <v>29</v>
      </c>
      <c r="B151" s="6">
        <v>70.539999999999992</v>
      </c>
      <c r="C151" s="6">
        <v>66.649999999999991</v>
      </c>
    </row>
    <row r="152" spans="1:3" x14ac:dyDescent="0.25">
      <c r="A152" s="2" t="s">
        <v>23</v>
      </c>
      <c r="B152" s="6">
        <v>68.92</v>
      </c>
      <c r="C152" s="6">
        <v>71.650000000000006</v>
      </c>
    </row>
    <row r="153" spans="1:3" x14ac:dyDescent="0.25">
      <c r="A153" s="2" t="s">
        <v>42</v>
      </c>
      <c r="B153" s="6">
        <v>62.930000000000007</v>
      </c>
      <c r="C153" s="6">
        <v>56.2</v>
      </c>
    </row>
    <row r="154" spans="1:3" x14ac:dyDescent="0.25">
      <c r="A154" s="2" t="s">
        <v>55</v>
      </c>
      <c r="B154" s="6">
        <v>61.740000000000009</v>
      </c>
      <c r="C154" s="6">
        <v>37.25</v>
      </c>
    </row>
    <row r="155" spans="1:3" x14ac:dyDescent="0.25">
      <c r="A155" s="2" t="s">
        <v>31</v>
      </c>
      <c r="B155" s="6">
        <v>47.07</v>
      </c>
      <c r="C155" s="6">
        <v>48</v>
      </c>
    </row>
    <row r="156" spans="1:3" x14ac:dyDescent="0.25">
      <c r="A156" s="2" t="s">
        <v>87</v>
      </c>
      <c r="B156" s="6">
        <v>51.75</v>
      </c>
      <c r="C156" s="6">
        <v>37.049999999999997</v>
      </c>
    </row>
    <row r="157" spans="1:3" x14ac:dyDescent="0.25">
      <c r="A157" s="2" t="s">
        <v>149</v>
      </c>
      <c r="B157" s="6">
        <v>33.799999999999997</v>
      </c>
      <c r="C157" s="6">
        <v>14.35</v>
      </c>
    </row>
    <row r="158" spans="1:3" x14ac:dyDescent="0.25">
      <c r="A158" s="2" t="s">
        <v>98</v>
      </c>
      <c r="B158" s="6">
        <v>41.070000000000007</v>
      </c>
      <c r="C158" s="6">
        <v>28.9</v>
      </c>
    </row>
    <row r="159" spans="1:3" x14ac:dyDescent="0.25">
      <c r="A159" s="2" t="s">
        <v>128</v>
      </c>
      <c r="B159" s="6">
        <v>36.629999999999995</v>
      </c>
      <c r="C159" s="6">
        <v>18.3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5F2A-3188-457D-BC06-1972370E4664}">
  <dimension ref="A1:C157"/>
  <sheetViews>
    <sheetView tabSelected="1" workbookViewId="0">
      <selection activeCell="B7" sqref="A1:C157"/>
    </sheetView>
  </sheetViews>
  <sheetFormatPr defaultRowHeight="15" x14ac:dyDescent="0.25"/>
  <cols>
    <col min="1" max="1" width="22.7109375" bestFit="1" customWidth="1"/>
    <col min="2" max="2" width="30.140625" bestFit="1" customWidth="1"/>
    <col min="3" max="3" width="38.85546875" bestFit="1" customWidth="1"/>
  </cols>
  <sheetData>
    <row r="1" spans="1:3" x14ac:dyDescent="0.25">
      <c r="A1" s="7" t="s">
        <v>302</v>
      </c>
      <c r="B1" s="7" t="s">
        <v>311</v>
      </c>
      <c r="C1" s="7" t="s">
        <v>312</v>
      </c>
    </row>
    <row r="2" spans="1:3" x14ac:dyDescent="0.25">
      <c r="A2" s="2" t="s">
        <v>166</v>
      </c>
      <c r="B2" s="6">
        <v>32.03</v>
      </c>
      <c r="C2" s="6">
        <v>17.5</v>
      </c>
    </row>
    <row r="3" spans="1:3" x14ac:dyDescent="0.25">
      <c r="A3" s="2" t="s">
        <v>108</v>
      </c>
      <c r="B3" s="6">
        <v>47.190000000000005</v>
      </c>
      <c r="C3" s="6">
        <v>47.349999999999994</v>
      </c>
    </row>
    <row r="4" spans="1:3" x14ac:dyDescent="0.25">
      <c r="A4" s="2" t="s">
        <v>79</v>
      </c>
      <c r="B4" s="6">
        <v>52.11</v>
      </c>
      <c r="C4" s="6">
        <v>50.1</v>
      </c>
    </row>
    <row r="5" spans="1:3" x14ac:dyDescent="0.25">
      <c r="A5" s="2" t="s">
        <v>39</v>
      </c>
      <c r="B5" s="6">
        <v>60.86</v>
      </c>
      <c r="C5" s="6">
        <v>54.6</v>
      </c>
    </row>
    <row r="6" spans="1:3" x14ac:dyDescent="0.25">
      <c r="A6" s="2" t="s">
        <v>140</v>
      </c>
      <c r="B6" s="6">
        <v>45.59</v>
      </c>
      <c r="C6" s="6">
        <v>42.5</v>
      </c>
    </row>
    <row r="7" spans="1:3" x14ac:dyDescent="0.25">
      <c r="A7" s="2" t="s">
        <v>16</v>
      </c>
      <c r="B7" s="6">
        <v>72.28</v>
      </c>
      <c r="C7" s="6">
        <v>68.600000000000009</v>
      </c>
    </row>
    <row r="8" spans="1:3" x14ac:dyDescent="0.25">
      <c r="A8" s="2" t="s">
        <v>21</v>
      </c>
      <c r="B8" s="6">
        <v>72.460000000000008</v>
      </c>
      <c r="C8" s="6">
        <v>68.8</v>
      </c>
    </row>
    <row r="9" spans="1:3" x14ac:dyDescent="0.25">
      <c r="A9" s="2" t="s">
        <v>93</v>
      </c>
      <c r="B9" s="6">
        <v>52.080000000000005</v>
      </c>
      <c r="C9" s="6">
        <v>52.15</v>
      </c>
    </row>
    <row r="10" spans="1:3" x14ac:dyDescent="0.25">
      <c r="A10" s="2" t="s">
        <v>60</v>
      </c>
      <c r="B10" s="6">
        <v>61.989999999999995</v>
      </c>
      <c r="C10" s="6">
        <v>68.100000000000009</v>
      </c>
    </row>
    <row r="11" spans="1:3" x14ac:dyDescent="0.25">
      <c r="A11" s="2" t="s">
        <v>122</v>
      </c>
      <c r="B11" s="6">
        <v>44.56</v>
      </c>
      <c r="C11" s="6">
        <v>28.1</v>
      </c>
    </row>
    <row r="12" spans="1:3" x14ac:dyDescent="0.25">
      <c r="A12" s="2" t="s">
        <v>70</v>
      </c>
      <c r="B12" s="6">
        <v>53.230000000000004</v>
      </c>
      <c r="C12" s="6">
        <v>53.349999999999994</v>
      </c>
    </row>
    <row r="13" spans="1:3" x14ac:dyDescent="0.25">
      <c r="A13" s="2" t="s">
        <v>27</v>
      </c>
      <c r="B13" s="6">
        <v>69.22999999999999</v>
      </c>
      <c r="C13" s="6">
        <v>67.800000000000011</v>
      </c>
    </row>
    <row r="14" spans="1:3" x14ac:dyDescent="0.25">
      <c r="A14" s="2" t="s">
        <v>168</v>
      </c>
      <c r="B14" s="6">
        <v>48.83</v>
      </c>
      <c r="C14" s="6">
        <v>19.650000000000002</v>
      </c>
    </row>
    <row r="15" spans="1:3" x14ac:dyDescent="0.25">
      <c r="A15" s="2" t="s">
        <v>91</v>
      </c>
      <c r="B15" s="6">
        <v>50.82</v>
      </c>
      <c r="C15" s="6">
        <v>40.65</v>
      </c>
    </row>
    <row r="16" spans="1:3" x14ac:dyDescent="0.25">
      <c r="A16" s="2" t="s">
        <v>62</v>
      </c>
      <c r="B16" s="6">
        <v>57.79</v>
      </c>
      <c r="C16" s="6">
        <v>38.800000000000004</v>
      </c>
    </row>
    <row r="17" spans="1:3" x14ac:dyDescent="0.25">
      <c r="A17" s="2" t="s">
        <v>109</v>
      </c>
      <c r="B17" s="6">
        <v>53.86</v>
      </c>
      <c r="C17" s="6">
        <v>47.25</v>
      </c>
    </row>
    <row r="18" spans="1:3" x14ac:dyDescent="0.25">
      <c r="A18" s="2" t="s">
        <v>141</v>
      </c>
      <c r="B18" s="6">
        <v>34.880000000000003</v>
      </c>
      <c r="C18" s="6">
        <v>52.05</v>
      </c>
    </row>
    <row r="19" spans="1:3" x14ac:dyDescent="0.25">
      <c r="A19" s="2" t="s">
        <v>24</v>
      </c>
      <c r="B19" s="6">
        <v>63</v>
      </c>
      <c r="C19" s="6">
        <v>50.2</v>
      </c>
    </row>
    <row r="20" spans="1:3" x14ac:dyDescent="0.25">
      <c r="A20" s="2" t="s">
        <v>147</v>
      </c>
      <c r="B20" s="6">
        <v>50.11</v>
      </c>
      <c r="C20" s="6">
        <v>54.6</v>
      </c>
    </row>
    <row r="21" spans="1:3" x14ac:dyDescent="0.25">
      <c r="A21" s="2" t="s">
        <v>165</v>
      </c>
      <c r="B21" s="6">
        <v>45.87</v>
      </c>
      <c r="C21" s="6">
        <v>16.55</v>
      </c>
    </row>
    <row r="22" spans="1:3" x14ac:dyDescent="0.25">
      <c r="A22" s="2" t="s">
        <v>170</v>
      </c>
      <c r="B22" s="6">
        <v>37.75</v>
      </c>
      <c r="C22" s="6">
        <v>2.2999999999999998</v>
      </c>
    </row>
    <row r="23" spans="1:3" x14ac:dyDescent="0.25">
      <c r="A23" s="2" t="s">
        <v>158</v>
      </c>
      <c r="B23" s="6">
        <v>47</v>
      </c>
      <c r="C23" s="6">
        <v>28.7</v>
      </c>
    </row>
    <row r="24" spans="1:3" x14ac:dyDescent="0.25">
      <c r="A24" s="2" t="s">
        <v>146</v>
      </c>
      <c r="B24" s="6">
        <v>50.44</v>
      </c>
      <c r="C24" s="6">
        <v>27.450000000000003</v>
      </c>
    </row>
    <row r="25" spans="1:3" x14ac:dyDescent="0.25">
      <c r="A25" s="2" t="s">
        <v>9</v>
      </c>
      <c r="B25" s="6">
        <v>72.78</v>
      </c>
      <c r="C25" s="6">
        <v>68.25</v>
      </c>
    </row>
    <row r="26" spans="1:3" x14ac:dyDescent="0.25">
      <c r="A26" s="2" t="s">
        <v>161</v>
      </c>
      <c r="B26" s="6">
        <v>30.830000000000002</v>
      </c>
      <c r="C26" s="6">
        <v>1.3</v>
      </c>
    </row>
    <row r="27" spans="1:3" x14ac:dyDescent="0.25">
      <c r="A27" s="2" t="s">
        <v>162</v>
      </c>
      <c r="B27" s="6">
        <v>43.499999999999993</v>
      </c>
      <c r="C27" s="6">
        <v>17.5</v>
      </c>
    </row>
    <row r="28" spans="1:3" x14ac:dyDescent="0.25">
      <c r="A28" s="2" t="s">
        <v>36</v>
      </c>
      <c r="B28" s="6">
        <v>64.44</v>
      </c>
      <c r="C28" s="6">
        <v>57.95</v>
      </c>
    </row>
    <row r="29" spans="1:3" x14ac:dyDescent="0.25">
      <c r="A29" s="2" t="s">
        <v>97</v>
      </c>
      <c r="B29" s="6">
        <v>51.910000000000004</v>
      </c>
      <c r="C29" s="6">
        <v>51.449999999999996</v>
      </c>
    </row>
    <row r="30" spans="1:3" x14ac:dyDescent="0.25">
      <c r="A30" s="2" t="s">
        <v>43</v>
      </c>
      <c r="B30" s="6">
        <v>61.25</v>
      </c>
      <c r="C30" s="6">
        <v>49.25</v>
      </c>
    </row>
    <row r="31" spans="1:3" x14ac:dyDescent="0.25">
      <c r="A31" s="2" t="s">
        <v>153</v>
      </c>
      <c r="B31" s="6">
        <v>39.730000000000004</v>
      </c>
      <c r="C31" s="6">
        <v>13.700000000000001</v>
      </c>
    </row>
    <row r="32" spans="1:3" x14ac:dyDescent="0.25">
      <c r="A32" s="2" t="s">
        <v>152</v>
      </c>
      <c r="B32" s="6">
        <v>48.120000000000005</v>
      </c>
      <c r="C32" s="6">
        <v>33.650000000000006</v>
      </c>
    </row>
    <row r="33" spans="1:3" x14ac:dyDescent="0.25">
      <c r="A33" s="2" t="s">
        <v>133</v>
      </c>
      <c r="B33" s="6">
        <v>44.18</v>
      </c>
      <c r="C33" s="6">
        <v>4.7</v>
      </c>
    </row>
    <row r="34" spans="1:3" x14ac:dyDescent="0.25">
      <c r="A34" s="2" t="s">
        <v>19</v>
      </c>
      <c r="B34" s="6">
        <v>71.669999999999987</v>
      </c>
      <c r="C34" s="6">
        <v>51.7</v>
      </c>
    </row>
    <row r="35" spans="1:3" x14ac:dyDescent="0.25">
      <c r="A35" s="2" t="s">
        <v>73</v>
      </c>
      <c r="B35" s="6">
        <v>54.320000000000007</v>
      </c>
      <c r="C35" s="6">
        <v>57.75</v>
      </c>
    </row>
    <row r="36" spans="1:3" x14ac:dyDescent="0.25">
      <c r="A36" s="2" t="s">
        <v>78</v>
      </c>
      <c r="B36" s="6">
        <v>60.46</v>
      </c>
      <c r="C36" s="6">
        <v>63.149999999999991</v>
      </c>
    </row>
    <row r="37" spans="1:3" x14ac:dyDescent="0.25">
      <c r="A37" s="2" t="s">
        <v>40</v>
      </c>
      <c r="B37" s="6">
        <v>68.52000000000001</v>
      </c>
      <c r="C37" s="6">
        <v>63.449999999999996</v>
      </c>
    </row>
    <row r="38" spans="1:3" x14ac:dyDescent="0.25">
      <c r="A38" s="2" t="s">
        <v>7</v>
      </c>
      <c r="B38" s="6">
        <v>76</v>
      </c>
      <c r="C38" s="6">
        <v>69.150000000000006</v>
      </c>
    </row>
    <row r="39" spans="1:3" x14ac:dyDescent="0.25">
      <c r="A39" s="2" t="s">
        <v>111</v>
      </c>
      <c r="B39" s="6">
        <v>54.25</v>
      </c>
      <c r="C39" s="6">
        <v>50.749999999999993</v>
      </c>
    </row>
    <row r="40" spans="1:3" x14ac:dyDescent="0.25">
      <c r="A40" s="2" t="s">
        <v>59</v>
      </c>
      <c r="B40" s="6">
        <v>60.279999999999994</v>
      </c>
      <c r="C40" s="6">
        <v>45.6</v>
      </c>
    </row>
    <row r="41" spans="1:3" x14ac:dyDescent="0.25">
      <c r="A41" s="2" t="s">
        <v>148</v>
      </c>
      <c r="B41" s="6">
        <v>41.660000000000004</v>
      </c>
      <c r="C41" s="6">
        <v>45.65</v>
      </c>
    </row>
    <row r="42" spans="1:3" x14ac:dyDescent="0.25">
      <c r="A42" s="2" t="s">
        <v>53</v>
      </c>
      <c r="B42" s="6">
        <v>62.529999999999994</v>
      </c>
      <c r="C42" s="6">
        <v>39.700000000000003</v>
      </c>
    </row>
    <row r="43" spans="1:3" x14ac:dyDescent="0.25">
      <c r="A43" s="2" t="s">
        <v>85</v>
      </c>
      <c r="B43" s="6">
        <v>58.929999999999993</v>
      </c>
      <c r="C43" s="6">
        <v>61.850000000000009</v>
      </c>
    </row>
    <row r="44" spans="1:3" x14ac:dyDescent="0.25">
      <c r="A44" s="2" t="s">
        <v>135</v>
      </c>
      <c r="B44" s="6">
        <v>42.86</v>
      </c>
      <c r="C44" s="6">
        <v>16.8</v>
      </c>
    </row>
    <row r="45" spans="1:3" x14ac:dyDescent="0.25">
      <c r="A45" s="2" t="s">
        <v>11</v>
      </c>
      <c r="B45" s="6">
        <v>77.69</v>
      </c>
      <c r="C45" s="6">
        <v>67</v>
      </c>
    </row>
    <row r="46" spans="1:3" x14ac:dyDescent="0.25">
      <c r="A46" s="2" t="s">
        <v>38</v>
      </c>
      <c r="B46" s="6">
        <v>65.919999999999987</v>
      </c>
      <c r="C46" s="6">
        <v>66.2</v>
      </c>
    </row>
    <row r="47" spans="1:3" x14ac:dyDescent="0.25">
      <c r="A47" s="2" t="s">
        <v>156</v>
      </c>
      <c r="B47" s="6">
        <v>47.99</v>
      </c>
      <c r="C47" s="6">
        <v>52.849999999999994</v>
      </c>
    </row>
    <row r="48" spans="1:3" x14ac:dyDescent="0.25">
      <c r="A48" s="2" t="s">
        <v>295</v>
      </c>
      <c r="B48" s="6">
        <v>45.160000000000004</v>
      </c>
      <c r="C48" s="6">
        <v>15.4</v>
      </c>
    </row>
    <row r="49" spans="1:3" x14ac:dyDescent="0.25">
      <c r="A49" s="2" t="s">
        <v>143</v>
      </c>
      <c r="B49" s="6">
        <v>45.190000000000005</v>
      </c>
      <c r="C49" s="6">
        <v>44.3</v>
      </c>
    </row>
    <row r="50" spans="1:3" x14ac:dyDescent="0.25">
      <c r="A50" s="2" t="s">
        <v>35</v>
      </c>
      <c r="B50" s="6">
        <v>69.849999999999994</v>
      </c>
      <c r="C50" s="6">
        <v>68.650000000000006</v>
      </c>
    </row>
    <row r="51" spans="1:3" x14ac:dyDescent="0.25">
      <c r="A51" s="2" t="s">
        <v>127</v>
      </c>
      <c r="B51" s="6">
        <v>49.96</v>
      </c>
      <c r="C51" s="6">
        <v>30.55</v>
      </c>
    </row>
    <row r="52" spans="1:3" x14ac:dyDescent="0.25">
      <c r="A52" s="2" t="s">
        <v>115</v>
      </c>
      <c r="B52" s="6">
        <v>52.870000000000005</v>
      </c>
      <c r="C52" s="6">
        <v>59.050000000000004</v>
      </c>
    </row>
    <row r="53" spans="1:3" x14ac:dyDescent="0.25">
      <c r="A53" s="2" t="s">
        <v>54</v>
      </c>
      <c r="B53" s="6">
        <v>64.36</v>
      </c>
      <c r="C53" s="6">
        <v>40</v>
      </c>
    </row>
    <row r="54" spans="1:3" x14ac:dyDescent="0.25">
      <c r="A54" s="2" t="s">
        <v>163</v>
      </c>
      <c r="B54" s="6">
        <v>45.339999999999996</v>
      </c>
      <c r="C54" s="6">
        <v>19</v>
      </c>
    </row>
    <row r="55" spans="1:3" x14ac:dyDescent="0.25">
      <c r="A55" s="2" t="s">
        <v>132</v>
      </c>
      <c r="B55" s="6">
        <v>35.97</v>
      </c>
      <c r="C55" s="6">
        <v>16.150000000000002</v>
      </c>
    </row>
    <row r="56" spans="1:3" x14ac:dyDescent="0.25">
      <c r="A56" s="2" t="s">
        <v>118</v>
      </c>
      <c r="B56" s="6">
        <v>58.6</v>
      </c>
      <c r="C56" s="6">
        <v>32.1</v>
      </c>
    </row>
    <row r="57" spans="1:3" x14ac:dyDescent="0.25">
      <c r="A57" s="2" t="s">
        <v>84</v>
      </c>
      <c r="B57" s="6">
        <v>54.3</v>
      </c>
      <c r="C57" s="6">
        <v>71.899999999999991</v>
      </c>
    </row>
    <row r="58" spans="1:3" x14ac:dyDescent="0.25">
      <c r="A58" s="2" t="s">
        <v>117</v>
      </c>
      <c r="B58" s="6">
        <v>57.58</v>
      </c>
      <c r="C58" s="6">
        <v>60.050000000000004</v>
      </c>
    </row>
    <row r="59" spans="1:3" x14ac:dyDescent="0.25">
      <c r="A59" s="2" t="s">
        <v>6</v>
      </c>
      <c r="B59" s="6">
        <v>74.94</v>
      </c>
      <c r="C59" s="6">
        <v>69</v>
      </c>
    </row>
    <row r="60" spans="1:3" x14ac:dyDescent="0.25">
      <c r="A60" s="2" t="s">
        <v>130</v>
      </c>
      <c r="B60" s="6">
        <v>40.149999999999991</v>
      </c>
      <c r="C60" s="6">
        <v>37.75</v>
      </c>
    </row>
    <row r="61" spans="1:3" x14ac:dyDescent="0.25">
      <c r="A61" s="2" t="s">
        <v>86</v>
      </c>
      <c r="B61" s="6">
        <v>51.92</v>
      </c>
      <c r="C61" s="6">
        <v>46.550000000000004</v>
      </c>
    </row>
    <row r="62" spans="1:3" x14ac:dyDescent="0.25">
      <c r="A62" s="2" t="s">
        <v>123</v>
      </c>
      <c r="B62" s="6">
        <v>45.480000000000004</v>
      </c>
      <c r="C62" s="6">
        <v>55.000000000000007</v>
      </c>
    </row>
    <row r="63" spans="1:3" x14ac:dyDescent="0.25">
      <c r="A63" s="2" t="s">
        <v>125</v>
      </c>
      <c r="B63" s="6">
        <v>44.370000000000005</v>
      </c>
      <c r="C63" s="6">
        <v>52.15</v>
      </c>
    </row>
    <row r="64" spans="1:3" x14ac:dyDescent="0.25">
      <c r="A64" s="2" t="s">
        <v>26</v>
      </c>
      <c r="B64" s="6">
        <v>70.210000000000008</v>
      </c>
      <c r="C64" s="6">
        <v>74.95</v>
      </c>
    </row>
    <row r="65" spans="1:3" x14ac:dyDescent="0.25">
      <c r="A65" s="2" t="s">
        <v>17</v>
      </c>
      <c r="B65" s="6">
        <v>71.39</v>
      </c>
      <c r="C65" s="6">
        <v>63.800000000000004</v>
      </c>
    </row>
    <row r="66" spans="1:3" x14ac:dyDescent="0.25">
      <c r="A66" s="2" t="s">
        <v>61</v>
      </c>
      <c r="B66" s="6">
        <v>62.23</v>
      </c>
      <c r="C66" s="6">
        <v>64.7</v>
      </c>
    </row>
    <row r="67" spans="1:3" x14ac:dyDescent="0.25">
      <c r="A67" s="2" t="s">
        <v>164</v>
      </c>
      <c r="B67" s="6">
        <v>49.44</v>
      </c>
      <c r="C67" s="6">
        <v>28.449999999999996</v>
      </c>
    </row>
    <row r="68" spans="1:3" x14ac:dyDescent="0.25">
      <c r="A68" s="2" t="s">
        <v>76</v>
      </c>
      <c r="B68" s="6">
        <v>58.9</v>
      </c>
      <c r="C68" s="6">
        <v>41.55</v>
      </c>
    </row>
    <row r="69" spans="1:3" x14ac:dyDescent="0.25">
      <c r="A69" s="2" t="s">
        <v>57</v>
      </c>
      <c r="B69" s="6">
        <v>58.86</v>
      </c>
      <c r="C69" s="6">
        <v>66.349999999999994</v>
      </c>
    </row>
    <row r="70" spans="1:3" x14ac:dyDescent="0.25">
      <c r="A70" s="2" t="s">
        <v>95</v>
      </c>
      <c r="B70" s="6">
        <v>49.059999999999995</v>
      </c>
      <c r="C70" s="6">
        <v>41.85</v>
      </c>
    </row>
    <row r="71" spans="1:3" x14ac:dyDescent="0.25">
      <c r="A71" s="2" t="s">
        <v>65</v>
      </c>
      <c r="B71" s="6">
        <v>58.089999999999996</v>
      </c>
      <c r="C71" s="6">
        <v>58.650000000000006</v>
      </c>
    </row>
    <row r="72" spans="1:3" x14ac:dyDescent="0.25">
      <c r="A72" s="2" t="s">
        <v>138</v>
      </c>
      <c r="B72" s="6">
        <v>45.09</v>
      </c>
      <c r="C72" s="6">
        <v>25.6</v>
      </c>
    </row>
    <row r="73" spans="1:3" x14ac:dyDescent="0.25">
      <c r="A73" s="2" t="s">
        <v>80</v>
      </c>
      <c r="B73" s="6">
        <v>61</v>
      </c>
      <c r="C73" s="6">
        <v>44.1</v>
      </c>
    </row>
    <row r="74" spans="1:3" x14ac:dyDescent="0.25">
      <c r="A74" s="2" t="s">
        <v>50</v>
      </c>
      <c r="B74" s="6">
        <v>60.21</v>
      </c>
      <c r="C74" s="6">
        <v>75</v>
      </c>
    </row>
    <row r="75" spans="1:3" x14ac:dyDescent="0.25">
      <c r="A75" s="2" t="s">
        <v>89</v>
      </c>
      <c r="B75" s="6">
        <v>52.61</v>
      </c>
      <c r="C75" s="6">
        <v>27.55</v>
      </c>
    </row>
    <row r="76" spans="1:3" x14ac:dyDescent="0.25">
      <c r="A76" s="2" t="s">
        <v>112</v>
      </c>
      <c r="B76" s="6">
        <v>47.96</v>
      </c>
      <c r="C76" s="6">
        <v>38.200000000000003</v>
      </c>
    </row>
    <row r="77" spans="1:3" x14ac:dyDescent="0.25">
      <c r="A77" s="2" t="s">
        <v>102</v>
      </c>
      <c r="B77" s="6">
        <v>59.4</v>
      </c>
      <c r="C77" s="6">
        <v>59.35</v>
      </c>
    </row>
    <row r="78" spans="1:3" x14ac:dyDescent="0.25">
      <c r="A78" s="2" t="s">
        <v>116</v>
      </c>
      <c r="B78" s="6">
        <v>51.970000000000006</v>
      </c>
      <c r="C78" s="6">
        <v>49.35</v>
      </c>
    </row>
    <row r="79" spans="1:3" x14ac:dyDescent="0.25">
      <c r="A79" s="2" t="s">
        <v>110</v>
      </c>
      <c r="B79" s="6">
        <v>38.019999999999996</v>
      </c>
      <c r="C79" s="6">
        <v>24.45</v>
      </c>
    </row>
    <row r="80" spans="1:3" x14ac:dyDescent="0.25">
      <c r="A80" s="2" t="s">
        <v>129</v>
      </c>
      <c r="B80" s="6">
        <v>39.75</v>
      </c>
      <c r="C80" s="6">
        <v>3.65</v>
      </c>
    </row>
    <row r="81" spans="1:3" x14ac:dyDescent="0.25">
      <c r="A81" s="2" t="s">
        <v>74</v>
      </c>
      <c r="B81" s="6">
        <v>55.25</v>
      </c>
      <c r="C81" s="6">
        <v>52.2</v>
      </c>
    </row>
    <row r="82" spans="1:3" x14ac:dyDescent="0.25">
      <c r="A82" s="2" t="s">
        <v>67</v>
      </c>
      <c r="B82" s="6">
        <v>61.489999999999995</v>
      </c>
      <c r="C82" s="6">
        <v>61.9</v>
      </c>
    </row>
    <row r="83" spans="1:3" x14ac:dyDescent="0.25">
      <c r="A83" s="2" t="s">
        <v>25</v>
      </c>
      <c r="B83" s="6">
        <v>70.900000000000006</v>
      </c>
      <c r="C83" s="6">
        <v>80.45</v>
      </c>
    </row>
    <row r="84" spans="1:3" x14ac:dyDescent="0.25">
      <c r="A84" s="2" t="s">
        <v>160</v>
      </c>
      <c r="B84" s="6">
        <v>39.33</v>
      </c>
      <c r="C84" s="6">
        <v>13.700000000000001</v>
      </c>
    </row>
    <row r="85" spans="1:3" x14ac:dyDescent="0.25">
      <c r="A85" s="2" t="s">
        <v>144</v>
      </c>
      <c r="B85" s="6">
        <v>34.1</v>
      </c>
      <c r="C85" s="6">
        <v>9.5500000000000007</v>
      </c>
    </row>
    <row r="86" spans="1:3" x14ac:dyDescent="0.25">
      <c r="A86" s="2" t="s">
        <v>72</v>
      </c>
      <c r="B86" s="6">
        <v>53.390000000000008</v>
      </c>
      <c r="C86" s="6">
        <v>61.050000000000004</v>
      </c>
    </row>
    <row r="87" spans="1:3" x14ac:dyDescent="0.25">
      <c r="A87" s="2" t="s">
        <v>151</v>
      </c>
      <c r="B87" s="6">
        <v>43.899999999999991</v>
      </c>
      <c r="C87" s="6">
        <v>19.25</v>
      </c>
    </row>
    <row r="88" spans="1:3" x14ac:dyDescent="0.25">
      <c r="A88" s="2" t="s">
        <v>47</v>
      </c>
      <c r="B88" s="6">
        <v>67.260000000000005</v>
      </c>
      <c r="C88" s="6">
        <v>65</v>
      </c>
    </row>
    <row r="89" spans="1:3" x14ac:dyDescent="0.25">
      <c r="A89" s="2" t="s">
        <v>137</v>
      </c>
      <c r="B89" s="6">
        <v>44.9</v>
      </c>
      <c r="C89" s="6">
        <v>28.499999999999996</v>
      </c>
    </row>
    <row r="90" spans="1:3" x14ac:dyDescent="0.25">
      <c r="A90" s="2" t="s">
        <v>82</v>
      </c>
      <c r="B90" s="6">
        <v>58.879999999999995</v>
      </c>
      <c r="C90" s="6">
        <v>56.000000000000007</v>
      </c>
    </row>
    <row r="91" spans="1:3" x14ac:dyDescent="0.25">
      <c r="A91" s="2" t="s">
        <v>22</v>
      </c>
      <c r="B91" s="6">
        <v>65.95</v>
      </c>
      <c r="C91" s="6">
        <v>53.5</v>
      </c>
    </row>
    <row r="92" spans="1:3" x14ac:dyDescent="0.25">
      <c r="A92" s="2" t="s">
        <v>63</v>
      </c>
      <c r="B92" s="6">
        <v>55.29</v>
      </c>
      <c r="C92" s="6">
        <v>34.25</v>
      </c>
    </row>
    <row r="93" spans="1:3" x14ac:dyDescent="0.25">
      <c r="A93" s="2" t="s">
        <v>113</v>
      </c>
      <c r="B93" s="6">
        <v>52.85</v>
      </c>
      <c r="C93" s="6">
        <v>47.4</v>
      </c>
    </row>
    <row r="94" spans="1:3" x14ac:dyDescent="0.25">
      <c r="A94" s="2" t="s">
        <v>96</v>
      </c>
      <c r="B94" s="6">
        <v>55.23</v>
      </c>
      <c r="C94" s="6">
        <v>52.55</v>
      </c>
    </row>
    <row r="95" spans="1:3" x14ac:dyDescent="0.25">
      <c r="A95" s="2" t="s">
        <v>105</v>
      </c>
      <c r="B95" s="6">
        <v>52.080000000000005</v>
      </c>
      <c r="C95" s="6">
        <v>40.050000000000004</v>
      </c>
    </row>
    <row r="96" spans="1:3" x14ac:dyDescent="0.25">
      <c r="A96" s="2" t="s">
        <v>107</v>
      </c>
      <c r="B96" s="6">
        <v>44.660000000000004</v>
      </c>
      <c r="C96" s="6">
        <v>10.199999999999999</v>
      </c>
    </row>
    <row r="97" spans="1:3" x14ac:dyDescent="0.25">
      <c r="A97" s="2" t="s">
        <v>142</v>
      </c>
      <c r="B97" s="6">
        <v>43.600000000000009</v>
      </c>
      <c r="C97" s="6">
        <v>35.5</v>
      </c>
    </row>
    <row r="98" spans="1:3" x14ac:dyDescent="0.25">
      <c r="A98" s="2" t="s">
        <v>177</v>
      </c>
      <c r="B98" s="6">
        <v>46.39</v>
      </c>
      <c r="C98" s="6">
        <v>43.95</v>
      </c>
    </row>
    <row r="99" spans="1:3" x14ac:dyDescent="0.25">
      <c r="A99" s="2" t="s">
        <v>134</v>
      </c>
      <c r="B99" s="6">
        <v>49.13</v>
      </c>
      <c r="C99" s="6">
        <v>22.3</v>
      </c>
    </row>
    <row r="100" spans="1:3" x14ac:dyDescent="0.25">
      <c r="A100" s="2" t="s">
        <v>12</v>
      </c>
      <c r="B100" s="6">
        <v>74.88000000000001</v>
      </c>
      <c r="C100" s="6">
        <v>69.8</v>
      </c>
    </row>
    <row r="101" spans="1:3" x14ac:dyDescent="0.25">
      <c r="A101" s="2" t="s">
        <v>14</v>
      </c>
      <c r="B101" s="6">
        <v>73.070000000000007</v>
      </c>
      <c r="C101" s="6">
        <v>65.149999999999991</v>
      </c>
    </row>
    <row r="102" spans="1:3" x14ac:dyDescent="0.25">
      <c r="A102" s="2" t="s">
        <v>68</v>
      </c>
      <c r="B102" s="6">
        <v>61.05</v>
      </c>
      <c r="C102" s="6">
        <v>34.699999999999996</v>
      </c>
    </row>
    <row r="103" spans="1:3" x14ac:dyDescent="0.25">
      <c r="A103" s="2" t="s">
        <v>157</v>
      </c>
      <c r="B103" s="6">
        <v>46.28</v>
      </c>
      <c r="C103" s="6">
        <v>6.9</v>
      </c>
    </row>
    <row r="104" spans="1:3" x14ac:dyDescent="0.25">
      <c r="A104" s="2" t="s">
        <v>90</v>
      </c>
      <c r="B104" s="6">
        <v>52.65</v>
      </c>
      <c r="C104" s="6">
        <v>34.799999999999997</v>
      </c>
    </row>
    <row r="105" spans="1:3" x14ac:dyDescent="0.25">
      <c r="A105" s="2" t="s">
        <v>294</v>
      </c>
      <c r="B105" s="6">
        <v>52.739999999999995</v>
      </c>
      <c r="C105" s="6">
        <v>49.15</v>
      </c>
    </row>
    <row r="106" spans="1:3" x14ac:dyDescent="0.25">
      <c r="A106" s="2" t="s">
        <v>237</v>
      </c>
      <c r="B106" s="6">
        <v>57.179999999999993</v>
      </c>
      <c r="C106" s="6">
        <v>63.149999999999991</v>
      </c>
    </row>
    <row r="107" spans="1:3" x14ac:dyDescent="0.25">
      <c r="A107" s="2" t="s">
        <v>8</v>
      </c>
      <c r="B107" s="6">
        <v>75.539999999999992</v>
      </c>
      <c r="C107" s="6">
        <v>74.400000000000006</v>
      </c>
    </row>
    <row r="108" spans="1:3" x14ac:dyDescent="0.25">
      <c r="A108" s="2" t="s">
        <v>94</v>
      </c>
      <c r="B108" s="6">
        <v>56.529999999999994</v>
      </c>
      <c r="C108" s="6">
        <v>33.85</v>
      </c>
    </row>
    <row r="109" spans="1:3" x14ac:dyDescent="0.25">
      <c r="A109" s="2" t="s">
        <v>121</v>
      </c>
      <c r="B109" s="6">
        <v>46.959999999999994</v>
      </c>
      <c r="C109" s="6">
        <v>32.85</v>
      </c>
    </row>
    <row r="110" spans="1:3" x14ac:dyDescent="0.25">
      <c r="A110" s="2" t="s">
        <v>34</v>
      </c>
      <c r="B110" s="6">
        <v>63.21</v>
      </c>
      <c r="C110" s="6">
        <v>57.45</v>
      </c>
    </row>
    <row r="111" spans="1:3" x14ac:dyDescent="0.25">
      <c r="A111" s="2" t="s">
        <v>64</v>
      </c>
      <c r="B111" s="6">
        <v>57.430000000000007</v>
      </c>
      <c r="C111" s="6">
        <v>42.75</v>
      </c>
    </row>
    <row r="112" spans="1:3" x14ac:dyDescent="0.25">
      <c r="A112" s="2" t="s">
        <v>69</v>
      </c>
      <c r="B112" s="6">
        <v>56.970000000000006</v>
      </c>
      <c r="C112" s="6">
        <v>48</v>
      </c>
    </row>
    <row r="113" spans="1:3" x14ac:dyDescent="0.25">
      <c r="A113" s="2" t="s">
        <v>103</v>
      </c>
      <c r="B113" s="6">
        <v>56.31</v>
      </c>
      <c r="C113" s="6">
        <v>40.35</v>
      </c>
    </row>
    <row r="114" spans="1:3" x14ac:dyDescent="0.25">
      <c r="A114" s="2" t="s">
        <v>71</v>
      </c>
      <c r="B114" s="6">
        <v>61.820000000000007</v>
      </c>
      <c r="C114" s="6">
        <v>60.3</v>
      </c>
    </row>
    <row r="115" spans="1:3" x14ac:dyDescent="0.25">
      <c r="A115" s="2" t="s">
        <v>101</v>
      </c>
      <c r="B115" s="6">
        <v>56.929999999999993</v>
      </c>
      <c r="C115" s="6">
        <v>61.050000000000004</v>
      </c>
    </row>
    <row r="116" spans="1:3" x14ac:dyDescent="0.25">
      <c r="A116" s="2" t="s">
        <v>37</v>
      </c>
      <c r="B116" s="6">
        <v>63.739999999999995</v>
      </c>
      <c r="C116" s="6">
        <v>84.2</v>
      </c>
    </row>
    <row r="117" spans="1:3" x14ac:dyDescent="0.25">
      <c r="A117" s="2" t="s">
        <v>99</v>
      </c>
      <c r="B117" s="6">
        <v>60.7</v>
      </c>
      <c r="C117" s="6">
        <v>58.099999999999994</v>
      </c>
    </row>
    <row r="118" spans="1:3" x14ac:dyDescent="0.25">
      <c r="A118" s="2" t="s">
        <v>75</v>
      </c>
      <c r="B118" s="6">
        <v>56.48</v>
      </c>
      <c r="C118" s="6">
        <v>59.150000000000006</v>
      </c>
    </row>
    <row r="119" spans="1:3" x14ac:dyDescent="0.25">
      <c r="A119" s="2" t="s">
        <v>167</v>
      </c>
      <c r="B119" s="6">
        <v>33.340000000000003</v>
      </c>
      <c r="C119" s="6">
        <v>17.95</v>
      </c>
    </row>
    <row r="120" spans="1:3" x14ac:dyDescent="0.25">
      <c r="A120" s="2" t="s">
        <v>45</v>
      </c>
      <c r="B120" s="6">
        <v>63.75</v>
      </c>
      <c r="C120" s="6">
        <v>70.150000000000006</v>
      </c>
    </row>
    <row r="121" spans="1:3" x14ac:dyDescent="0.25">
      <c r="A121" s="2" t="s">
        <v>155</v>
      </c>
      <c r="B121" s="6">
        <v>46.81</v>
      </c>
      <c r="C121" s="6">
        <v>22.5</v>
      </c>
    </row>
    <row r="122" spans="1:3" x14ac:dyDescent="0.25">
      <c r="A122" s="2" t="s">
        <v>100</v>
      </c>
      <c r="B122" s="6">
        <v>56.029999999999994</v>
      </c>
      <c r="C122" s="6">
        <v>50.2</v>
      </c>
    </row>
    <row r="123" spans="1:3" x14ac:dyDescent="0.25">
      <c r="A123" s="2" t="s">
        <v>136</v>
      </c>
      <c r="B123" s="6">
        <v>43.739999999999995</v>
      </c>
      <c r="C123" s="6">
        <v>13.4</v>
      </c>
    </row>
    <row r="124" spans="1:3" x14ac:dyDescent="0.25">
      <c r="A124" s="2" t="s">
        <v>32</v>
      </c>
      <c r="B124" s="6">
        <v>62.61999999999999</v>
      </c>
      <c r="C124" s="6">
        <v>78.600000000000009</v>
      </c>
    </row>
    <row r="125" spans="1:3" x14ac:dyDescent="0.25">
      <c r="A125" s="2" t="s">
        <v>56</v>
      </c>
      <c r="B125" s="6">
        <v>61.980000000000004</v>
      </c>
      <c r="C125" s="6">
        <v>62.3</v>
      </c>
    </row>
    <row r="126" spans="1:3" x14ac:dyDescent="0.25">
      <c r="A126" s="2" t="s">
        <v>66</v>
      </c>
      <c r="B126" s="6">
        <v>61.180000000000007</v>
      </c>
      <c r="C126" s="6">
        <v>62.9</v>
      </c>
    </row>
    <row r="127" spans="1:3" x14ac:dyDescent="0.25">
      <c r="A127" s="2" t="s">
        <v>175</v>
      </c>
      <c r="B127" s="6">
        <v>46.68</v>
      </c>
      <c r="C127" s="6">
        <v>0</v>
      </c>
    </row>
    <row r="128" spans="1:3" x14ac:dyDescent="0.25">
      <c r="A128" s="2" t="s">
        <v>126</v>
      </c>
      <c r="B128" s="6">
        <v>47.220000000000006</v>
      </c>
      <c r="C128" s="6">
        <v>48</v>
      </c>
    </row>
    <row r="129" spans="1:3" x14ac:dyDescent="0.25">
      <c r="A129" s="2" t="s">
        <v>58</v>
      </c>
      <c r="B129" s="6">
        <v>58.95</v>
      </c>
      <c r="C129" s="6">
        <v>65.05</v>
      </c>
    </row>
    <row r="130" spans="1:3" x14ac:dyDescent="0.25">
      <c r="A130" s="2" t="s">
        <v>178</v>
      </c>
      <c r="B130" s="6">
        <v>28.53</v>
      </c>
      <c r="C130" s="6">
        <v>15.299999999999999</v>
      </c>
    </row>
    <row r="131" spans="1:3" x14ac:dyDescent="0.25">
      <c r="A131" s="2" t="s">
        <v>46</v>
      </c>
      <c r="B131" s="6">
        <v>63.54</v>
      </c>
      <c r="C131" s="6">
        <v>64.3</v>
      </c>
    </row>
    <row r="132" spans="1:3" x14ac:dyDescent="0.25">
      <c r="A132" s="2" t="s">
        <v>145</v>
      </c>
      <c r="B132" s="6">
        <v>43.66</v>
      </c>
      <c r="C132" s="6">
        <v>47.449999999999996</v>
      </c>
    </row>
    <row r="133" spans="1:3" x14ac:dyDescent="0.25">
      <c r="A133" s="2" t="s">
        <v>114</v>
      </c>
      <c r="B133" s="6">
        <v>42.12</v>
      </c>
      <c r="C133" s="6">
        <v>40.550000000000004</v>
      </c>
    </row>
    <row r="134" spans="1:3" x14ac:dyDescent="0.25">
      <c r="A134" s="2" t="s">
        <v>13</v>
      </c>
      <c r="B134" s="6">
        <v>73.429999999999993</v>
      </c>
      <c r="C134" s="6">
        <v>69.349999999999994</v>
      </c>
    </row>
    <row r="135" spans="1:3" x14ac:dyDescent="0.25">
      <c r="A135" s="2" t="s">
        <v>4</v>
      </c>
      <c r="B135" s="6">
        <v>74.8</v>
      </c>
      <c r="C135" s="6">
        <v>72.599999999999994</v>
      </c>
    </row>
    <row r="136" spans="1:3" x14ac:dyDescent="0.25">
      <c r="A136" s="2" t="s">
        <v>169</v>
      </c>
      <c r="B136" s="6">
        <v>34.620000000000005</v>
      </c>
      <c r="C136" s="6">
        <v>30.95</v>
      </c>
    </row>
    <row r="137" spans="1:3" x14ac:dyDescent="0.25">
      <c r="A137" s="2" t="s">
        <v>48</v>
      </c>
      <c r="B137" s="6">
        <v>64.460000000000008</v>
      </c>
      <c r="C137" s="6">
        <v>68.400000000000006</v>
      </c>
    </row>
    <row r="138" spans="1:3" x14ac:dyDescent="0.25">
      <c r="A138" s="2" t="s">
        <v>119</v>
      </c>
      <c r="B138" s="6">
        <v>54.669999999999995</v>
      </c>
      <c r="C138" s="6">
        <v>24.65</v>
      </c>
    </row>
    <row r="139" spans="1:3" x14ac:dyDescent="0.25">
      <c r="A139" s="2" t="s">
        <v>159</v>
      </c>
      <c r="B139" s="6">
        <v>32.309999999999995</v>
      </c>
      <c r="C139" s="6">
        <v>23.799999999999997</v>
      </c>
    </row>
    <row r="140" spans="1:3" x14ac:dyDescent="0.25">
      <c r="A140" s="2" t="s">
        <v>44</v>
      </c>
      <c r="B140" s="6">
        <v>60.08</v>
      </c>
      <c r="C140" s="6">
        <v>52.5</v>
      </c>
    </row>
    <row r="141" spans="1:3" x14ac:dyDescent="0.25">
      <c r="A141" s="2" t="s">
        <v>171</v>
      </c>
      <c r="B141" s="6">
        <v>40.85</v>
      </c>
      <c r="C141" s="6">
        <v>13.750000000000002</v>
      </c>
    </row>
    <row r="142" spans="1:3" x14ac:dyDescent="0.25">
      <c r="A142" s="2" t="s">
        <v>218</v>
      </c>
      <c r="B142" s="6">
        <v>61.92</v>
      </c>
      <c r="C142" s="6">
        <v>61.550000000000004</v>
      </c>
    </row>
    <row r="143" spans="1:3" x14ac:dyDescent="0.25">
      <c r="A143" s="2" t="s">
        <v>120</v>
      </c>
      <c r="B143" s="6">
        <v>44.61</v>
      </c>
      <c r="C143" s="6">
        <v>46.050000000000004</v>
      </c>
    </row>
    <row r="144" spans="1:3" x14ac:dyDescent="0.25">
      <c r="A144" s="2" t="s">
        <v>88</v>
      </c>
      <c r="B144" s="6">
        <v>53.730000000000004</v>
      </c>
      <c r="C144" s="6">
        <v>59.150000000000006</v>
      </c>
    </row>
    <row r="145" spans="1:3" x14ac:dyDescent="0.25">
      <c r="A145" s="2" t="s">
        <v>81</v>
      </c>
      <c r="B145" s="6">
        <v>52.470000000000006</v>
      </c>
      <c r="C145" s="6">
        <v>52.6</v>
      </c>
    </row>
    <row r="146" spans="1:3" x14ac:dyDescent="0.25">
      <c r="A146" s="2" t="s">
        <v>154</v>
      </c>
      <c r="B146" s="6">
        <v>41.89</v>
      </c>
      <c r="C146" s="6">
        <v>16.600000000000001</v>
      </c>
    </row>
    <row r="147" spans="1:3" x14ac:dyDescent="0.25">
      <c r="A147" s="2" t="s">
        <v>124</v>
      </c>
      <c r="B147" s="6">
        <v>43.32</v>
      </c>
      <c r="C147" s="6">
        <v>41</v>
      </c>
    </row>
    <row r="148" spans="1:3" x14ac:dyDescent="0.25">
      <c r="A148" s="2" t="s">
        <v>28</v>
      </c>
      <c r="B148" s="6">
        <v>68.25</v>
      </c>
      <c r="C148" s="6">
        <v>75.149999999999991</v>
      </c>
    </row>
    <row r="149" spans="1:3" x14ac:dyDescent="0.25">
      <c r="A149" s="2" t="s">
        <v>29</v>
      </c>
      <c r="B149" s="6">
        <v>70.539999999999992</v>
      </c>
      <c r="C149" s="6">
        <v>66.649999999999991</v>
      </c>
    </row>
    <row r="150" spans="1:3" x14ac:dyDescent="0.25">
      <c r="A150" s="2" t="s">
        <v>23</v>
      </c>
      <c r="B150" s="6">
        <v>68.92</v>
      </c>
      <c r="C150" s="6">
        <v>71.650000000000006</v>
      </c>
    </row>
    <row r="151" spans="1:3" x14ac:dyDescent="0.25">
      <c r="A151" s="2" t="s">
        <v>42</v>
      </c>
      <c r="B151" s="6">
        <v>62.930000000000007</v>
      </c>
      <c r="C151" s="6">
        <v>56.2</v>
      </c>
    </row>
    <row r="152" spans="1:3" x14ac:dyDescent="0.25">
      <c r="A152" s="2" t="s">
        <v>55</v>
      </c>
      <c r="B152" s="6">
        <v>61.740000000000009</v>
      </c>
      <c r="C152" s="6">
        <v>37.25</v>
      </c>
    </row>
    <row r="153" spans="1:3" x14ac:dyDescent="0.25">
      <c r="A153" s="2" t="s">
        <v>31</v>
      </c>
      <c r="B153" s="6">
        <v>47.07</v>
      </c>
      <c r="C153" s="6">
        <v>48</v>
      </c>
    </row>
    <row r="154" spans="1:3" x14ac:dyDescent="0.25">
      <c r="A154" s="2" t="s">
        <v>87</v>
      </c>
      <c r="B154" s="6">
        <v>51.75</v>
      </c>
      <c r="C154" s="6">
        <v>37.049999999999997</v>
      </c>
    </row>
    <row r="155" spans="1:3" x14ac:dyDescent="0.25">
      <c r="A155" s="2" t="s">
        <v>149</v>
      </c>
      <c r="B155" s="6">
        <v>33.799999999999997</v>
      </c>
      <c r="C155" s="6">
        <v>14.35</v>
      </c>
    </row>
    <row r="156" spans="1:3" x14ac:dyDescent="0.25">
      <c r="A156" s="2" t="s">
        <v>98</v>
      </c>
      <c r="B156" s="6">
        <v>41.070000000000007</v>
      </c>
      <c r="C156" s="6">
        <v>28.9</v>
      </c>
    </row>
    <row r="157" spans="1:3" x14ac:dyDescent="0.25">
      <c r="A157" s="2" t="s">
        <v>128</v>
      </c>
      <c r="B157" s="6">
        <v>36.629999999999995</v>
      </c>
      <c r="C157" s="6">
        <v>18.3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E7907-2A8F-4FDE-A0B5-93AA4E8635B5}">
  <dimension ref="A1:N783"/>
  <sheetViews>
    <sheetView topLeftCell="A2" workbookViewId="0">
      <selection activeCell="B5" sqref="A2:N783"/>
    </sheetView>
  </sheetViews>
  <sheetFormatPr defaultRowHeight="15" x14ac:dyDescent="0.25"/>
  <cols>
    <col min="1" max="1" width="7.28515625" bestFit="1" customWidth="1"/>
    <col min="2" max="2" width="23.5703125" bestFit="1" customWidth="1"/>
    <col min="3" max="3" width="17.85546875" bestFit="1" customWidth="1"/>
    <col min="4" max="4" width="18.42578125" bestFit="1" customWidth="1"/>
    <col min="5" max="5" width="21.42578125" customWidth="1"/>
    <col min="6" max="6" width="27.140625" bestFit="1" customWidth="1"/>
    <col min="7" max="7" width="30.7109375" bestFit="1" customWidth="1"/>
    <col min="8" max="8" width="12" bestFit="1" customWidth="1"/>
    <col min="9" max="9" width="12" customWidth="1"/>
    <col min="10" max="10" width="24.7109375" bestFit="1" customWidth="1"/>
    <col min="11" max="11" width="26.7109375" customWidth="1"/>
    <col min="12" max="12" width="14.7109375" style="3" bestFit="1" customWidth="1"/>
    <col min="13" max="13" width="34.7109375" style="3" bestFit="1" customWidth="1"/>
    <col min="14" max="14" width="16.7109375" style="3" bestFit="1" customWidth="1"/>
  </cols>
  <sheetData>
    <row r="1" spans="1:14" x14ac:dyDescent="0.25">
      <c r="A1" t="s">
        <v>296</v>
      </c>
      <c r="B1" t="s">
        <v>0</v>
      </c>
      <c r="C1" t="s">
        <v>297</v>
      </c>
      <c r="D1" t="s">
        <v>298</v>
      </c>
      <c r="E1" t="s">
        <v>304</v>
      </c>
      <c r="F1" t="s">
        <v>299</v>
      </c>
      <c r="G1" t="s">
        <v>305</v>
      </c>
      <c r="H1" t="s">
        <v>2</v>
      </c>
      <c r="I1" t="s">
        <v>306</v>
      </c>
      <c r="J1" t="s">
        <v>300</v>
      </c>
      <c r="K1" t="s">
        <v>307</v>
      </c>
      <c r="L1" s="3" t="s">
        <v>308</v>
      </c>
      <c r="M1" s="3" t="s">
        <v>309</v>
      </c>
      <c r="N1" s="3" t="s">
        <v>310</v>
      </c>
    </row>
    <row r="2" spans="1:14" x14ac:dyDescent="0.25">
      <c r="A2">
        <v>2015</v>
      </c>
      <c r="B2" t="s">
        <v>4</v>
      </c>
      <c r="C2">
        <v>1</v>
      </c>
      <c r="D2">
        <v>7.5869999999999997</v>
      </c>
      <c r="E2">
        <f>(Master[[#This Row],[Happiness_Score]]*100)/10</f>
        <v>75.86999999999999</v>
      </c>
      <c r="F2">
        <v>1.3965099999999999</v>
      </c>
      <c r="G2">
        <f>(Master[[#This Row],[Economy_GDP_per_Capita]]*100)/2</f>
        <v>69.825499999999991</v>
      </c>
      <c r="H2">
        <v>1.34951</v>
      </c>
      <c r="I2">
        <f>(Master[[#This Row],[Family]]*100)/2</f>
        <v>67.475499999999997</v>
      </c>
      <c r="J2">
        <v>0.94142999999999999</v>
      </c>
      <c r="K2">
        <f>(Master[[#This Row],[Health_Life_Expectancy]]*100)/2</f>
        <v>47.0715</v>
      </c>
      <c r="L2" s="3">
        <v>0.66556999999999999</v>
      </c>
      <c r="M2" s="3">
        <v>0.41977999999999999</v>
      </c>
      <c r="N2" s="3">
        <v>0</v>
      </c>
    </row>
    <row r="3" spans="1:14" x14ac:dyDescent="0.25">
      <c r="A3">
        <v>2015</v>
      </c>
      <c r="B3" t="s">
        <v>6</v>
      </c>
      <c r="C3">
        <v>2</v>
      </c>
      <c r="D3">
        <v>7.5609999999999999</v>
      </c>
      <c r="E3">
        <f>(Master[[#This Row],[Happiness_Score]]*100)/10</f>
        <v>75.61</v>
      </c>
      <c r="F3">
        <v>1.3023199999999999</v>
      </c>
      <c r="G3">
        <f>(Master[[#This Row],[Economy_GDP_per_Capita]]*100)/2</f>
        <v>65.116</v>
      </c>
      <c r="H3">
        <v>1.4022300000000001</v>
      </c>
      <c r="I3">
        <f>(Master[[#This Row],[Family]]*100)/2</f>
        <v>70.111500000000007</v>
      </c>
      <c r="J3">
        <v>0.94784000000000002</v>
      </c>
      <c r="K3">
        <f>(Master[[#This Row],[Health_Life_Expectancy]]*100)/2</f>
        <v>47.392000000000003</v>
      </c>
      <c r="L3" s="3">
        <v>0.62877000000000005</v>
      </c>
      <c r="M3" s="3">
        <v>0.14144999999999999</v>
      </c>
      <c r="N3" s="3">
        <v>0</v>
      </c>
    </row>
    <row r="4" spans="1:14" x14ac:dyDescent="0.25">
      <c r="A4">
        <v>2015</v>
      </c>
      <c r="B4" t="s">
        <v>7</v>
      </c>
      <c r="C4">
        <v>3</v>
      </c>
      <c r="D4">
        <v>7.5270000000000001</v>
      </c>
      <c r="E4">
        <f>(Master[[#This Row],[Happiness_Score]]*100)/10</f>
        <v>75.27000000000001</v>
      </c>
      <c r="F4">
        <v>1.32548</v>
      </c>
      <c r="G4">
        <f>(Master[[#This Row],[Economy_GDP_per_Capita]]*100)/2</f>
        <v>66.274000000000001</v>
      </c>
      <c r="H4">
        <v>1.3605799999999999</v>
      </c>
      <c r="I4">
        <f>(Master[[#This Row],[Family]]*100)/2</f>
        <v>68.028999999999996</v>
      </c>
      <c r="J4">
        <v>0.87463999999999997</v>
      </c>
      <c r="K4">
        <f>(Master[[#This Row],[Health_Life_Expectancy]]*100)/2</f>
        <v>43.731999999999999</v>
      </c>
      <c r="L4" s="3">
        <v>0.64937999999999996</v>
      </c>
      <c r="M4" s="3">
        <v>0.48357</v>
      </c>
      <c r="N4" s="3">
        <v>0</v>
      </c>
    </row>
    <row r="5" spans="1:14" x14ac:dyDescent="0.25">
      <c r="A5">
        <v>2015</v>
      </c>
      <c r="B5" t="s">
        <v>8</v>
      </c>
      <c r="C5">
        <v>4</v>
      </c>
      <c r="D5">
        <v>7.5220000000000002</v>
      </c>
      <c r="E5">
        <f>(Master[[#This Row],[Happiness_Score]]*100)/10</f>
        <v>75.22</v>
      </c>
      <c r="F5">
        <v>1.4590000000000001</v>
      </c>
      <c r="G5">
        <f>(Master[[#This Row],[Economy_GDP_per_Capita]]*100)/2</f>
        <v>72.95</v>
      </c>
      <c r="H5">
        <v>1.3309500000000001</v>
      </c>
      <c r="I5">
        <f>(Master[[#This Row],[Family]]*100)/2</f>
        <v>66.547499999999999</v>
      </c>
      <c r="J5">
        <v>0.88521000000000005</v>
      </c>
      <c r="K5">
        <f>(Master[[#This Row],[Health_Life_Expectancy]]*100)/2</f>
        <v>44.2605</v>
      </c>
      <c r="L5" s="3">
        <v>0.66973000000000005</v>
      </c>
      <c r="M5" s="3">
        <v>0.36503000000000002</v>
      </c>
      <c r="N5" s="3">
        <v>0</v>
      </c>
    </row>
    <row r="6" spans="1:14" x14ac:dyDescent="0.25">
      <c r="A6">
        <v>2015</v>
      </c>
      <c r="B6" t="s">
        <v>9</v>
      </c>
      <c r="C6">
        <v>5</v>
      </c>
      <c r="D6">
        <v>7.4269999999999996</v>
      </c>
      <c r="E6">
        <f>(Master[[#This Row],[Happiness_Score]]*100)/10</f>
        <v>74.27</v>
      </c>
      <c r="F6">
        <v>1.32629</v>
      </c>
      <c r="G6">
        <f>(Master[[#This Row],[Economy_GDP_per_Capita]]*100)/2</f>
        <v>66.314499999999995</v>
      </c>
      <c r="H6">
        <v>1.3226100000000001</v>
      </c>
      <c r="I6">
        <f>(Master[[#This Row],[Family]]*100)/2</f>
        <v>66.130499999999998</v>
      </c>
      <c r="J6">
        <v>0.90563000000000005</v>
      </c>
      <c r="K6">
        <f>(Master[[#This Row],[Health_Life_Expectancy]]*100)/2</f>
        <v>45.281500000000001</v>
      </c>
      <c r="L6" s="3">
        <v>0.63297000000000003</v>
      </c>
      <c r="M6" s="3">
        <v>0.32956999999999997</v>
      </c>
      <c r="N6" s="3">
        <v>0</v>
      </c>
    </row>
    <row r="7" spans="1:14" x14ac:dyDescent="0.25">
      <c r="A7">
        <v>2015</v>
      </c>
      <c r="B7" t="s">
        <v>11</v>
      </c>
      <c r="C7">
        <v>6</v>
      </c>
      <c r="D7">
        <v>7.4059999999999997</v>
      </c>
      <c r="E7">
        <f>(Master[[#This Row],[Happiness_Score]]*100)/10</f>
        <v>74.06</v>
      </c>
      <c r="F7">
        <v>1.2902499999999999</v>
      </c>
      <c r="G7">
        <f>(Master[[#This Row],[Economy_GDP_per_Capita]]*100)/2</f>
        <v>64.512499999999989</v>
      </c>
      <c r="H7">
        <v>1.31826</v>
      </c>
      <c r="I7">
        <f>(Master[[#This Row],[Family]]*100)/2</f>
        <v>65.912999999999997</v>
      </c>
      <c r="J7">
        <v>0.88910999999999996</v>
      </c>
      <c r="K7">
        <f>(Master[[#This Row],[Health_Life_Expectancy]]*100)/2</f>
        <v>44.455500000000001</v>
      </c>
      <c r="L7" s="3">
        <v>0.64168999999999998</v>
      </c>
      <c r="M7" s="3">
        <v>0.41371999999999998</v>
      </c>
      <c r="N7" s="3">
        <v>0</v>
      </c>
    </row>
    <row r="8" spans="1:14" x14ac:dyDescent="0.25">
      <c r="A8">
        <v>2015</v>
      </c>
      <c r="B8" t="s">
        <v>12</v>
      </c>
      <c r="C8">
        <v>7</v>
      </c>
      <c r="D8">
        <v>7.3780000000000001</v>
      </c>
      <c r="E8">
        <f>(Master[[#This Row],[Happiness_Score]]*100)/10</f>
        <v>73.78</v>
      </c>
      <c r="F8">
        <v>1.32944</v>
      </c>
      <c r="G8">
        <f>(Master[[#This Row],[Economy_GDP_per_Capita]]*100)/2</f>
        <v>66.471999999999994</v>
      </c>
      <c r="H8">
        <v>1.28017</v>
      </c>
      <c r="I8">
        <f>(Master[[#This Row],[Family]]*100)/2</f>
        <v>64.008499999999998</v>
      </c>
      <c r="J8">
        <v>0.89283999999999997</v>
      </c>
      <c r="K8">
        <f>(Master[[#This Row],[Health_Life_Expectancy]]*100)/2</f>
        <v>44.641999999999996</v>
      </c>
      <c r="L8" s="3">
        <v>0.61575999999999997</v>
      </c>
      <c r="M8" s="3">
        <v>0.31813999999999998</v>
      </c>
      <c r="N8" s="3">
        <v>0</v>
      </c>
    </row>
    <row r="9" spans="1:14" x14ac:dyDescent="0.25">
      <c r="A9">
        <v>2015</v>
      </c>
      <c r="B9" t="s">
        <v>13</v>
      </c>
      <c r="C9">
        <v>8</v>
      </c>
      <c r="D9">
        <v>7.3639999999999999</v>
      </c>
      <c r="E9">
        <f>(Master[[#This Row],[Happiness_Score]]*100)/10</f>
        <v>73.64</v>
      </c>
      <c r="F9">
        <v>1.3317099999999999</v>
      </c>
      <c r="G9">
        <f>(Master[[#This Row],[Economy_GDP_per_Capita]]*100)/2</f>
        <v>66.585499999999996</v>
      </c>
      <c r="H9">
        <v>1.2890699999999999</v>
      </c>
      <c r="I9">
        <f>(Master[[#This Row],[Family]]*100)/2</f>
        <v>64.453499999999991</v>
      </c>
      <c r="J9">
        <v>0.91086999999999996</v>
      </c>
      <c r="K9">
        <f>(Master[[#This Row],[Health_Life_Expectancy]]*100)/2</f>
        <v>45.543499999999995</v>
      </c>
      <c r="L9" s="3">
        <v>0.65980000000000005</v>
      </c>
      <c r="M9" s="3">
        <v>0.43844</v>
      </c>
      <c r="N9" s="3">
        <v>0</v>
      </c>
    </row>
    <row r="10" spans="1:14" x14ac:dyDescent="0.25">
      <c r="A10">
        <v>2015</v>
      </c>
      <c r="B10" t="s">
        <v>14</v>
      </c>
      <c r="C10">
        <v>9</v>
      </c>
      <c r="D10">
        <v>7.2859999999999996</v>
      </c>
      <c r="E10">
        <f>(Master[[#This Row],[Happiness_Score]]*100)/10</f>
        <v>72.859999999999985</v>
      </c>
      <c r="F10">
        <v>1.2501800000000001</v>
      </c>
      <c r="G10">
        <f>(Master[[#This Row],[Economy_GDP_per_Capita]]*100)/2</f>
        <v>62.509</v>
      </c>
      <c r="H10">
        <v>1.3196699999999999</v>
      </c>
      <c r="I10">
        <f>(Master[[#This Row],[Family]]*100)/2</f>
        <v>65.983499999999992</v>
      </c>
      <c r="J10">
        <v>0.90837000000000001</v>
      </c>
      <c r="K10">
        <f>(Master[[#This Row],[Health_Life_Expectancy]]*100)/2</f>
        <v>45.418500000000002</v>
      </c>
      <c r="L10" s="3">
        <v>0.63937999999999995</v>
      </c>
      <c r="M10" s="3">
        <v>0.42921999999999999</v>
      </c>
      <c r="N10" s="3">
        <v>0</v>
      </c>
    </row>
    <row r="11" spans="1:14" x14ac:dyDescent="0.25">
      <c r="A11">
        <v>2015</v>
      </c>
      <c r="B11" t="s">
        <v>16</v>
      </c>
      <c r="C11">
        <v>10</v>
      </c>
      <c r="D11">
        <v>7.2839999999999998</v>
      </c>
      <c r="E11">
        <f>(Master[[#This Row],[Happiness_Score]]*100)/10</f>
        <v>72.84</v>
      </c>
      <c r="F11">
        <v>1.33358</v>
      </c>
      <c r="G11">
        <f>(Master[[#This Row],[Economy_GDP_per_Capita]]*100)/2</f>
        <v>66.679000000000002</v>
      </c>
      <c r="H11">
        <v>1.3092299999999999</v>
      </c>
      <c r="I11">
        <f>(Master[[#This Row],[Family]]*100)/2</f>
        <v>65.461500000000001</v>
      </c>
      <c r="J11">
        <v>0.93156000000000005</v>
      </c>
      <c r="K11">
        <f>(Master[[#This Row],[Health_Life_Expectancy]]*100)/2</f>
        <v>46.578000000000003</v>
      </c>
      <c r="L11" s="3">
        <v>0.65124000000000004</v>
      </c>
      <c r="M11" s="3">
        <v>0.35637000000000002</v>
      </c>
      <c r="N11" s="3">
        <v>0</v>
      </c>
    </row>
    <row r="12" spans="1:14" x14ac:dyDescent="0.25">
      <c r="A12">
        <v>2015</v>
      </c>
      <c r="B12" t="s">
        <v>17</v>
      </c>
      <c r="C12">
        <v>11</v>
      </c>
      <c r="D12">
        <v>7.2779999999999996</v>
      </c>
      <c r="E12">
        <f>(Master[[#This Row],[Happiness_Score]]*100)/10</f>
        <v>72.78</v>
      </c>
      <c r="F12">
        <v>1.2285699999999999</v>
      </c>
      <c r="G12">
        <f>(Master[[#This Row],[Economy_GDP_per_Capita]]*100)/2</f>
        <v>61.4285</v>
      </c>
      <c r="H12">
        <v>1.22393</v>
      </c>
      <c r="I12">
        <f>(Master[[#This Row],[Family]]*100)/2</f>
        <v>61.1965</v>
      </c>
      <c r="J12">
        <v>0.91386999999999996</v>
      </c>
      <c r="K12">
        <f>(Master[[#This Row],[Health_Life_Expectancy]]*100)/2</f>
        <v>45.6935</v>
      </c>
      <c r="L12" s="3">
        <v>0.41319</v>
      </c>
      <c r="M12" s="3">
        <v>7.7850000000000003E-2</v>
      </c>
      <c r="N12" s="3">
        <v>0</v>
      </c>
    </row>
    <row r="13" spans="1:14" x14ac:dyDescent="0.25">
      <c r="A13">
        <v>2015</v>
      </c>
      <c r="B13" t="s">
        <v>19</v>
      </c>
      <c r="C13">
        <v>12</v>
      </c>
      <c r="D13">
        <v>7.226</v>
      </c>
      <c r="E13">
        <f>(Master[[#This Row],[Happiness_Score]]*100)/10</f>
        <v>72.260000000000005</v>
      </c>
      <c r="F13">
        <v>0.95577999999999996</v>
      </c>
      <c r="G13">
        <f>(Master[[#This Row],[Economy_GDP_per_Capita]]*100)/2</f>
        <v>47.789000000000001</v>
      </c>
      <c r="H13">
        <v>1.2378800000000001</v>
      </c>
      <c r="I13">
        <f>(Master[[#This Row],[Family]]*100)/2</f>
        <v>61.894000000000005</v>
      </c>
      <c r="J13">
        <v>0.86026999999999998</v>
      </c>
      <c r="K13">
        <f>(Master[[#This Row],[Health_Life_Expectancy]]*100)/2</f>
        <v>43.013500000000001</v>
      </c>
      <c r="L13" s="3">
        <v>0.63375999999999999</v>
      </c>
      <c r="M13" s="3">
        <v>0.10582999999999999</v>
      </c>
      <c r="N13" s="3">
        <v>0</v>
      </c>
    </row>
    <row r="14" spans="1:14" x14ac:dyDescent="0.25">
      <c r="A14">
        <v>2015</v>
      </c>
      <c r="B14" t="s">
        <v>21</v>
      </c>
      <c r="C14">
        <v>13</v>
      </c>
      <c r="D14">
        <v>7.2</v>
      </c>
      <c r="E14">
        <f>(Master[[#This Row],[Happiness_Score]]*100)/10</f>
        <v>72</v>
      </c>
      <c r="F14">
        <v>1.3372299999999999</v>
      </c>
      <c r="G14">
        <f>(Master[[#This Row],[Economy_GDP_per_Capita]]*100)/2</f>
        <v>66.861499999999992</v>
      </c>
      <c r="H14">
        <v>1.29704</v>
      </c>
      <c r="I14">
        <f>(Master[[#This Row],[Family]]*100)/2</f>
        <v>64.852000000000004</v>
      </c>
      <c r="J14">
        <v>0.89041999999999999</v>
      </c>
      <c r="K14">
        <f>(Master[[#This Row],[Health_Life_Expectancy]]*100)/2</f>
        <v>44.521000000000001</v>
      </c>
      <c r="L14" s="3">
        <v>0.62433000000000005</v>
      </c>
      <c r="M14" s="3">
        <v>0.18676000000000001</v>
      </c>
      <c r="N14" s="3">
        <v>0</v>
      </c>
    </row>
    <row r="15" spans="1:14" x14ac:dyDescent="0.25">
      <c r="A15">
        <v>2015</v>
      </c>
      <c r="B15" t="s">
        <v>22</v>
      </c>
      <c r="C15">
        <v>14</v>
      </c>
      <c r="D15">
        <v>7.1870000000000003</v>
      </c>
      <c r="E15">
        <f>(Master[[#This Row],[Happiness_Score]]*100)/10</f>
        <v>71.87</v>
      </c>
      <c r="F15">
        <v>1.02054</v>
      </c>
      <c r="G15">
        <f>(Master[[#This Row],[Economy_GDP_per_Capita]]*100)/2</f>
        <v>51.027000000000001</v>
      </c>
      <c r="H15">
        <v>0.91451000000000005</v>
      </c>
      <c r="I15">
        <f>(Master[[#This Row],[Family]]*100)/2</f>
        <v>45.725500000000004</v>
      </c>
      <c r="J15">
        <v>0.81444000000000005</v>
      </c>
      <c r="K15">
        <f>(Master[[#This Row],[Health_Life_Expectancy]]*100)/2</f>
        <v>40.722000000000001</v>
      </c>
      <c r="L15" s="3">
        <v>0.48181000000000002</v>
      </c>
      <c r="M15" s="3">
        <v>0.21312</v>
      </c>
      <c r="N15" s="3">
        <v>0</v>
      </c>
    </row>
    <row r="16" spans="1:14" x14ac:dyDescent="0.25">
      <c r="A16">
        <v>2015</v>
      </c>
      <c r="B16" t="s">
        <v>23</v>
      </c>
      <c r="C16">
        <v>15</v>
      </c>
      <c r="D16">
        <v>7.1189999999999998</v>
      </c>
      <c r="E16">
        <f>(Master[[#This Row],[Happiness_Score]]*100)/10</f>
        <v>71.19</v>
      </c>
      <c r="F16">
        <v>1.3945099999999999</v>
      </c>
      <c r="G16">
        <f>(Master[[#This Row],[Economy_GDP_per_Capita]]*100)/2</f>
        <v>69.725499999999997</v>
      </c>
      <c r="H16">
        <v>1.2471099999999999</v>
      </c>
      <c r="I16">
        <f>(Master[[#This Row],[Family]]*100)/2</f>
        <v>62.355499999999999</v>
      </c>
      <c r="J16">
        <v>0.86178999999999994</v>
      </c>
      <c r="K16">
        <f>(Master[[#This Row],[Health_Life_Expectancy]]*100)/2</f>
        <v>43.089499999999994</v>
      </c>
      <c r="L16" s="3">
        <v>0.54603999999999997</v>
      </c>
      <c r="M16" s="3">
        <v>0.15890000000000001</v>
      </c>
      <c r="N16" s="3">
        <v>0</v>
      </c>
    </row>
    <row r="17" spans="1:14" x14ac:dyDescent="0.25">
      <c r="A17">
        <v>2015</v>
      </c>
      <c r="B17" t="s">
        <v>24</v>
      </c>
      <c r="C17">
        <v>16</v>
      </c>
      <c r="D17">
        <v>6.9829999999999997</v>
      </c>
      <c r="E17">
        <f>(Master[[#This Row],[Happiness_Score]]*100)/10</f>
        <v>69.83</v>
      </c>
      <c r="F17">
        <v>0.98124</v>
      </c>
      <c r="G17">
        <f>(Master[[#This Row],[Economy_GDP_per_Capita]]*100)/2</f>
        <v>49.061999999999998</v>
      </c>
      <c r="H17">
        <v>1.2328699999999999</v>
      </c>
      <c r="I17">
        <f>(Master[[#This Row],[Family]]*100)/2</f>
        <v>61.643499999999996</v>
      </c>
      <c r="J17">
        <v>0.69701999999999997</v>
      </c>
      <c r="K17">
        <f>(Master[[#This Row],[Health_Life_Expectancy]]*100)/2</f>
        <v>34.850999999999999</v>
      </c>
      <c r="L17" s="3">
        <v>0.49048999999999998</v>
      </c>
      <c r="M17" s="3">
        <v>0.17521</v>
      </c>
      <c r="N17" s="3">
        <v>0</v>
      </c>
    </row>
    <row r="18" spans="1:14" x14ac:dyDescent="0.25">
      <c r="A18">
        <v>2015</v>
      </c>
      <c r="B18" t="s">
        <v>25</v>
      </c>
      <c r="C18">
        <v>17</v>
      </c>
      <c r="D18">
        <v>6.9459999999999997</v>
      </c>
      <c r="E18">
        <f>(Master[[#This Row],[Happiness_Score]]*100)/10</f>
        <v>69.460000000000008</v>
      </c>
      <c r="F18">
        <v>1.5639099999999999</v>
      </c>
      <c r="G18">
        <f>(Master[[#This Row],[Economy_GDP_per_Capita]]*100)/2</f>
        <v>78.195499999999996</v>
      </c>
      <c r="H18">
        <v>1.21963</v>
      </c>
      <c r="I18">
        <f>(Master[[#This Row],[Family]]*100)/2</f>
        <v>60.981499999999997</v>
      </c>
      <c r="J18">
        <v>0.91893999999999998</v>
      </c>
      <c r="K18">
        <f>(Master[[#This Row],[Health_Life_Expectancy]]*100)/2</f>
        <v>45.946999999999996</v>
      </c>
      <c r="L18" s="3">
        <v>0.61582999999999999</v>
      </c>
      <c r="M18" s="3">
        <v>0.37797999999999998</v>
      </c>
      <c r="N18" s="3">
        <v>0</v>
      </c>
    </row>
    <row r="19" spans="1:14" x14ac:dyDescent="0.25">
      <c r="A19">
        <v>2015</v>
      </c>
      <c r="B19" t="s">
        <v>26</v>
      </c>
      <c r="C19">
        <v>18</v>
      </c>
      <c r="D19">
        <v>6.94</v>
      </c>
      <c r="E19">
        <f>(Master[[#This Row],[Happiness_Score]]*100)/10</f>
        <v>69.400000000000006</v>
      </c>
      <c r="F19">
        <v>1.33596</v>
      </c>
      <c r="G19">
        <f>(Master[[#This Row],[Economy_GDP_per_Capita]]*100)/2</f>
        <v>66.798000000000002</v>
      </c>
      <c r="H19">
        <v>1.36948</v>
      </c>
      <c r="I19">
        <f>(Master[[#This Row],[Family]]*100)/2</f>
        <v>68.474000000000004</v>
      </c>
      <c r="J19">
        <v>0.89532999999999996</v>
      </c>
      <c r="K19">
        <f>(Master[[#This Row],[Health_Life_Expectancy]]*100)/2</f>
        <v>44.766500000000001</v>
      </c>
      <c r="L19" s="3">
        <v>0.61777000000000004</v>
      </c>
      <c r="M19" s="3">
        <v>0.28703000000000001</v>
      </c>
      <c r="N19" s="3">
        <v>0</v>
      </c>
    </row>
    <row r="20" spans="1:14" x14ac:dyDescent="0.25">
      <c r="A20">
        <v>2015</v>
      </c>
      <c r="B20" t="s">
        <v>27</v>
      </c>
      <c r="C20">
        <v>19</v>
      </c>
      <c r="D20">
        <v>6.9370000000000003</v>
      </c>
      <c r="E20">
        <f>(Master[[#This Row],[Happiness_Score]]*100)/10</f>
        <v>69.37</v>
      </c>
      <c r="F20">
        <v>1.30782</v>
      </c>
      <c r="G20">
        <f>(Master[[#This Row],[Economy_GDP_per_Capita]]*100)/2</f>
        <v>65.391000000000005</v>
      </c>
      <c r="H20">
        <v>1.28566</v>
      </c>
      <c r="I20">
        <f>(Master[[#This Row],[Family]]*100)/2</f>
        <v>64.283000000000001</v>
      </c>
      <c r="J20">
        <v>0.89666999999999997</v>
      </c>
      <c r="K20">
        <f>(Master[[#This Row],[Health_Life_Expectancy]]*100)/2</f>
        <v>44.833500000000001</v>
      </c>
      <c r="L20" s="3">
        <v>0.58450000000000002</v>
      </c>
      <c r="M20" s="3">
        <v>0.22539999999999999</v>
      </c>
      <c r="N20" s="3">
        <v>0</v>
      </c>
    </row>
    <row r="21" spans="1:14" x14ac:dyDescent="0.25">
      <c r="A21">
        <v>2015</v>
      </c>
      <c r="B21" t="s">
        <v>28</v>
      </c>
      <c r="C21">
        <v>20</v>
      </c>
      <c r="D21">
        <v>6.9009999999999998</v>
      </c>
      <c r="E21">
        <f>(Master[[#This Row],[Happiness_Score]]*100)/10</f>
        <v>69.010000000000005</v>
      </c>
      <c r="F21">
        <v>1.42727</v>
      </c>
      <c r="G21">
        <f>(Master[[#This Row],[Economy_GDP_per_Capita]]*100)/2</f>
        <v>71.363500000000002</v>
      </c>
      <c r="H21">
        <v>1.12575</v>
      </c>
      <c r="I21">
        <f>(Master[[#This Row],[Family]]*100)/2</f>
        <v>56.287500000000001</v>
      </c>
      <c r="J21">
        <v>0.80925000000000002</v>
      </c>
      <c r="K21">
        <f>(Master[[#This Row],[Health_Life_Expectancy]]*100)/2</f>
        <v>40.462499999999999</v>
      </c>
      <c r="L21" s="3">
        <v>0.64156999999999997</v>
      </c>
      <c r="M21" s="3">
        <v>0.38583000000000001</v>
      </c>
      <c r="N21" s="3">
        <v>0</v>
      </c>
    </row>
    <row r="22" spans="1:14" x14ac:dyDescent="0.25">
      <c r="A22">
        <v>2015</v>
      </c>
      <c r="B22" t="s">
        <v>29</v>
      </c>
      <c r="C22">
        <v>21</v>
      </c>
      <c r="D22">
        <v>6.867</v>
      </c>
      <c r="E22">
        <f>(Master[[#This Row],[Happiness_Score]]*100)/10</f>
        <v>68.67</v>
      </c>
      <c r="F22">
        <v>1.26637</v>
      </c>
      <c r="G22">
        <f>(Master[[#This Row],[Economy_GDP_per_Capita]]*100)/2</f>
        <v>63.3185</v>
      </c>
      <c r="H22">
        <v>1.28548</v>
      </c>
      <c r="I22">
        <f>(Master[[#This Row],[Family]]*100)/2</f>
        <v>64.274000000000001</v>
      </c>
      <c r="J22">
        <v>0.90942999999999996</v>
      </c>
      <c r="K22">
        <f>(Master[[#This Row],[Health_Life_Expectancy]]*100)/2</f>
        <v>45.471499999999999</v>
      </c>
      <c r="L22" s="3">
        <v>0.59624999999999995</v>
      </c>
      <c r="M22" s="3">
        <v>0.32067000000000001</v>
      </c>
      <c r="N22" s="3">
        <v>0</v>
      </c>
    </row>
    <row r="23" spans="1:14" x14ac:dyDescent="0.25">
      <c r="A23">
        <v>2015</v>
      </c>
      <c r="B23" t="s">
        <v>30</v>
      </c>
      <c r="C23">
        <v>22</v>
      </c>
      <c r="D23">
        <v>6.8529999999999998</v>
      </c>
      <c r="E23">
        <f>(Master[[#This Row],[Happiness_Score]]*100)/10</f>
        <v>68.53</v>
      </c>
      <c r="F23">
        <v>1.3601099999999999</v>
      </c>
      <c r="G23">
        <f>(Master[[#This Row],[Economy_GDP_per_Capita]]*100)/2</f>
        <v>68.005499999999998</v>
      </c>
      <c r="H23">
        <v>1.08182</v>
      </c>
      <c r="I23">
        <f>(Master[[#This Row],[Family]]*100)/2</f>
        <v>54.091000000000001</v>
      </c>
      <c r="J23">
        <v>0.76275999999999999</v>
      </c>
      <c r="K23">
        <f>(Master[[#This Row],[Health_Life_Expectancy]]*100)/2</f>
        <v>38.137999999999998</v>
      </c>
      <c r="L23" s="3">
        <v>0.63273999999999997</v>
      </c>
      <c r="M23" s="3">
        <v>0.32523999999999997</v>
      </c>
      <c r="N23" s="3">
        <v>0</v>
      </c>
    </row>
    <row r="24" spans="1:14" x14ac:dyDescent="0.25">
      <c r="A24">
        <v>2015</v>
      </c>
      <c r="B24" t="s">
        <v>31</v>
      </c>
      <c r="C24">
        <v>23</v>
      </c>
      <c r="D24">
        <v>6.81</v>
      </c>
      <c r="E24">
        <f>(Master[[#This Row],[Happiness_Score]]*100)/10</f>
        <v>68.099999999999994</v>
      </c>
      <c r="F24">
        <v>1.0442400000000001</v>
      </c>
      <c r="G24">
        <f>(Master[[#This Row],[Economy_GDP_per_Capita]]*100)/2</f>
        <v>52.212000000000003</v>
      </c>
      <c r="H24">
        <v>1.25596</v>
      </c>
      <c r="I24">
        <f>(Master[[#This Row],[Family]]*100)/2</f>
        <v>62.798000000000002</v>
      </c>
      <c r="J24">
        <v>0.72052000000000005</v>
      </c>
      <c r="K24">
        <f>(Master[[#This Row],[Health_Life_Expectancy]]*100)/2</f>
        <v>36.026000000000003</v>
      </c>
      <c r="L24" s="3">
        <v>0.42908000000000002</v>
      </c>
      <c r="M24" s="3">
        <v>0.11069</v>
      </c>
      <c r="N24" s="3">
        <v>0</v>
      </c>
    </row>
    <row r="25" spans="1:14" x14ac:dyDescent="0.25">
      <c r="A25">
        <v>2015</v>
      </c>
      <c r="B25" t="s">
        <v>32</v>
      </c>
      <c r="C25">
        <v>24</v>
      </c>
      <c r="D25">
        <v>6.798</v>
      </c>
      <c r="E25">
        <f>(Master[[#This Row],[Happiness_Score]]*100)/10</f>
        <v>67.97999999999999</v>
      </c>
      <c r="F25">
        <v>1.52186</v>
      </c>
      <c r="G25">
        <f>(Master[[#This Row],[Economy_GDP_per_Capita]]*100)/2</f>
        <v>76.093000000000004</v>
      </c>
      <c r="H25">
        <v>1.02</v>
      </c>
      <c r="I25">
        <f>(Master[[#This Row],[Family]]*100)/2</f>
        <v>51</v>
      </c>
      <c r="J25">
        <v>1.02525</v>
      </c>
      <c r="K25">
        <f>(Master[[#This Row],[Health_Life_Expectancy]]*100)/2</f>
        <v>51.262500000000003</v>
      </c>
      <c r="L25" s="3">
        <v>0.54252</v>
      </c>
      <c r="M25" s="3">
        <v>0.49209999999999998</v>
      </c>
      <c r="N25" s="3">
        <v>0</v>
      </c>
    </row>
    <row r="26" spans="1:14" x14ac:dyDescent="0.25">
      <c r="A26">
        <v>2015</v>
      </c>
      <c r="B26" t="s">
        <v>34</v>
      </c>
      <c r="C26">
        <v>25</v>
      </c>
      <c r="D26">
        <v>6.7859999999999996</v>
      </c>
      <c r="E26">
        <f>(Master[[#This Row],[Happiness_Score]]*100)/10</f>
        <v>67.859999999999985</v>
      </c>
      <c r="F26">
        <v>1.0635300000000001</v>
      </c>
      <c r="G26">
        <f>(Master[[#This Row],[Economy_GDP_per_Capita]]*100)/2</f>
        <v>53.176500000000004</v>
      </c>
      <c r="H26">
        <v>1.1984999999999999</v>
      </c>
      <c r="I26">
        <f>(Master[[#This Row],[Family]]*100)/2</f>
        <v>59.924999999999997</v>
      </c>
      <c r="J26">
        <v>0.79661000000000004</v>
      </c>
      <c r="K26">
        <f>(Master[[#This Row],[Health_Life_Expectancy]]*100)/2</f>
        <v>39.830500000000001</v>
      </c>
      <c r="L26" s="3">
        <v>0.54210000000000003</v>
      </c>
      <c r="M26" s="3">
        <v>9.2700000000000005E-2</v>
      </c>
      <c r="N26" s="3">
        <v>0</v>
      </c>
    </row>
    <row r="27" spans="1:14" x14ac:dyDescent="0.25">
      <c r="A27">
        <v>2015</v>
      </c>
      <c r="B27" t="s">
        <v>35</v>
      </c>
      <c r="C27">
        <v>26</v>
      </c>
      <c r="D27">
        <v>6.75</v>
      </c>
      <c r="E27">
        <f>(Master[[#This Row],[Happiness_Score]]*100)/10</f>
        <v>67.5</v>
      </c>
      <c r="F27">
        <v>1.32792</v>
      </c>
      <c r="G27">
        <f>(Master[[#This Row],[Economy_GDP_per_Capita]]*100)/2</f>
        <v>66.396000000000001</v>
      </c>
      <c r="H27">
        <v>1.2993699999999999</v>
      </c>
      <c r="I27">
        <f>(Master[[#This Row],[Family]]*100)/2</f>
        <v>64.968499999999992</v>
      </c>
      <c r="J27">
        <v>0.89185999999999999</v>
      </c>
      <c r="K27">
        <f>(Master[[#This Row],[Health_Life_Expectancy]]*100)/2</f>
        <v>44.592999999999996</v>
      </c>
      <c r="L27" s="3">
        <v>0.61477000000000004</v>
      </c>
      <c r="M27" s="3">
        <v>0.21843000000000001</v>
      </c>
      <c r="N27" s="3">
        <v>0</v>
      </c>
    </row>
    <row r="28" spans="1:14" x14ac:dyDescent="0.25">
      <c r="A28">
        <v>2015</v>
      </c>
      <c r="B28" t="s">
        <v>36</v>
      </c>
      <c r="C28">
        <v>27</v>
      </c>
      <c r="D28">
        <v>6.67</v>
      </c>
      <c r="E28">
        <f>(Master[[#This Row],[Happiness_Score]]*100)/10</f>
        <v>66.7</v>
      </c>
      <c r="F28">
        <v>1.1071500000000001</v>
      </c>
      <c r="G28">
        <f>(Master[[#This Row],[Economy_GDP_per_Capita]]*100)/2</f>
        <v>55.357500000000002</v>
      </c>
      <c r="H28">
        <v>1.1244700000000001</v>
      </c>
      <c r="I28">
        <f>(Master[[#This Row],[Family]]*100)/2</f>
        <v>56.223500000000001</v>
      </c>
      <c r="J28">
        <v>0.85857000000000006</v>
      </c>
      <c r="K28">
        <f>(Master[[#This Row],[Health_Life_Expectancy]]*100)/2</f>
        <v>42.9285</v>
      </c>
      <c r="L28" s="3">
        <v>0.44131999999999999</v>
      </c>
      <c r="M28" s="3">
        <v>0.12869</v>
      </c>
      <c r="N28" s="3">
        <v>0</v>
      </c>
    </row>
    <row r="29" spans="1:14" x14ac:dyDescent="0.25">
      <c r="A29">
        <v>2015</v>
      </c>
      <c r="B29" t="s">
        <v>37</v>
      </c>
      <c r="C29">
        <v>28</v>
      </c>
      <c r="D29">
        <v>6.6109999999999998</v>
      </c>
      <c r="E29">
        <f>(Master[[#This Row],[Happiness_Score]]*100)/10</f>
        <v>66.11</v>
      </c>
      <c r="F29">
        <v>1.69042</v>
      </c>
      <c r="G29">
        <f>(Master[[#This Row],[Economy_GDP_per_Capita]]*100)/2</f>
        <v>84.521000000000001</v>
      </c>
      <c r="H29">
        <v>1.0786</v>
      </c>
      <c r="I29">
        <f>(Master[[#This Row],[Family]]*100)/2</f>
        <v>53.93</v>
      </c>
      <c r="J29">
        <v>0.79732999999999998</v>
      </c>
      <c r="K29">
        <f>(Master[[#This Row],[Health_Life_Expectancy]]*100)/2</f>
        <v>39.866500000000002</v>
      </c>
      <c r="L29" s="3">
        <v>0.64039999999999997</v>
      </c>
      <c r="M29" s="3">
        <v>0.52207999999999999</v>
      </c>
      <c r="N29" s="3">
        <v>0</v>
      </c>
    </row>
    <row r="30" spans="1:14" x14ac:dyDescent="0.25">
      <c r="A30">
        <v>2015</v>
      </c>
      <c r="B30" t="s">
        <v>38</v>
      </c>
      <c r="C30">
        <v>29</v>
      </c>
      <c r="D30">
        <v>6.5750000000000002</v>
      </c>
      <c r="E30">
        <f>(Master[[#This Row],[Happiness_Score]]*100)/10</f>
        <v>65.75</v>
      </c>
      <c r="F30">
        <v>1.2777799999999999</v>
      </c>
      <c r="G30">
        <f>(Master[[#This Row],[Economy_GDP_per_Capita]]*100)/2</f>
        <v>63.888999999999996</v>
      </c>
      <c r="H30">
        <v>1.2603800000000001</v>
      </c>
      <c r="I30">
        <f>(Master[[#This Row],[Family]]*100)/2</f>
        <v>63.019000000000005</v>
      </c>
      <c r="J30">
        <v>0.94579000000000002</v>
      </c>
      <c r="K30">
        <f>(Master[[#This Row],[Health_Life_Expectancy]]*100)/2</f>
        <v>47.289500000000004</v>
      </c>
      <c r="L30" s="3">
        <v>0.55010999999999999</v>
      </c>
      <c r="M30" s="3">
        <v>0.20646</v>
      </c>
      <c r="N30" s="3">
        <v>0</v>
      </c>
    </row>
    <row r="31" spans="1:14" x14ac:dyDescent="0.25">
      <c r="A31">
        <v>2015</v>
      </c>
      <c r="B31" t="s">
        <v>39</v>
      </c>
      <c r="C31">
        <v>30</v>
      </c>
      <c r="D31">
        <v>6.5739999999999998</v>
      </c>
      <c r="E31">
        <f>(Master[[#This Row],[Happiness_Score]]*100)/10</f>
        <v>65.739999999999995</v>
      </c>
      <c r="F31">
        <v>1.0535099999999999</v>
      </c>
      <c r="G31">
        <f>(Master[[#This Row],[Economy_GDP_per_Capita]]*100)/2</f>
        <v>52.6755</v>
      </c>
      <c r="H31">
        <v>1.24823</v>
      </c>
      <c r="I31">
        <f>(Master[[#This Row],[Family]]*100)/2</f>
        <v>62.411499999999997</v>
      </c>
      <c r="J31">
        <v>0.78722999999999999</v>
      </c>
      <c r="K31">
        <f>(Master[[#This Row],[Health_Life_Expectancy]]*100)/2</f>
        <v>39.361499999999999</v>
      </c>
      <c r="L31" s="3">
        <v>0.44973999999999997</v>
      </c>
      <c r="M31" s="3">
        <v>8.4839999999999999E-2</v>
      </c>
      <c r="N31" s="3">
        <v>0</v>
      </c>
    </row>
    <row r="32" spans="1:14" x14ac:dyDescent="0.25">
      <c r="A32">
        <v>2015</v>
      </c>
      <c r="B32" t="s">
        <v>40</v>
      </c>
      <c r="C32">
        <v>31</v>
      </c>
      <c r="D32">
        <v>6.5049999999999999</v>
      </c>
      <c r="E32">
        <f>(Master[[#This Row],[Happiness_Score]]*100)/10</f>
        <v>65.05</v>
      </c>
      <c r="F32">
        <v>1.1789799999999999</v>
      </c>
      <c r="G32">
        <f>(Master[[#This Row],[Economy_GDP_per_Capita]]*100)/2</f>
        <v>58.948999999999998</v>
      </c>
      <c r="H32">
        <v>1.2064299999999999</v>
      </c>
      <c r="I32">
        <f>(Master[[#This Row],[Family]]*100)/2</f>
        <v>60.321499999999993</v>
      </c>
      <c r="J32">
        <v>0.84482999999999997</v>
      </c>
      <c r="K32">
        <f>(Master[[#This Row],[Health_Life_Expectancy]]*100)/2</f>
        <v>42.241500000000002</v>
      </c>
      <c r="L32" s="3">
        <v>0.46364</v>
      </c>
      <c r="M32" s="3">
        <v>2.6519999999999998E-2</v>
      </c>
      <c r="N32" s="3">
        <v>0</v>
      </c>
    </row>
    <row r="33" spans="1:14" x14ac:dyDescent="0.25">
      <c r="A33">
        <v>2015</v>
      </c>
      <c r="B33" t="s">
        <v>42</v>
      </c>
      <c r="C33">
        <v>32</v>
      </c>
      <c r="D33">
        <v>6.4850000000000003</v>
      </c>
      <c r="E33">
        <f>(Master[[#This Row],[Happiness_Score]]*100)/10</f>
        <v>64.849999999999994</v>
      </c>
      <c r="F33">
        <v>1.06166</v>
      </c>
      <c r="G33">
        <f>(Master[[#This Row],[Economy_GDP_per_Capita]]*100)/2</f>
        <v>53.083000000000006</v>
      </c>
      <c r="H33">
        <v>1.2089000000000001</v>
      </c>
      <c r="I33">
        <f>(Master[[#This Row],[Family]]*100)/2</f>
        <v>60.445000000000007</v>
      </c>
      <c r="J33">
        <v>0.81159999999999999</v>
      </c>
      <c r="K33">
        <f>(Master[[#This Row],[Health_Life_Expectancy]]*100)/2</f>
        <v>40.58</v>
      </c>
      <c r="L33" s="3">
        <v>0.60362000000000005</v>
      </c>
      <c r="M33" s="3">
        <v>0.24557999999999999</v>
      </c>
      <c r="N33" s="3">
        <v>0</v>
      </c>
    </row>
    <row r="34" spans="1:14" x14ac:dyDescent="0.25">
      <c r="A34">
        <v>2015</v>
      </c>
      <c r="B34" t="s">
        <v>43</v>
      </c>
      <c r="C34">
        <v>33</v>
      </c>
      <c r="D34">
        <v>6.4770000000000003</v>
      </c>
      <c r="E34">
        <f>(Master[[#This Row],[Happiness_Score]]*100)/10</f>
        <v>64.77000000000001</v>
      </c>
      <c r="F34">
        <v>0.91861000000000004</v>
      </c>
      <c r="G34">
        <f>(Master[[#This Row],[Economy_GDP_per_Capita]]*100)/2</f>
        <v>45.930500000000002</v>
      </c>
      <c r="H34">
        <v>1.2401800000000001</v>
      </c>
      <c r="I34">
        <f>(Master[[#This Row],[Family]]*100)/2</f>
        <v>62.009</v>
      </c>
      <c r="J34">
        <v>0.69077</v>
      </c>
      <c r="K34">
        <f>(Master[[#This Row],[Health_Life_Expectancy]]*100)/2</f>
        <v>34.538499999999999</v>
      </c>
      <c r="L34" s="3">
        <v>0.53466000000000002</v>
      </c>
      <c r="M34" s="3">
        <v>5.1200000000000002E-2</v>
      </c>
      <c r="N34" s="3">
        <v>0</v>
      </c>
    </row>
    <row r="35" spans="1:14" x14ac:dyDescent="0.25">
      <c r="A35">
        <v>2015</v>
      </c>
      <c r="B35" t="s">
        <v>44</v>
      </c>
      <c r="C35">
        <v>34</v>
      </c>
      <c r="D35">
        <v>6.4550000000000001</v>
      </c>
      <c r="E35">
        <f>(Master[[#This Row],[Happiness_Score]]*100)/10</f>
        <v>64.55</v>
      </c>
      <c r="F35">
        <v>0.96689999999999998</v>
      </c>
      <c r="G35">
        <f>(Master[[#This Row],[Economy_GDP_per_Capita]]*100)/2</f>
        <v>48.344999999999999</v>
      </c>
      <c r="H35">
        <v>1.2650399999999999</v>
      </c>
      <c r="I35">
        <f>(Master[[#This Row],[Family]]*100)/2</f>
        <v>63.251999999999995</v>
      </c>
      <c r="J35">
        <v>0.73850000000000005</v>
      </c>
      <c r="K35">
        <f>(Master[[#This Row],[Health_Life_Expectancy]]*100)/2</f>
        <v>36.925000000000004</v>
      </c>
      <c r="L35" s="3">
        <v>0.55664000000000002</v>
      </c>
      <c r="M35" s="3">
        <v>3.1870000000000002E-2</v>
      </c>
      <c r="N35" s="3">
        <v>0</v>
      </c>
    </row>
    <row r="36" spans="1:14" x14ac:dyDescent="0.25">
      <c r="A36">
        <v>2015</v>
      </c>
      <c r="B36" t="s">
        <v>45</v>
      </c>
      <c r="C36">
        <v>35</v>
      </c>
      <c r="D36">
        <v>6.4109999999999996</v>
      </c>
      <c r="E36">
        <f>(Master[[#This Row],[Happiness_Score]]*100)/10</f>
        <v>64.109999999999985</v>
      </c>
      <c r="F36">
        <v>1.39541</v>
      </c>
      <c r="G36">
        <f>(Master[[#This Row],[Economy_GDP_per_Capita]]*100)/2</f>
        <v>69.770499999999998</v>
      </c>
      <c r="H36">
        <v>1.0839300000000001</v>
      </c>
      <c r="I36">
        <f>(Master[[#This Row],[Family]]*100)/2</f>
        <v>54.1965</v>
      </c>
      <c r="J36">
        <v>0.72024999999999995</v>
      </c>
      <c r="K36">
        <f>(Master[[#This Row],[Health_Life_Expectancy]]*100)/2</f>
        <v>36.012499999999996</v>
      </c>
      <c r="L36" s="3">
        <v>0.31047999999999998</v>
      </c>
      <c r="M36" s="3">
        <v>0.32523999999999997</v>
      </c>
      <c r="N36" s="3">
        <v>0</v>
      </c>
    </row>
    <row r="37" spans="1:14" x14ac:dyDescent="0.25">
      <c r="A37">
        <v>2015</v>
      </c>
      <c r="B37" t="s">
        <v>46</v>
      </c>
      <c r="C37">
        <v>36</v>
      </c>
      <c r="D37">
        <v>6.3289999999999997</v>
      </c>
      <c r="E37">
        <f>(Master[[#This Row],[Happiness_Score]]*100)/10</f>
        <v>63.29</v>
      </c>
      <c r="F37">
        <v>1.23011</v>
      </c>
      <c r="G37">
        <f>(Master[[#This Row],[Economy_GDP_per_Capita]]*100)/2</f>
        <v>61.505500000000005</v>
      </c>
      <c r="H37">
        <v>1.31379</v>
      </c>
      <c r="I37">
        <f>(Master[[#This Row],[Family]]*100)/2</f>
        <v>65.689499999999995</v>
      </c>
      <c r="J37">
        <v>0.95562000000000002</v>
      </c>
      <c r="K37">
        <f>(Master[[#This Row],[Health_Life_Expectancy]]*100)/2</f>
        <v>47.780999999999999</v>
      </c>
      <c r="L37" s="3">
        <v>0.45950999999999997</v>
      </c>
      <c r="M37" s="3">
        <v>6.3979999999999995E-2</v>
      </c>
      <c r="N37" s="3">
        <v>0</v>
      </c>
    </row>
    <row r="38" spans="1:14" x14ac:dyDescent="0.25">
      <c r="A38">
        <v>2015</v>
      </c>
      <c r="B38" t="s">
        <v>47</v>
      </c>
      <c r="C38">
        <v>37</v>
      </c>
      <c r="D38">
        <v>6.3019999999999996</v>
      </c>
      <c r="E38">
        <f>(Master[[#This Row],[Happiness_Score]]*100)/10</f>
        <v>63.019999999999996</v>
      </c>
      <c r="F38">
        <v>1.2074</v>
      </c>
      <c r="G38">
        <f>(Master[[#This Row],[Economy_GDP_per_Capita]]*100)/2</f>
        <v>60.370000000000005</v>
      </c>
      <c r="H38">
        <v>1.30203</v>
      </c>
      <c r="I38">
        <f>(Master[[#This Row],[Family]]*100)/2</f>
        <v>65.101500000000001</v>
      </c>
      <c r="J38">
        <v>0.88721000000000005</v>
      </c>
      <c r="K38">
        <f>(Master[[#This Row],[Health_Life_Expectancy]]*100)/2</f>
        <v>44.360500000000002</v>
      </c>
      <c r="L38" s="3">
        <v>0.60365000000000002</v>
      </c>
      <c r="M38" s="3">
        <v>0.13586000000000001</v>
      </c>
      <c r="N38" s="3">
        <v>0</v>
      </c>
    </row>
    <row r="39" spans="1:14" x14ac:dyDescent="0.25">
      <c r="A39">
        <v>2015</v>
      </c>
      <c r="B39" t="s">
        <v>48</v>
      </c>
      <c r="C39">
        <v>38</v>
      </c>
      <c r="D39">
        <v>6.298</v>
      </c>
      <c r="E39">
        <f>(Master[[#This Row],[Happiness_Score]]*100)/10</f>
        <v>62.98</v>
      </c>
      <c r="F39">
        <v>1.29098</v>
      </c>
      <c r="G39">
        <f>(Master[[#This Row],[Economy_GDP_per_Capita]]*100)/2</f>
        <v>64.549000000000007</v>
      </c>
      <c r="H39">
        <v>1.0761700000000001</v>
      </c>
      <c r="I39">
        <f>(Master[[#This Row],[Family]]*100)/2</f>
        <v>53.808500000000002</v>
      </c>
      <c r="J39">
        <v>0.87529999999999997</v>
      </c>
      <c r="K39">
        <f>(Master[[#This Row],[Health_Life_Expectancy]]*100)/2</f>
        <v>43.765000000000001</v>
      </c>
      <c r="L39" s="3">
        <v>0.39739999999999998</v>
      </c>
      <c r="M39" s="3">
        <v>8.1290000000000001E-2</v>
      </c>
      <c r="N39" s="3">
        <v>0</v>
      </c>
    </row>
    <row r="40" spans="1:14" x14ac:dyDescent="0.25">
      <c r="A40">
        <v>2015</v>
      </c>
      <c r="B40" t="s">
        <v>50</v>
      </c>
      <c r="C40">
        <v>39</v>
      </c>
      <c r="D40">
        <v>6.2949999999999999</v>
      </c>
      <c r="E40">
        <f>(Master[[#This Row],[Happiness_Score]]*100)/10</f>
        <v>62.95</v>
      </c>
      <c r="F40">
        <v>1.5542199999999999</v>
      </c>
      <c r="G40">
        <f>(Master[[#This Row],[Economy_GDP_per_Capita]]*100)/2</f>
        <v>77.710999999999999</v>
      </c>
      <c r="H40">
        <v>1.16594</v>
      </c>
      <c r="I40">
        <f>(Master[[#This Row],[Family]]*100)/2</f>
        <v>58.296999999999997</v>
      </c>
      <c r="J40">
        <v>0.72492000000000001</v>
      </c>
      <c r="K40">
        <f>(Master[[#This Row],[Health_Life_Expectancy]]*100)/2</f>
        <v>36.246000000000002</v>
      </c>
      <c r="L40" s="3">
        <v>0.55498999999999998</v>
      </c>
      <c r="M40" s="3">
        <v>0.25608999999999998</v>
      </c>
      <c r="N40" s="3">
        <v>0</v>
      </c>
    </row>
    <row r="41" spans="1:14" x14ac:dyDescent="0.25">
      <c r="A41">
        <v>2015</v>
      </c>
      <c r="B41" t="s">
        <v>51</v>
      </c>
      <c r="C41">
        <v>40</v>
      </c>
      <c r="D41">
        <v>6.2690000000000001</v>
      </c>
      <c r="E41">
        <f>(Master[[#This Row],[Happiness_Score]]*100)/10</f>
        <v>62.69</v>
      </c>
      <c r="F41">
        <v>0.99534</v>
      </c>
      <c r="G41">
        <f>(Master[[#This Row],[Economy_GDP_per_Capita]]*100)/2</f>
        <v>49.767000000000003</v>
      </c>
      <c r="H41">
        <v>0.97199999999999998</v>
      </c>
      <c r="I41">
        <f>(Master[[#This Row],[Family]]*100)/2</f>
        <v>48.6</v>
      </c>
      <c r="J41">
        <v>0.60819999999999996</v>
      </c>
      <c r="K41">
        <f>(Master[[#This Row],[Health_Life_Expectancy]]*100)/2</f>
        <v>30.409999999999997</v>
      </c>
      <c r="L41" s="3">
        <v>0.59657000000000004</v>
      </c>
      <c r="M41" s="3">
        <v>0.13633000000000001</v>
      </c>
      <c r="N41" s="3">
        <v>0</v>
      </c>
    </row>
    <row r="42" spans="1:14" x14ac:dyDescent="0.25">
      <c r="A42">
        <v>2015</v>
      </c>
      <c r="B42" t="s">
        <v>52</v>
      </c>
      <c r="C42">
        <v>41</v>
      </c>
      <c r="D42">
        <v>6.1680000000000001</v>
      </c>
      <c r="E42">
        <f>(Master[[#This Row],[Happiness_Score]]*100)/10</f>
        <v>61.680000000000007</v>
      </c>
      <c r="F42">
        <v>1.21183</v>
      </c>
      <c r="G42">
        <f>(Master[[#This Row],[Economy_GDP_per_Capita]]*100)/2</f>
        <v>60.591499999999996</v>
      </c>
      <c r="H42">
        <v>1.18354</v>
      </c>
      <c r="I42">
        <f>(Master[[#This Row],[Family]]*100)/2</f>
        <v>59.177</v>
      </c>
      <c r="J42">
        <v>0.61482999999999999</v>
      </c>
      <c r="K42">
        <f>(Master[[#This Row],[Health_Life_Expectancy]]*100)/2</f>
        <v>30.741499999999998</v>
      </c>
      <c r="L42" s="3">
        <v>0.55884</v>
      </c>
      <c r="M42" s="3">
        <v>1.14E-2</v>
      </c>
      <c r="N42" s="3">
        <v>0</v>
      </c>
    </row>
    <row r="43" spans="1:14" x14ac:dyDescent="0.25">
      <c r="A43">
        <v>2015</v>
      </c>
      <c r="B43" t="s">
        <v>53</v>
      </c>
      <c r="C43">
        <v>42</v>
      </c>
      <c r="D43">
        <v>6.13</v>
      </c>
      <c r="E43">
        <f>(Master[[#This Row],[Happiness_Score]]*100)/10</f>
        <v>61.3</v>
      </c>
      <c r="F43">
        <v>0.76454</v>
      </c>
      <c r="G43">
        <f>(Master[[#This Row],[Economy_GDP_per_Capita]]*100)/2</f>
        <v>38.226999999999997</v>
      </c>
      <c r="H43">
        <v>1.0250699999999999</v>
      </c>
      <c r="I43">
        <f>(Master[[#This Row],[Family]]*100)/2</f>
        <v>51.253499999999995</v>
      </c>
      <c r="J43">
        <v>0.67737000000000003</v>
      </c>
      <c r="K43">
        <f>(Master[[#This Row],[Health_Life_Expectancy]]*100)/2</f>
        <v>33.868500000000004</v>
      </c>
      <c r="L43" s="3">
        <v>0.40350000000000003</v>
      </c>
      <c r="M43" s="3">
        <v>0.11776</v>
      </c>
      <c r="N43" s="3">
        <v>0</v>
      </c>
    </row>
    <row r="44" spans="1:14" x14ac:dyDescent="0.25">
      <c r="A44">
        <v>2015</v>
      </c>
      <c r="B44" t="s">
        <v>54</v>
      </c>
      <c r="C44">
        <v>43</v>
      </c>
      <c r="D44">
        <v>6.1230000000000002</v>
      </c>
      <c r="E44">
        <f>(Master[[#This Row],[Happiness_Score]]*100)/10</f>
        <v>61.230000000000004</v>
      </c>
      <c r="F44">
        <v>0.74553000000000003</v>
      </c>
      <c r="G44">
        <f>(Master[[#This Row],[Economy_GDP_per_Capita]]*100)/2</f>
        <v>37.276499999999999</v>
      </c>
      <c r="H44">
        <v>1.04356</v>
      </c>
      <c r="I44">
        <f>(Master[[#This Row],[Family]]*100)/2</f>
        <v>52.178000000000004</v>
      </c>
      <c r="J44">
        <v>0.64424999999999999</v>
      </c>
      <c r="K44">
        <f>(Master[[#This Row],[Health_Life_Expectancy]]*100)/2</f>
        <v>32.212499999999999</v>
      </c>
      <c r="L44" s="3">
        <v>0.57733000000000001</v>
      </c>
      <c r="M44" s="3">
        <v>9.4719999999999999E-2</v>
      </c>
      <c r="N44" s="3">
        <v>0</v>
      </c>
    </row>
    <row r="45" spans="1:14" x14ac:dyDescent="0.25">
      <c r="A45">
        <v>2015</v>
      </c>
      <c r="B45" t="s">
        <v>55</v>
      </c>
      <c r="C45">
        <v>44</v>
      </c>
      <c r="D45">
        <v>6.0030000000000001</v>
      </c>
      <c r="E45">
        <f>(Master[[#This Row],[Happiness_Score]]*100)/10</f>
        <v>60.029999999999994</v>
      </c>
      <c r="F45">
        <v>0.63244</v>
      </c>
      <c r="G45">
        <f>(Master[[#This Row],[Economy_GDP_per_Capita]]*100)/2</f>
        <v>31.622</v>
      </c>
      <c r="H45">
        <v>1.34043</v>
      </c>
      <c r="I45">
        <f>(Master[[#This Row],[Family]]*100)/2</f>
        <v>67.021500000000003</v>
      </c>
      <c r="J45">
        <v>0.59772000000000003</v>
      </c>
      <c r="K45">
        <f>(Master[[#This Row],[Health_Life_Expectancy]]*100)/2</f>
        <v>29.886000000000003</v>
      </c>
      <c r="L45" s="3">
        <v>0.65820999999999996</v>
      </c>
      <c r="M45" s="3">
        <v>0.30825999999999998</v>
      </c>
      <c r="N45" s="3">
        <v>0</v>
      </c>
    </row>
    <row r="46" spans="1:14" x14ac:dyDescent="0.25">
      <c r="A46">
        <v>2015</v>
      </c>
      <c r="B46" t="s">
        <v>56</v>
      </c>
      <c r="C46">
        <v>45</v>
      </c>
      <c r="D46">
        <v>5.9950000000000001</v>
      </c>
      <c r="E46">
        <f>(Master[[#This Row],[Happiness_Score]]*100)/10</f>
        <v>59.95</v>
      </c>
      <c r="F46">
        <v>1.1689099999999999</v>
      </c>
      <c r="G46">
        <f>(Master[[#This Row],[Economy_GDP_per_Capita]]*100)/2</f>
        <v>58.445499999999996</v>
      </c>
      <c r="H46">
        <v>1.26999</v>
      </c>
      <c r="I46">
        <f>(Master[[#This Row],[Family]]*100)/2</f>
        <v>63.499499999999998</v>
      </c>
      <c r="J46">
        <v>0.78902000000000005</v>
      </c>
      <c r="K46">
        <f>(Master[[#This Row],[Health_Life_Expectancy]]*100)/2</f>
        <v>39.451000000000001</v>
      </c>
      <c r="L46" s="3">
        <v>0.31751000000000001</v>
      </c>
      <c r="M46" s="3">
        <v>3.431E-2</v>
      </c>
      <c r="N46" s="3">
        <v>0</v>
      </c>
    </row>
    <row r="47" spans="1:14" x14ac:dyDescent="0.25">
      <c r="A47">
        <v>2015</v>
      </c>
      <c r="B47" t="s">
        <v>57</v>
      </c>
      <c r="C47">
        <v>46</v>
      </c>
      <c r="D47">
        <v>5.9870000000000001</v>
      </c>
      <c r="E47">
        <f>(Master[[#This Row],[Happiness_Score]]*100)/10</f>
        <v>59.870000000000005</v>
      </c>
      <c r="F47">
        <v>1.27074</v>
      </c>
      <c r="G47">
        <f>(Master[[#This Row],[Economy_GDP_per_Capita]]*100)/2</f>
        <v>63.536999999999999</v>
      </c>
      <c r="H47">
        <v>1.25712</v>
      </c>
      <c r="I47">
        <f>(Master[[#This Row],[Family]]*100)/2</f>
        <v>62.856000000000002</v>
      </c>
      <c r="J47">
        <v>0.99111000000000005</v>
      </c>
      <c r="K47">
        <f>(Master[[#This Row],[Health_Life_Expectancy]]*100)/2</f>
        <v>49.555500000000002</v>
      </c>
      <c r="L47" s="3">
        <v>0.49614999999999998</v>
      </c>
      <c r="M47" s="3">
        <v>0.18060000000000001</v>
      </c>
      <c r="N47" s="3">
        <v>0</v>
      </c>
    </row>
    <row r="48" spans="1:14" x14ac:dyDescent="0.25">
      <c r="A48">
        <v>2015</v>
      </c>
      <c r="B48" t="s">
        <v>58</v>
      </c>
      <c r="C48">
        <v>47</v>
      </c>
      <c r="D48">
        <v>5.984</v>
      </c>
      <c r="E48">
        <f>(Master[[#This Row],[Happiness_Score]]*100)/10</f>
        <v>59.839999999999996</v>
      </c>
      <c r="F48">
        <v>1.24461</v>
      </c>
      <c r="G48">
        <f>(Master[[#This Row],[Economy_GDP_per_Capita]]*100)/2</f>
        <v>62.230499999999999</v>
      </c>
      <c r="H48">
        <v>0.95774000000000004</v>
      </c>
      <c r="I48">
        <f>(Master[[#This Row],[Family]]*100)/2</f>
        <v>47.887</v>
      </c>
      <c r="J48">
        <v>0.96538000000000002</v>
      </c>
      <c r="K48">
        <f>(Master[[#This Row],[Health_Life_Expectancy]]*100)/2</f>
        <v>48.268999999999998</v>
      </c>
      <c r="L48" s="3">
        <v>0.33207999999999999</v>
      </c>
      <c r="M48" s="3">
        <v>7.8570000000000001E-2</v>
      </c>
      <c r="N48" s="3">
        <v>0</v>
      </c>
    </row>
    <row r="49" spans="1:14" x14ac:dyDescent="0.25">
      <c r="A49">
        <v>2015</v>
      </c>
      <c r="B49" t="s">
        <v>59</v>
      </c>
      <c r="C49">
        <v>48</v>
      </c>
      <c r="D49">
        <v>5.9749999999999996</v>
      </c>
      <c r="E49">
        <f>(Master[[#This Row],[Happiness_Score]]*100)/10</f>
        <v>59.75</v>
      </c>
      <c r="F49">
        <v>0.86402000000000001</v>
      </c>
      <c r="G49">
        <f>(Master[[#This Row],[Economy_GDP_per_Capita]]*100)/2</f>
        <v>43.201000000000001</v>
      </c>
      <c r="H49">
        <v>0.99902999999999997</v>
      </c>
      <c r="I49">
        <f>(Master[[#This Row],[Family]]*100)/2</f>
        <v>49.951499999999996</v>
      </c>
      <c r="J49">
        <v>0.79074999999999995</v>
      </c>
      <c r="K49">
        <f>(Master[[#This Row],[Health_Life_Expectancy]]*100)/2</f>
        <v>39.537499999999994</v>
      </c>
      <c r="L49" s="3">
        <v>0.48574000000000001</v>
      </c>
      <c r="M49" s="3">
        <v>0.18090000000000001</v>
      </c>
      <c r="N49" s="3">
        <v>0</v>
      </c>
    </row>
    <row r="50" spans="1:14" x14ac:dyDescent="0.25">
      <c r="A50">
        <v>2015</v>
      </c>
      <c r="B50" t="s">
        <v>60</v>
      </c>
      <c r="C50">
        <v>49</v>
      </c>
      <c r="D50">
        <v>5.96</v>
      </c>
      <c r="E50">
        <f>(Master[[#This Row],[Happiness_Score]]*100)/10</f>
        <v>59.6</v>
      </c>
      <c r="F50">
        <v>1.32376</v>
      </c>
      <c r="G50">
        <f>(Master[[#This Row],[Economy_GDP_per_Capita]]*100)/2</f>
        <v>66.188000000000002</v>
      </c>
      <c r="H50">
        <v>1.21624</v>
      </c>
      <c r="I50">
        <f>(Master[[#This Row],[Family]]*100)/2</f>
        <v>60.811999999999998</v>
      </c>
      <c r="J50">
        <v>0.74716000000000005</v>
      </c>
      <c r="K50">
        <f>(Master[[#This Row],[Health_Life_Expectancy]]*100)/2</f>
        <v>37.358000000000004</v>
      </c>
      <c r="L50" s="3">
        <v>0.45491999999999999</v>
      </c>
      <c r="M50" s="3">
        <v>0.30599999999999999</v>
      </c>
      <c r="N50" s="3">
        <v>0</v>
      </c>
    </row>
    <row r="51" spans="1:14" x14ac:dyDescent="0.25">
      <c r="A51">
        <v>2015</v>
      </c>
      <c r="B51" t="s">
        <v>61</v>
      </c>
      <c r="C51">
        <v>50</v>
      </c>
      <c r="D51">
        <v>5.9480000000000004</v>
      </c>
      <c r="E51">
        <f>(Master[[#This Row],[Happiness_Score]]*100)/10</f>
        <v>59.480000000000004</v>
      </c>
      <c r="F51">
        <v>1.2511399999999999</v>
      </c>
      <c r="G51">
        <f>(Master[[#This Row],[Economy_GDP_per_Capita]]*100)/2</f>
        <v>62.556999999999995</v>
      </c>
      <c r="H51">
        <v>1.19777</v>
      </c>
      <c r="I51">
        <f>(Master[[#This Row],[Family]]*100)/2</f>
        <v>59.888500000000001</v>
      </c>
      <c r="J51">
        <v>0.95445999999999998</v>
      </c>
      <c r="K51">
        <f>(Master[[#This Row],[Health_Life_Expectancy]]*100)/2</f>
        <v>47.722999999999999</v>
      </c>
      <c r="L51" s="3">
        <v>0.26235999999999998</v>
      </c>
      <c r="M51" s="3">
        <v>2.9010000000000001E-2</v>
      </c>
      <c r="N51" s="3">
        <v>0</v>
      </c>
    </row>
    <row r="52" spans="1:14" x14ac:dyDescent="0.25">
      <c r="A52">
        <v>2015</v>
      </c>
      <c r="B52" t="s">
        <v>62</v>
      </c>
      <c r="C52">
        <v>51</v>
      </c>
      <c r="D52">
        <v>5.89</v>
      </c>
      <c r="E52">
        <f>(Master[[#This Row],[Happiness_Score]]*100)/10</f>
        <v>58.9</v>
      </c>
      <c r="F52">
        <v>0.68132999999999999</v>
      </c>
      <c r="G52">
        <f>(Master[[#This Row],[Economy_GDP_per_Capita]]*100)/2</f>
        <v>34.066499999999998</v>
      </c>
      <c r="H52">
        <v>0.97841</v>
      </c>
      <c r="I52">
        <f>(Master[[#This Row],[Family]]*100)/2</f>
        <v>48.920499999999997</v>
      </c>
      <c r="J52">
        <v>0.53920000000000001</v>
      </c>
      <c r="K52">
        <f>(Master[[#This Row],[Health_Life_Expectancy]]*100)/2</f>
        <v>26.96</v>
      </c>
      <c r="L52" s="3">
        <v>0.57413999999999998</v>
      </c>
      <c r="M52" s="3">
        <v>8.7999999999999995E-2</v>
      </c>
      <c r="N52" s="3">
        <v>0</v>
      </c>
    </row>
    <row r="53" spans="1:14" x14ac:dyDescent="0.25">
      <c r="A53">
        <v>2015</v>
      </c>
      <c r="B53" t="s">
        <v>63</v>
      </c>
      <c r="C53">
        <v>52</v>
      </c>
      <c r="D53">
        <v>5.8890000000000002</v>
      </c>
      <c r="E53">
        <f>(Master[[#This Row],[Happiness_Score]]*100)/10</f>
        <v>58.89</v>
      </c>
      <c r="F53">
        <v>0.59448000000000001</v>
      </c>
      <c r="G53">
        <f>(Master[[#This Row],[Economy_GDP_per_Capita]]*100)/2</f>
        <v>29.724</v>
      </c>
      <c r="H53">
        <v>1.01528</v>
      </c>
      <c r="I53">
        <f>(Master[[#This Row],[Family]]*100)/2</f>
        <v>50.763999999999996</v>
      </c>
      <c r="J53">
        <v>0.61826000000000003</v>
      </c>
      <c r="K53">
        <f>(Master[[#This Row],[Health_Life_Expectancy]]*100)/2</f>
        <v>30.913</v>
      </c>
      <c r="L53" s="3">
        <v>0.32818000000000003</v>
      </c>
      <c r="M53" s="3">
        <v>1.6150000000000001E-2</v>
      </c>
      <c r="N53" s="3">
        <v>0</v>
      </c>
    </row>
    <row r="54" spans="1:14" x14ac:dyDescent="0.25">
      <c r="A54">
        <v>2015</v>
      </c>
      <c r="B54" t="s">
        <v>64</v>
      </c>
      <c r="C54">
        <v>53</v>
      </c>
      <c r="D54">
        <v>5.8780000000000001</v>
      </c>
      <c r="E54">
        <f>(Master[[#This Row],[Happiness_Score]]*100)/10</f>
        <v>58.779999999999994</v>
      </c>
      <c r="F54">
        <v>0.75985000000000003</v>
      </c>
      <c r="G54">
        <f>(Master[[#This Row],[Economy_GDP_per_Capita]]*100)/2</f>
        <v>37.9925</v>
      </c>
      <c r="H54">
        <v>1.30477</v>
      </c>
      <c r="I54">
        <f>(Master[[#This Row],[Family]]*100)/2</f>
        <v>65.238500000000002</v>
      </c>
      <c r="J54">
        <v>0.66098000000000001</v>
      </c>
      <c r="K54">
        <f>(Master[[#This Row],[Health_Life_Expectancy]]*100)/2</f>
        <v>33.048999999999999</v>
      </c>
      <c r="L54" s="3">
        <v>0.53898999999999997</v>
      </c>
      <c r="M54" s="3">
        <v>8.2419999999999993E-2</v>
      </c>
      <c r="N54" s="3">
        <v>0</v>
      </c>
    </row>
    <row r="55" spans="1:14" x14ac:dyDescent="0.25">
      <c r="A55">
        <v>2015</v>
      </c>
      <c r="B55" t="s">
        <v>65</v>
      </c>
      <c r="C55">
        <v>54</v>
      </c>
      <c r="D55">
        <v>5.8550000000000004</v>
      </c>
      <c r="E55">
        <f>(Master[[#This Row],[Happiness_Score]]*100)/10</f>
        <v>58.55</v>
      </c>
      <c r="F55">
        <v>1.1225400000000001</v>
      </c>
      <c r="G55">
        <f>(Master[[#This Row],[Economy_GDP_per_Capita]]*100)/2</f>
        <v>56.127000000000002</v>
      </c>
      <c r="H55">
        <v>1.1224099999999999</v>
      </c>
      <c r="I55">
        <f>(Master[[#This Row],[Family]]*100)/2</f>
        <v>56.120499999999993</v>
      </c>
      <c r="J55">
        <v>0.64368000000000003</v>
      </c>
      <c r="K55">
        <f>(Master[[#This Row],[Health_Life_Expectancy]]*100)/2</f>
        <v>32.184000000000005</v>
      </c>
      <c r="L55" s="3">
        <v>0.51649</v>
      </c>
      <c r="M55" s="3">
        <v>8.4540000000000004E-2</v>
      </c>
      <c r="N55" s="3">
        <v>0</v>
      </c>
    </row>
    <row r="56" spans="1:14" x14ac:dyDescent="0.25">
      <c r="A56">
        <v>2015</v>
      </c>
      <c r="B56" t="s">
        <v>66</v>
      </c>
      <c r="C56">
        <v>55</v>
      </c>
      <c r="D56">
        <v>5.8479999999999999</v>
      </c>
      <c r="E56">
        <f>(Master[[#This Row],[Happiness_Score]]*100)/10</f>
        <v>58.48</v>
      </c>
      <c r="F56">
        <v>1.1849799999999999</v>
      </c>
      <c r="G56">
        <f>(Master[[#This Row],[Economy_GDP_per_Capita]]*100)/2</f>
        <v>59.248999999999995</v>
      </c>
      <c r="H56">
        <v>1.2738499999999999</v>
      </c>
      <c r="I56">
        <f>(Master[[#This Row],[Family]]*100)/2</f>
        <v>63.692499999999995</v>
      </c>
      <c r="J56">
        <v>0.87336999999999998</v>
      </c>
      <c r="K56">
        <f>(Master[[#This Row],[Health_Life_Expectancy]]*100)/2</f>
        <v>43.668500000000002</v>
      </c>
      <c r="L56" s="3">
        <v>0.60855000000000004</v>
      </c>
      <c r="M56" s="3">
        <v>3.7870000000000001E-2</v>
      </c>
      <c r="N56" s="3">
        <v>0</v>
      </c>
    </row>
    <row r="57" spans="1:14" x14ac:dyDescent="0.25">
      <c r="A57">
        <v>2015</v>
      </c>
      <c r="B57" t="s">
        <v>67</v>
      </c>
      <c r="C57">
        <v>56</v>
      </c>
      <c r="D57">
        <v>5.8330000000000002</v>
      </c>
      <c r="E57">
        <f>(Master[[#This Row],[Happiness_Score]]*100)/10</f>
        <v>58.330000000000005</v>
      </c>
      <c r="F57">
        <v>1.14723</v>
      </c>
      <c r="G57">
        <f>(Master[[#This Row],[Economy_GDP_per_Capita]]*100)/2</f>
        <v>57.361499999999999</v>
      </c>
      <c r="H57">
        <v>1.25745</v>
      </c>
      <c r="I57">
        <f>(Master[[#This Row],[Family]]*100)/2</f>
        <v>62.872499999999995</v>
      </c>
      <c r="J57">
        <v>0.73128000000000004</v>
      </c>
      <c r="K57">
        <f>(Master[[#This Row],[Health_Life_Expectancy]]*100)/2</f>
        <v>36.564</v>
      </c>
      <c r="L57" s="3">
        <v>0.21342</v>
      </c>
      <c r="M57" s="3">
        <v>1.031E-2</v>
      </c>
      <c r="N57" s="3">
        <v>0</v>
      </c>
    </row>
    <row r="58" spans="1:14" x14ac:dyDescent="0.25">
      <c r="A58">
        <v>2015</v>
      </c>
      <c r="B58" t="s">
        <v>68</v>
      </c>
      <c r="C58">
        <v>57</v>
      </c>
      <c r="D58">
        <v>5.8280000000000003</v>
      </c>
      <c r="E58">
        <f>(Master[[#This Row],[Happiness_Score]]*100)/10</f>
        <v>58.280000000000008</v>
      </c>
      <c r="F58">
        <v>0.59325000000000006</v>
      </c>
      <c r="G58">
        <f>(Master[[#This Row],[Economy_GDP_per_Capita]]*100)/2</f>
        <v>29.662500000000001</v>
      </c>
      <c r="H58">
        <v>1.14184</v>
      </c>
      <c r="I58">
        <f>(Master[[#This Row],[Family]]*100)/2</f>
        <v>57.091999999999999</v>
      </c>
      <c r="J58">
        <v>0.74314000000000002</v>
      </c>
      <c r="K58">
        <f>(Master[[#This Row],[Health_Life_Expectancy]]*100)/2</f>
        <v>37.157000000000004</v>
      </c>
      <c r="L58" s="3">
        <v>0.55474999999999997</v>
      </c>
      <c r="M58" s="3">
        <v>0.19317000000000001</v>
      </c>
      <c r="N58" s="3">
        <v>0</v>
      </c>
    </row>
    <row r="59" spans="1:14" x14ac:dyDescent="0.25">
      <c r="A59">
        <v>2015</v>
      </c>
      <c r="B59" t="s">
        <v>69</v>
      </c>
      <c r="C59">
        <v>58</v>
      </c>
      <c r="D59">
        <v>5.8239999999999998</v>
      </c>
      <c r="E59">
        <f>(Master[[#This Row],[Happiness_Score]]*100)/10</f>
        <v>58.239999999999995</v>
      </c>
      <c r="F59">
        <v>0.90019000000000005</v>
      </c>
      <c r="G59">
        <f>(Master[[#This Row],[Economy_GDP_per_Capita]]*100)/2</f>
        <v>45.009500000000003</v>
      </c>
      <c r="H59">
        <v>0.97458999999999996</v>
      </c>
      <c r="I59">
        <f>(Master[[#This Row],[Family]]*100)/2</f>
        <v>48.729499999999994</v>
      </c>
      <c r="J59">
        <v>0.73016999999999999</v>
      </c>
      <c r="K59">
        <f>(Master[[#This Row],[Health_Life_Expectancy]]*100)/2</f>
        <v>36.508499999999998</v>
      </c>
      <c r="L59" s="3">
        <v>0.41496</v>
      </c>
      <c r="M59" s="3">
        <v>5.9889999999999999E-2</v>
      </c>
      <c r="N59" s="3">
        <v>0</v>
      </c>
    </row>
    <row r="60" spans="1:14" x14ac:dyDescent="0.25">
      <c r="A60">
        <v>2015</v>
      </c>
      <c r="B60" t="s">
        <v>70</v>
      </c>
      <c r="C60">
        <v>59</v>
      </c>
      <c r="D60">
        <v>5.8129999999999997</v>
      </c>
      <c r="E60">
        <f>(Master[[#This Row],[Happiness_Score]]*100)/10</f>
        <v>58.129999999999995</v>
      </c>
      <c r="F60">
        <v>1.0319199999999999</v>
      </c>
      <c r="G60">
        <f>(Master[[#This Row],[Economy_GDP_per_Capita]]*100)/2</f>
        <v>51.595999999999997</v>
      </c>
      <c r="H60">
        <v>1.23289</v>
      </c>
      <c r="I60">
        <f>(Master[[#This Row],[Family]]*100)/2</f>
        <v>61.644500000000001</v>
      </c>
      <c r="J60">
        <v>0.73607999999999996</v>
      </c>
      <c r="K60">
        <f>(Master[[#This Row],[Health_Life_Expectancy]]*100)/2</f>
        <v>36.803999999999995</v>
      </c>
      <c r="L60" s="3">
        <v>0.37938</v>
      </c>
      <c r="M60" s="3">
        <v>0.19089999999999999</v>
      </c>
      <c r="N60" s="3">
        <v>0</v>
      </c>
    </row>
    <row r="61" spans="1:14" x14ac:dyDescent="0.25">
      <c r="A61">
        <v>2015</v>
      </c>
      <c r="B61" t="s">
        <v>71</v>
      </c>
      <c r="C61">
        <v>60</v>
      </c>
      <c r="D61">
        <v>5.7910000000000004</v>
      </c>
      <c r="E61">
        <f>(Master[[#This Row],[Happiness_Score]]*100)/10</f>
        <v>57.910000000000004</v>
      </c>
      <c r="F61">
        <v>1.1255500000000001</v>
      </c>
      <c r="G61">
        <f>(Master[[#This Row],[Economy_GDP_per_Capita]]*100)/2</f>
        <v>56.277500000000003</v>
      </c>
      <c r="H61">
        <v>1.27948</v>
      </c>
      <c r="I61">
        <f>(Master[[#This Row],[Family]]*100)/2</f>
        <v>63.973999999999997</v>
      </c>
      <c r="J61">
        <v>0.77903</v>
      </c>
      <c r="K61">
        <f>(Master[[#This Row],[Health_Life_Expectancy]]*100)/2</f>
        <v>38.951500000000003</v>
      </c>
      <c r="L61" s="3">
        <v>0.53122000000000003</v>
      </c>
      <c r="M61" s="3">
        <v>4.2119999999999998E-2</v>
      </c>
      <c r="N61" s="3">
        <v>0</v>
      </c>
    </row>
    <row r="62" spans="1:14" x14ac:dyDescent="0.25">
      <c r="A62">
        <v>2015</v>
      </c>
      <c r="B62" t="s">
        <v>72</v>
      </c>
      <c r="C62">
        <v>61</v>
      </c>
      <c r="D62">
        <v>5.77</v>
      </c>
      <c r="E62">
        <f>(Master[[#This Row],[Happiness_Score]]*100)/10</f>
        <v>57.7</v>
      </c>
      <c r="F62">
        <v>1.12486</v>
      </c>
      <c r="G62">
        <f>(Master[[#This Row],[Economy_GDP_per_Capita]]*100)/2</f>
        <v>56.242999999999995</v>
      </c>
      <c r="H62">
        <v>1.07023</v>
      </c>
      <c r="I62">
        <f>(Master[[#This Row],[Family]]*100)/2</f>
        <v>53.511499999999998</v>
      </c>
      <c r="J62">
        <v>0.72394000000000003</v>
      </c>
      <c r="K62">
        <f>(Master[[#This Row],[Health_Life_Expectancy]]*100)/2</f>
        <v>36.197000000000003</v>
      </c>
      <c r="L62" s="3">
        <v>0.53024000000000004</v>
      </c>
      <c r="M62" s="3">
        <v>0.10501000000000001</v>
      </c>
      <c r="N62" s="3">
        <v>0</v>
      </c>
    </row>
    <row r="63" spans="1:14" x14ac:dyDescent="0.25">
      <c r="A63">
        <v>2015</v>
      </c>
      <c r="B63" t="s">
        <v>73</v>
      </c>
      <c r="C63">
        <v>62</v>
      </c>
      <c r="D63">
        <v>5.7590000000000003</v>
      </c>
      <c r="E63">
        <f>(Master[[#This Row],[Happiness_Score]]*100)/10</f>
        <v>57.590000000000011</v>
      </c>
      <c r="F63">
        <v>1.0825400000000001</v>
      </c>
      <c r="G63">
        <f>(Master[[#This Row],[Economy_GDP_per_Capita]]*100)/2</f>
        <v>54.127000000000002</v>
      </c>
      <c r="H63">
        <v>0.79623999999999995</v>
      </c>
      <c r="I63">
        <f>(Master[[#This Row],[Family]]*100)/2</f>
        <v>39.811999999999998</v>
      </c>
      <c r="J63">
        <v>0.78805000000000003</v>
      </c>
      <c r="K63">
        <f>(Master[[#This Row],[Health_Life_Expectancy]]*100)/2</f>
        <v>39.402500000000003</v>
      </c>
      <c r="L63" s="3">
        <v>0.25883</v>
      </c>
      <c r="M63" s="3">
        <v>2.4299999999999999E-2</v>
      </c>
      <c r="N63" s="3">
        <v>0</v>
      </c>
    </row>
    <row r="64" spans="1:14" x14ac:dyDescent="0.25">
      <c r="A64">
        <v>2015</v>
      </c>
      <c r="B64" t="s">
        <v>74</v>
      </c>
      <c r="C64">
        <v>63</v>
      </c>
      <c r="D64">
        <v>5.7539999999999996</v>
      </c>
      <c r="E64">
        <f>(Master[[#This Row],[Happiness_Score]]*100)/10</f>
        <v>57.54</v>
      </c>
      <c r="F64">
        <v>1.1314500000000001</v>
      </c>
      <c r="G64">
        <f>(Master[[#This Row],[Economy_GDP_per_Capita]]*100)/2</f>
        <v>56.572500000000005</v>
      </c>
      <c r="H64">
        <v>1.1186199999999999</v>
      </c>
      <c r="I64">
        <f>(Master[[#This Row],[Family]]*100)/2</f>
        <v>55.930999999999997</v>
      </c>
      <c r="J64">
        <v>0.70379999999999998</v>
      </c>
      <c r="K64">
        <f>(Master[[#This Row],[Health_Life_Expectancy]]*100)/2</f>
        <v>35.19</v>
      </c>
      <c r="L64" s="3">
        <v>0.41667999999999999</v>
      </c>
      <c r="M64" s="3">
        <v>0.11022999999999999</v>
      </c>
      <c r="N64" s="3">
        <v>0</v>
      </c>
    </row>
    <row r="65" spans="1:14" x14ac:dyDescent="0.25">
      <c r="A65">
        <v>2015</v>
      </c>
      <c r="B65" t="s">
        <v>75</v>
      </c>
      <c r="C65">
        <v>64</v>
      </c>
      <c r="D65">
        <v>5.7160000000000002</v>
      </c>
      <c r="E65">
        <f>(Master[[#This Row],[Happiness_Score]]*100)/10</f>
        <v>57.160000000000004</v>
      </c>
      <c r="F65">
        <v>1.13764</v>
      </c>
      <c r="G65">
        <f>(Master[[#This Row],[Economy_GDP_per_Capita]]*100)/2</f>
        <v>56.881999999999998</v>
      </c>
      <c r="H65">
        <v>1.23617</v>
      </c>
      <c r="I65">
        <f>(Master[[#This Row],[Family]]*100)/2</f>
        <v>61.808500000000002</v>
      </c>
      <c r="J65">
        <v>0.66925999999999997</v>
      </c>
      <c r="K65">
        <f>(Master[[#This Row],[Health_Life_Expectancy]]*100)/2</f>
        <v>33.463000000000001</v>
      </c>
      <c r="L65" s="3">
        <v>0.36679</v>
      </c>
      <c r="M65" s="3">
        <v>3.005E-2</v>
      </c>
      <c r="N65" s="3">
        <v>0</v>
      </c>
    </row>
    <row r="66" spans="1:14" x14ac:dyDescent="0.25">
      <c r="A66">
        <v>2015</v>
      </c>
      <c r="B66" t="s">
        <v>76</v>
      </c>
      <c r="C66">
        <v>65</v>
      </c>
      <c r="D66">
        <v>5.7089999999999996</v>
      </c>
      <c r="E66">
        <f>(Master[[#This Row],[Happiness_Score]]*100)/10</f>
        <v>57.089999999999996</v>
      </c>
      <c r="F66">
        <v>0.81037999999999999</v>
      </c>
      <c r="G66">
        <f>(Master[[#This Row],[Economy_GDP_per_Capita]]*100)/2</f>
        <v>40.518999999999998</v>
      </c>
      <c r="H66">
        <v>1.1510199999999999</v>
      </c>
      <c r="I66">
        <f>(Master[[#This Row],[Family]]*100)/2</f>
        <v>57.550999999999995</v>
      </c>
      <c r="J66">
        <v>0.68740999999999997</v>
      </c>
      <c r="K66">
        <f>(Master[[#This Row],[Health_Life_Expectancy]]*100)/2</f>
        <v>34.3705</v>
      </c>
      <c r="L66" s="3">
        <v>0.50441999999999998</v>
      </c>
      <c r="M66" s="3">
        <v>2.299E-2</v>
      </c>
      <c r="N66" s="3">
        <v>0</v>
      </c>
    </row>
    <row r="67" spans="1:14" x14ac:dyDescent="0.25">
      <c r="A67">
        <v>2015</v>
      </c>
      <c r="B67" t="s">
        <v>77</v>
      </c>
      <c r="C67">
        <v>66</v>
      </c>
      <c r="D67">
        <v>5.6950000000000003</v>
      </c>
      <c r="E67">
        <f>(Master[[#This Row],[Happiness_Score]]*100)/10</f>
        <v>56.95</v>
      </c>
      <c r="F67">
        <v>1.2080599999999999</v>
      </c>
      <c r="G67">
        <f>(Master[[#This Row],[Economy_GDP_per_Capita]]*100)/2</f>
        <v>60.402999999999999</v>
      </c>
      <c r="H67">
        <v>1.0700799999999999</v>
      </c>
      <c r="I67">
        <f>(Master[[#This Row],[Family]]*100)/2</f>
        <v>53.503999999999998</v>
      </c>
      <c r="J67">
        <v>0.92356000000000005</v>
      </c>
      <c r="K67">
        <f>(Master[[#This Row],[Health_Life_Expectancy]]*100)/2</f>
        <v>46.178000000000004</v>
      </c>
      <c r="L67" s="3">
        <v>0.49026999999999998</v>
      </c>
      <c r="M67" s="3">
        <v>0.14280000000000001</v>
      </c>
      <c r="N67" s="3">
        <v>0</v>
      </c>
    </row>
    <row r="68" spans="1:14" x14ac:dyDescent="0.25">
      <c r="A68">
        <v>2015</v>
      </c>
      <c r="B68" t="s">
        <v>78</v>
      </c>
      <c r="C68">
        <v>67</v>
      </c>
      <c r="D68">
        <v>5.6890000000000001</v>
      </c>
      <c r="E68">
        <f>(Master[[#This Row],[Happiness_Score]]*100)/10</f>
        <v>56.89</v>
      </c>
      <c r="F68">
        <v>1.2081299999999999</v>
      </c>
      <c r="G68">
        <f>(Master[[#This Row],[Economy_GDP_per_Capita]]*100)/2</f>
        <v>60.406499999999994</v>
      </c>
      <c r="H68">
        <v>0.89317999999999997</v>
      </c>
      <c r="I68">
        <f>(Master[[#This Row],[Family]]*100)/2</f>
        <v>44.658999999999999</v>
      </c>
      <c r="J68">
        <v>0.92356000000000005</v>
      </c>
      <c r="K68">
        <f>(Master[[#This Row],[Health_Life_Expectancy]]*100)/2</f>
        <v>46.178000000000004</v>
      </c>
      <c r="L68" s="3">
        <v>0.40672000000000003</v>
      </c>
      <c r="M68" s="3">
        <v>6.1460000000000001E-2</v>
      </c>
      <c r="N68" s="3">
        <v>0</v>
      </c>
    </row>
    <row r="69" spans="1:14" x14ac:dyDescent="0.25">
      <c r="A69">
        <v>2015</v>
      </c>
      <c r="B69" t="s">
        <v>79</v>
      </c>
      <c r="C69">
        <v>68</v>
      </c>
      <c r="D69">
        <v>5.6050000000000004</v>
      </c>
      <c r="E69">
        <f>(Master[[#This Row],[Happiness_Score]]*100)/10</f>
        <v>56.05</v>
      </c>
      <c r="F69">
        <v>0.93928999999999996</v>
      </c>
      <c r="G69">
        <f>(Master[[#This Row],[Economy_GDP_per_Capita]]*100)/2</f>
        <v>46.964500000000001</v>
      </c>
      <c r="H69">
        <v>1.07772</v>
      </c>
      <c r="I69">
        <f>(Master[[#This Row],[Family]]*100)/2</f>
        <v>53.886000000000003</v>
      </c>
      <c r="J69">
        <v>0.61765999999999999</v>
      </c>
      <c r="K69">
        <f>(Master[[#This Row],[Health_Life_Expectancy]]*100)/2</f>
        <v>30.882999999999999</v>
      </c>
      <c r="L69" s="3">
        <v>0.28578999999999999</v>
      </c>
      <c r="M69" s="3">
        <v>0.17383000000000001</v>
      </c>
      <c r="N69" s="3">
        <v>0</v>
      </c>
    </row>
    <row r="70" spans="1:14" x14ac:dyDescent="0.25">
      <c r="A70">
        <v>2015</v>
      </c>
      <c r="B70" t="s">
        <v>80</v>
      </c>
      <c r="C70">
        <v>69</v>
      </c>
      <c r="D70">
        <v>5.5890000000000004</v>
      </c>
      <c r="E70">
        <f>(Master[[#This Row],[Happiness_Score]]*100)/10</f>
        <v>55.890000000000008</v>
      </c>
      <c r="F70">
        <v>0.80147999999999997</v>
      </c>
      <c r="G70">
        <f>(Master[[#This Row],[Economy_GDP_per_Capita]]*100)/2</f>
        <v>40.073999999999998</v>
      </c>
      <c r="H70">
        <v>0.81198000000000004</v>
      </c>
      <c r="I70">
        <f>(Master[[#This Row],[Family]]*100)/2</f>
        <v>40.599000000000004</v>
      </c>
      <c r="J70">
        <v>0.63131999999999999</v>
      </c>
      <c r="K70">
        <f>(Master[[#This Row],[Health_Life_Expectancy]]*100)/2</f>
        <v>31.565999999999999</v>
      </c>
      <c r="L70" s="3">
        <v>0.24748999999999999</v>
      </c>
      <c r="M70" s="3">
        <v>4.7410000000000001E-2</v>
      </c>
      <c r="N70" s="3">
        <v>0</v>
      </c>
    </row>
    <row r="71" spans="1:14" x14ac:dyDescent="0.25">
      <c r="A71">
        <v>2015</v>
      </c>
      <c r="B71" t="s">
        <v>81</v>
      </c>
      <c r="C71">
        <v>70</v>
      </c>
      <c r="D71">
        <v>5.548</v>
      </c>
      <c r="E71">
        <f>(Master[[#This Row],[Happiness_Score]]*100)/10</f>
        <v>55.48</v>
      </c>
      <c r="F71">
        <v>0.95847000000000004</v>
      </c>
      <c r="G71">
        <f>(Master[[#This Row],[Economy_GDP_per_Capita]]*100)/2</f>
        <v>47.923500000000004</v>
      </c>
      <c r="H71">
        <v>1.22668</v>
      </c>
      <c r="I71">
        <f>(Master[[#This Row],[Family]]*100)/2</f>
        <v>61.334000000000003</v>
      </c>
      <c r="J71">
        <v>0.53886000000000001</v>
      </c>
      <c r="K71">
        <f>(Master[[#This Row],[Health_Life_Expectancy]]*100)/2</f>
        <v>26.943000000000001</v>
      </c>
      <c r="L71" s="3">
        <v>0.47610000000000002</v>
      </c>
      <c r="M71" s="3">
        <v>0.30843999999999999</v>
      </c>
      <c r="N71" s="3">
        <v>0</v>
      </c>
    </row>
    <row r="72" spans="1:14" x14ac:dyDescent="0.25">
      <c r="A72">
        <v>2015</v>
      </c>
      <c r="B72" t="s">
        <v>82</v>
      </c>
      <c r="C72">
        <v>71</v>
      </c>
      <c r="D72">
        <v>5.4770000000000003</v>
      </c>
      <c r="E72">
        <f>(Master[[#This Row],[Happiness_Score]]*100)/10</f>
        <v>54.77</v>
      </c>
      <c r="F72">
        <v>1.0076099999999999</v>
      </c>
      <c r="G72">
        <f>(Master[[#This Row],[Economy_GDP_per_Capita]]*100)/2</f>
        <v>50.380499999999998</v>
      </c>
      <c r="H72">
        <v>0.98521000000000003</v>
      </c>
      <c r="I72">
        <f>(Master[[#This Row],[Family]]*100)/2</f>
        <v>49.2605</v>
      </c>
      <c r="J72">
        <v>0.70950000000000002</v>
      </c>
      <c r="K72">
        <f>(Master[[#This Row],[Health_Life_Expectancy]]*100)/2</f>
        <v>35.475000000000001</v>
      </c>
      <c r="L72" s="3">
        <v>0.56066000000000005</v>
      </c>
      <c r="M72" s="3">
        <v>7.5209999999999999E-2</v>
      </c>
      <c r="N72" s="3">
        <v>0</v>
      </c>
    </row>
    <row r="73" spans="1:14" x14ac:dyDescent="0.25">
      <c r="A73">
        <v>2015</v>
      </c>
      <c r="B73" t="s">
        <v>84</v>
      </c>
      <c r="C73">
        <v>72</v>
      </c>
      <c r="D73">
        <v>5.4740000000000002</v>
      </c>
      <c r="E73">
        <f>(Master[[#This Row],[Happiness_Score]]*100)/10</f>
        <v>54.739999999999995</v>
      </c>
      <c r="F73">
        <v>1.3860399999999999</v>
      </c>
      <c r="G73">
        <f>(Master[[#This Row],[Economy_GDP_per_Capita]]*100)/2</f>
        <v>69.301999999999992</v>
      </c>
      <c r="H73">
        <v>1.0581799999999999</v>
      </c>
      <c r="I73">
        <f>(Master[[#This Row],[Family]]*100)/2</f>
        <v>52.908999999999992</v>
      </c>
      <c r="J73">
        <v>1.01328</v>
      </c>
      <c r="K73">
        <f>(Master[[#This Row],[Health_Life_Expectancy]]*100)/2</f>
        <v>50.664000000000001</v>
      </c>
      <c r="L73" s="3">
        <v>0.59608000000000005</v>
      </c>
      <c r="M73" s="3">
        <v>0.37124000000000001</v>
      </c>
      <c r="N73" s="3">
        <v>0</v>
      </c>
    </row>
    <row r="74" spans="1:14" x14ac:dyDescent="0.25">
      <c r="A74">
        <v>2015</v>
      </c>
      <c r="B74" t="s">
        <v>85</v>
      </c>
      <c r="C74">
        <v>73</v>
      </c>
      <c r="D74">
        <v>5.4290000000000003</v>
      </c>
      <c r="E74">
        <f>(Master[[#This Row],[Happiness_Score]]*100)/10</f>
        <v>54.29</v>
      </c>
      <c r="F74">
        <v>1.15174</v>
      </c>
      <c r="G74">
        <f>(Master[[#This Row],[Economy_GDP_per_Capita]]*100)/2</f>
        <v>57.586999999999996</v>
      </c>
      <c r="H74">
        <v>1.2279100000000001</v>
      </c>
      <c r="I74">
        <f>(Master[[#This Row],[Family]]*100)/2</f>
        <v>61.395500000000006</v>
      </c>
      <c r="J74">
        <v>0.77361000000000002</v>
      </c>
      <c r="K74">
        <f>(Master[[#This Row],[Health_Life_Expectancy]]*100)/2</f>
        <v>38.680500000000002</v>
      </c>
      <c r="L74" s="3">
        <v>0.44888</v>
      </c>
      <c r="M74" s="3">
        <v>0.15184</v>
      </c>
      <c r="N74" s="3">
        <v>0</v>
      </c>
    </row>
    <row r="75" spans="1:14" x14ac:dyDescent="0.25">
      <c r="A75">
        <v>2015</v>
      </c>
      <c r="B75" t="s">
        <v>86</v>
      </c>
      <c r="C75">
        <v>74</v>
      </c>
      <c r="D75">
        <v>5.399</v>
      </c>
      <c r="E75">
        <f>(Master[[#This Row],[Happiness_Score]]*100)/10</f>
        <v>53.989999999999995</v>
      </c>
      <c r="F75">
        <v>0.82826999999999995</v>
      </c>
      <c r="G75">
        <f>(Master[[#This Row],[Economy_GDP_per_Capita]]*100)/2</f>
        <v>41.413499999999999</v>
      </c>
      <c r="H75">
        <v>1.08708</v>
      </c>
      <c r="I75">
        <f>(Master[[#This Row],[Family]]*100)/2</f>
        <v>54.353999999999999</v>
      </c>
      <c r="J75">
        <v>0.63793</v>
      </c>
      <c r="K75">
        <f>(Master[[#This Row],[Health_Life_Expectancy]]*100)/2</f>
        <v>31.8965</v>
      </c>
      <c r="L75" s="3">
        <v>0.46611000000000002</v>
      </c>
      <c r="M75" s="3">
        <v>0</v>
      </c>
      <c r="N75" s="3">
        <v>0</v>
      </c>
    </row>
    <row r="76" spans="1:14" x14ac:dyDescent="0.25">
      <c r="A76">
        <v>2015</v>
      </c>
      <c r="B76" t="s">
        <v>87</v>
      </c>
      <c r="C76">
        <v>75</v>
      </c>
      <c r="D76">
        <v>5.36</v>
      </c>
      <c r="E76">
        <f>(Master[[#This Row],[Happiness_Score]]*100)/10</f>
        <v>53.6</v>
      </c>
      <c r="F76">
        <v>0.63216000000000006</v>
      </c>
      <c r="G76">
        <f>(Master[[#This Row],[Economy_GDP_per_Capita]]*100)/2</f>
        <v>31.608000000000004</v>
      </c>
      <c r="H76">
        <v>0.91225999999999996</v>
      </c>
      <c r="I76">
        <f>(Master[[#This Row],[Family]]*100)/2</f>
        <v>45.613</v>
      </c>
      <c r="J76">
        <v>0.74675999999999998</v>
      </c>
      <c r="K76">
        <f>(Master[[#This Row],[Health_Life_Expectancy]]*100)/2</f>
        <v>37.338000000000001</v>
      </c>
      <c r="L76" s="3">
        <v>0.59443999999999997</v>
      </c>
      <c r="M76" s="3">
        <v>0.10441</v>
      </c>
      <c r="N76" s="3">
        <v>0</v>
      </c>
    </row>
    <row r="77" spans="1:14" x14ac:dyDescent="0.25">
      <c r="A77">
        <v>2015</v>
      </c>
      <c r="B77" t="s">
        <v>88</v>
      </c>
      <c r="C77">
        <v>76</v>
      </c>
      <c r="D77">
        <v>5.3319999999999999</v>
      </c>
      <c r="E77">
        <f>(Master[[#This Row],[Happiness_Score]]*100)/10</f>
        <v>53.319999999999993</v>
      </c>
      <c r="F77">
        <v>1.06098</v>
      </c>
      <c r="G77">
        <f>(Master[[#This Row],[Economy_GDP_per_Capita]]*100)/2</f>
        <v>53.048999999999999</v>
      </c>
      <c r="H77">
        <v>0.94632000000000005</v>
      </c>
      <c r="I77">
        <f>(Master[[#This Row],[Family]]*100)/2</f>
        <v>47.316000000000003</v>
      </c>
      <c r="J77">
        <v>0.73172000000000004</v>
      </c>
      <c r="K77">
        <f>(Master[[#This Row],[Health_Life_Expectancy]]*100)/2</f>
        <v>36.585999999999999</v>
      </c>
      <c r="L77" s="3">
        <v>0.22814999999999999</v>
      </c>
      <c r="M77" s="3">
        <v>0.15745999999999999</v>
      </c>
      <c r="N77" s="3">
        <v>0</v>
      </c>
    </row>
    <row r="78" spans="1:14" x14ac:dyDescent="0.25">
      <c r="A78">
        <v>2015</v>
      </c>
      <c r="B78" t="s">
        <v>89</v>
      </c>
      <c r="C78">
        <v>77</v>
      </c>
      <c r="D78">
        <v>5.2859999999999996</v>
      </c>
      <c r="E78">
        <f>(Master[[#This Row],[Happiness_Score]]*100)/10</f>
        <v>52.859999999999992</v>
      </c>
      <c r="F78">
        <v>0.47427999999999998</v>
      </c>
      <c r="G78">
        <f>(Master[[#This Row],[Economy_GDP_per_Capita]]*100)/2</f>
        <v>23.713999999999999</v>
      </c>
      <c r="H78">
        <v>1.1511499999999999</v>
      </c>
      <c r="I78">
        <f>(Master[[#This Row],[Family]]*100)/2</f>
        <v>57.557499999999997</v>
      </c>
      <c r="J78">
        <v>0.65088000000000001</v>
      </c>
      <c r="K78">
        <f>(Master[[#This Row],[Health_Life_Expectancy]]*100)/2</f>
        <v>32.544000000000004</v>
      </c>
      <c r="L78" s="3">
        <v>0.43476999999999999</v>
      </c>
      <c r="M78" s="3">
        <v>4.2320000000000003E-2</v>
      </c>
      <c r="N78" s="3">
        <v>0</v>
      </c>
    </row>
    <row r="79" spans="1:14" x14ac:dyDescent="0.25">
      <c r="A79">
        <v>2015</v>
      </c>
      <c r="B79" t="s">
        <v>90</v>
      </c>
      <c r="C79">
        <v>78</v>
      </c>
      <c r="D79">
        <v>5.2679999999999998</v>
      </c>
      <c r="E79">
        <f>(Master[[#This Row],[Happiness_Score]]*100)/10</f>
        <v>52.679999999999993</v>
      </c>
      <c r="F79">
        <v>0.65434999999999999</v>
      </c>
      <c r="G79">
        <f>(Master[[#This Row],[Economy_GDP_per_Capita]]*100)/2</f>
        <v>32.717500000000001</v>
      </c>
      <c r="H79">
        <v>0.90432000000000001</v>
      </c>
      <c r="I79">
        <f>(Master[[#This Row],[Family]]*100)/2</f>
        <v>45.216000000000001</v>
      </c>
      <c r="J79">
        <v>0.16006999999999999</v>
      </c>
      <c r="K79">
        <f>(Master[[#This Row],[Health_Life_Expectancy]]*100)/2</f>
        <v>8.0034999999999989</v>
      </c>
      <c r="L79" s="3">
        <v>0.34333999999999998</v>
      </c>
      <c r="M79" s="3">
        <v>4.0300000000000002E-2</v>
      </c>
      <c r="N79" s="3">
        <v>0</v>
      </c>
    </row>
    <row r="80" spans="1:14" x14ac:dyDescent="0.25">
      <c r="A80">
        <v>2015</v>
      </c>
      <c r="B80" t="s">
        <v>91</v>
      </c>
      <c r="C80">
        <v>79</v>
      </c>
      <c r="D80">
        <v>5.2530000000000001</v>
      </c>
      <c r="E80">
        <f>(Master[[#This Row],[Happiness_Score]]*100)/10</f>
        <v>52.529999999999994</v>
      </c>
      <c r="F80">
        <v>0.77041999999999999</v>
      </c>
      <c r="G80">
        <f>(Master[[#This Row],[Economy_GDP_per_Capita]]*100)/2</f>
        <v>38.521000000000001</v>
      </c>
      <c r="H80">
        <v>1.10395</v>
      </c>
      <c r="I80">
        <f>(Master[[#This Row],[Family]]*100)/2</f>
        <v>55.197499999999998</v>
      </c>
      <c r="J80">
        <v>0.57406999999999997</v>
      </c>
      <c r="K80">
        <f>(Master[[#This Row],[Health_Life_Expectancy]]*100)/2</f>
        <v>28.703499999999998</v>
      </c>
      <c r="L80" s="3">
        <v>0.53205999999999998</v>
      </c>
      <c r="M80" s="3">
        <v>0.15445</v>
      </c>
      <c r="N80" s="3">
        <v>0</v>
      </c>
    </row>
    <row r="81" spans="1:14" x14ac:dyDescent="0.25">
      <c r="A81">
        <v>2015</v>
      </c>
      <c r="B81" t="s">
        <v>93</v>
      </c>
      <c r="C81">
        <v>80</v>
      </c>
      <c r="D81">
        <v>5.2119999999999997</v>
      </c>
      <c r="E81">
        <f>(Master[[#This Row],[Happiness_Score]]*100)/10</f>
        <v>52.11999999999999</v>
      </c>
      <c r="F81">
        <v>1.02389</v>
      </c>
      <c r="G81">
        <f>(Master[[#This Row],[Economy_GDP_per_Capita]]*100)/2</f>
        <v>51.194499999999998</v>
      </c>
      <c r="H81">
        <v>0.93793000000000004</v>
      </c>
      <c r="I81">
        <f>(Master[[#This Row],[Family]]*100)/2</f>
        <v>46.896500000000003</v>
      </c>
      <c r="J81">
        <v>0.64044999999999996</v>
      </c>
      <c r="K81">
        <f>(Master[[#This Row],[Health_Life_Expectancy]]*100)/2</f>
        <v>32.022500000000001</v>
      </c>
      <c r="L81" s="3">
        <v>0.37030000000000002</v>
      </c>
      <c r="M81" s="3">
        <v>0.16064999999999999</v>
      </c>
      <c r="N81" s="3">
        <v>0</v>
      </c>
    </row>
    <row r="82" spans="1:14" x14ac:dyDescent="0.25">
      <c r="A82">
        <v>2015</v>
      </c>
      <c r="B82" t="s">
        <v>94</v>
      </c>
      <c r="C82">
        <v>81</v>
      </c>
      <c r="D82">
        <v>5.194</v>
      </c>
      <c r="E82">
        <f>(Master[[#This Row],[Happiness_Score]]*100)/10</f>
        <v>51.94</v>
      </c>
      <c r="F82">
        <v>0.59543000000000001</v>
      </c>
      <c r="G82">
        <f>(Master[[#This Row],[Economy_GDP_per_Capita]]*100)/2</f>
        <v>29.7715</v>
      </c>
      <c r="H82">
        <v>0.41410999999999998</v>
      </c>
      <c r="I82">
        <f>(Master[[#This Row],[Family]]*100)/2</f>
        <v>20.705500000000001</v>
      </c>
      <c r="J82">
        <v>0.51466000000000001</v>
      </c>
      <c r="K82">
        <f>(Master[[#This Row],[Health_Life_Expectancy]]*100)/2</f>
        <v>25.733000000000001</v>
      </c>
      <c r="L82" s="3">
        <v>0.12102</v>
      </c>
      <c r="M82" s="3">
        <v>0.10464</v>
      </c>
      <c r="N82" s="3">
        <v>0</v>
      </c>
    </row>
    <row r="83" spans="1:14" x14ac:dyDescent="0.25">
      <c r="A83">
        <v>2015</v>
      </c>
      <c r="B83" t="s">
        <v>95</v>
      </c>
      <c r="C83">
        <v>82</v>
      </c>
      <c r="D83">
        <v>5.1920000000000002</v>
      </c>
      <c r="E83">
        <f>(Master[[#This Row],[Happiness_Score]]*100)/10</f>
        <v>51.92</v>
      </c>
      <c r="F83">
        <v>0.90198</v>
      </c>
      <c r="G83">
        <f>(Master[[#This Row],[Economy_GDP_per_Capita]]*100)/2</f>
        <v>45.099000000000004</v>
      </c>
      <c r="H83">
        <v>1.05392</v>
      </c>
      <c r="I83">
        <f>(Master[[#This Row],[Family]]*100)/2</f>
        <v>52.695999999999998</v>
      </c>
      <c r="J83">
        <v>0.69638999999999995</v>
      </c>
      <c r="K83">
        <f>(Master[[#This Row],[Health_Life_Expectancy]]*100)/2</f>
        <v>34.819499999999998</v>
      </c>
      <c r="L83" s="3">
        <v>0.40661000000000003</v>
      </c>
      <c r="M83" s="3">
        <v>0.14293</v>
      </c>
      <c r="N83" s="3">
        <v>0</v>
      </c>
    </row>
    <row r="84" spans="1:14" x14ac:dyDescent="0.25">
      <c r="A84">
        <v>2015</v>
      </c>
      <c r="B84" t="s">
        <v>96</v>
      </c>
      <c r="C84">
        <v>82</v>
      </c>
      <c r="D84">
        <v>5.1920000000000002</v>
      </c>
      <c r="E84">
        <f>(Master[[#This Row],[Happiness_Score]]*100)/10</f>
        <v>51.92</v>
      </c>
      <c r="F84">
        <v>0.97438000000000002</v>
      </c>
      <c r="G84">
        <f>(Master[[#This Row],[Economy_GDP_per_Capita]]*100)/2</f>
        <v>48.719000000000001</v>
      </c>
      <c r="H84">
        <v>0.90556999999999999</v>
      </c>
      <c r="I84">
        <f>(Master[[#This Row],[Family]]*100)/2</f>
        <v>45.278500000000001</v>
      </c>
      <c r="J84">
        <v>0.72521000000000002</v>
      </c>
      <c r="K84">
        <f>(Master[[#This Row],[Health_Life_Expectancy]]*100)/2</f>
        <v>36.2605</v>
      </c>
      <c r="L84" s="3">
        <v>0.18260000000000001</v>
      </c>
      <c r="M84" s="3">
        <v>0.14296</v>
      </c>
      <c r="N84" s="3">
        <v>0</v>
      </c>
    </row>
    <row r="85" spans="1:14" x14ac:dyDescent="0.25">
      <c r="A85">
        <v>2015</v>
      </c>
      <c r="B85" t="s">
        <v>97</v>
      </c>
      <c r="C85">
        <v>84</v>
      </c>
      <c r="D85">
        <v>5.14</v>
      </c>
      <c r="E85">
        <f>(Master[[#This Row],[Happiness_Score]]*100)/10</f>
        <v>51.4</v>
      </c>
      <c r="F85">
        <v>0.89012000000000002</v>
      </c>
      <c r="G85">
        <f>(Master[[#This Row],[Economy_GDP_per_Capita]]*100)/2</f>
        <v>44.506</v>
      </c>
      <c r="H85">
        <v>0.94674999999999998</v>
      </c>
      <c r="I85">
        <f>(Master[[#This Row],[Family]]*100)/2</f>
        <v>47.337499999999999</v>
      </c>
      <c r="J85">
        <v>0.81657999999999997</v>
      </c>
      <c r="K85">
        <f>(Master[[#This Row],[Health_Life_Expectancy]]*100)/2</f>
        <v>40.829000000000001</v>
      </c>
      <c r="L85" s="3">
        <v>0.51697000000000004</v>
      </c>
      <c r="M85" s="3">
        <v>2.7810000000000001E-2</v>
      </c>
      <c r="N85" s="3">
        <v>0</v>
      </c>
    </row>
    <row r="86" spans="1:14" x14ac:dyDescent="0.25">
      <c r="A86">
        <v>2015</v>
      </c>
      <c r="B86" t="s">
        <v>98</v>
      </c>
      <c r="C86">
        <v>85</v>
      </c>
      <c r="D86">
        <v>5.1289999999999996</v>
      </c>
      <c r="E86">
        <f>(Master[[#This Row],[Happiness_Score]]*100)/10</f>
        <v>51.29</v>
      </c>
      <c r="F86">
        <v>0.47038000000000002</v>
      </c>
      <c r="G86">
        <f>(Master[[#This Row],[Economy_GDP_per_Capita]]*100)/2</f>
        <v>23.519000000000002</v>
      </c>
      <c r="H86">
        <v>0.91612000000000005</v>
      </c>
      <c r="I86">
        <f>(Master[[#This Row],[Family]]*100)/2</f>
        <v>45.806000000000004</v>
      </c>
      <c r="J86">
        <v>0.29924000000000001</v>
      </c>
      <c r="K86">
        <f>(Master[[#This Row],[Health_Life_Expectancy]]*100)/2</f>
        <v>14.962</v>
      </c>
      <c r="L86" s="3">
        <v>0.48826999999999998</v>
      </c>
      <c r="M86" s="3">
        <v>0.12468</v>
      </c>
      <c r="N86" s="3">
        <v>0</v>
      </c>
    </row>
    <row r="87" spans="1:14" x14ac:dyDescent="0.25">
      <c r="A87">
        <v>2015</v>
      </c>
      <c r="B87" t="s">
        <v>99</v>
      </c>
      <c r="C87">
        <v>86</v>
      </c>
      <c r="D87">
        <v>5.1239999999999997</v>
      </c>
      <c r="E87">
        <f>(Master[[#This Row],[Happiness_Score]]*100)/10</f>
        <v>51.239999999999995</v>
      </c>
      <c r="F87">
        <v>1.04345</v>
      </c>
      <c r="G87">
        <f>(Master[[#This Row],[Economy_GDP_per_Capita]]*100)/2</f>
        <v>52.172499999999999</v>
      </c>
      <c r="H87">
        <v>0.88588</v>
      </c>
      <c r="I87">
        <f>(Master[[#This Row],[Family]]*100)/2</f>
        <v>44.293999999999997</v>
      </c>
      <c r="J87">
        <v>0.76890000000000003</v>
      </c>
      <c r="K87">
        <f>(Master[[#This Row],[Health_Life_Expectancy]]*100)/2</f>
        <v>38.445</v>
      </c>
      <c r="L87" s="3">
        <v>0.35067999999999999</v>
      </c>
      <c r="M87" s="3">
        <v>6.4900000000000001E-3</v>
      </c>
      <c r="N87" s="3">
        <v>0</v>
      </c>
    </row>
    <row r="88" spans="1:14" x14ac:dyDescent="0.25">
      <c r="A88">
        <v>2015</v>
      </c>
      <c r="B88" t="s">
        <v>100</v>
      </c>
      <c r="C88">
        <v>87</v>
      </c>
      <c r="D88">
        <v>5.1230000000000002</v>
      </c>
      <c r="E88">
        <f>(Master[[#This Row],[Happiness_Score]]*100)/10</f>
        <v>51.230000000000004</v>
      </c>
      <c r="F88">
        <v>0.92052999999999996</v>
      </c>
      <c r="G88">
        <f>(Master[[#This Row],[Economy_GDP_per_Capita]]*100)/2</f>
        <v>46.026499999999999</v>
      </c>
      <c r="H88">
        <v>1.0096400000000001</v>
      </c>
      <c r="I88">
        <f>(Master[[#This Row],[Family]]*100)/2</f>
        <v>50.482000000000006</v>
      </c>
      <c r="J88">
        <v>0.74836000000000003</v>
      </c>
      <c r="K88">
        <f>(Master[[#This Row],[Health_Life_Expectancy]]*100)/2</f>
        <v>37.417999999999999</v>
      </c>
      <c r="L88" s="3">
        <v>0.20107</v>
      </c>
      <c r="M88" s="3">
        <v>2.6169999999999999E-2</v>
      </c>
      <c r="N88" s="3">
        <v>0</v>
      </c>
    </row>
    <row r="89" spans="1:14" x14ac:dyDescent="0.25">
      <c r="A89">
        <v>2015</v>
      </c>
      <c r="B89" t="s">
        <v>101</v>
      </c>
      <c r="C89">
        <v>88</v>
      </c>
      <c r="D89">
        <v>5.1020000000000003</v>
      </c>
      <c r="E89">
        <f>(Master[[#This Row],[Happiness_Score]]*100)/10</f>
        <v>51.02</v>
      </c>
      <c r="F89">
        <v>1.15991</v>
      </c>
      <c r="G89">
        <f>(Master[[#This Row],[Economy_GDP_per_Capita]]*100)/2</f>
        <v>57.9955</v>
      </c>
      <c r="H89">
        <v>1.1393500000000001</v>
      </c>
      <c r="I89">
        <f>(Master[[#This Row],[Family]]*100)/2</f>
        <v>56.967500000000001</v>
      </c>
      <c r="J89">
        <v>0.87519000000000002</v>
      </c>
      <c r="K89">
        <f>(Master[[#This Row],[Health_Life_Expectancy]]*100)/2</f>
        <v>43.759500000000003</v>
      </c>
      <c r="L89" s="3">
        <v>0.51468999999999998</v>
      </c>
      <c r="M89" s="3">
        <v>1.078E-2</v>
      </c>
      <c r="N89" s="3">
        <v>0</v>
      </c>
    </row>
    <row r="90" spans="1:14" x14ac:dyDescent="0.25">
      <c r="A90">
        <v>2015</v>
      </c>
      <c r="B90" t="s">
        <v>102</v>
      </c>
      <c r="C90">
        <v>89</v>
      </c>
      <c r="D90">
        <v>5.0979999999999999</v>
      </c>
      <c r="E90">
        <f>(Master[[#This Row],[Happiness_Score]]*100)/10</f>
        <v>50.980000000000004</v>
      </c>
      <c r="F90">
        <v>1.1131200000000001</v>
      </c>
      <c r="G90">
        <f>(Master[[#This Row],[Economy_GDP_per_Capita]]*100)/2</f>
        <v>55.656000000000006</v>
      </c>
      <c r="H90">
        <v>1.09562</v>
      </c>
      <c r="I90">
        <f>(Master[[#This Row],[Family]]*100)/2</f>
        <v>54.780999999999999</v>
      </c>
      <c r="J90">
        <v>0.72436999999999996</v>
      </c>
      <c r="K90">
        <f>(Master[[#This Row],[Health_Life_Expectancy]]*100)/2</f>
        <v>36.218499999999999</v>
      </c>
      <c r="L90" s="3">
        <v>0.29670999999999997</v>
      </c>
      <c r="M90" s="3">
        <v>6.3320000000000001E-2</v>
      </c>
      <c r="N90" s="3">
        <v>0</v>
      </c>
    </row>
    <row r="91" spans="1:14" x14ac:dyDescent="0.25">
      <c r="A91">
        <v>2015</v>
      </c>
      <c r="B91" t="s">
        <v>103</v>
      </c>
      <c r="C91">
        <v>90</v>
      </c>
      <c r="D91">
        <v>5.0730000000000004</v>
      </c>
      <c r="E91">
        <f>(Master[[#This Row],[Happiness_Score]]*100)/10</f>
        <v>50.730000000000004</v>
      </c>
      <c r="F91">
        <v>0.70531999999999995</v>
      </c>
      <c r="G91">
        <f>(Master[[#This Row],[Economy_GDP_per_Capita]]*100)/2</f>
        <v>35.265999999999998</v>
      </c>
      <c r="H91">
        <v>1.0351600000000001</v>
      </c>
      <c r="I91">
        <f>(Master[[#This Row],[Family]]*100)/2</f>
        <v>51.758000000000003</v>
      </c>
      <c r="J91">
        <v>0.58113999999999999</v>
      </c>
      <c r="K91">
        <f>(Master[[#This Row],[Health_Life_Expectancy]]*100)/2</f>
        <v>29.056999999999999</v>
      </c>
      <c r="L91" s="3">
        <v>0.62544999999999995</v>
      </c>
      <c r="M91" s="3">
        <v>0.12279</v>
      </c>
      <c r="N91" s="3">
        <v>0</v>
      </c>
    </row>
    <row r="92" spans="1:14" x14ac:dyDescent="0.25">
      <c r="A92">
        <v>2015</v>
      </c>
      <c r="B92" t="s">
        <v>104</v>
      </c>
      <c r="C92">
        <v>91</v>
      </c>
      <c r="D92">
        <v>5.0570000000000004</v>
      </c>
      <c r="E92">
        <f>(Master[[#This Row],[Happiness_Score]]*100)/10</f>
        <v>50.570000000000007</v>
      </c>
      <c r="F92">
        <v>0.18847</v>
      </c>
      <c r="G92">
        <f>(Master[[#This Row],[Economy_GDP_per_Capita]]*100)/2</f>
        <v>9.4235000000000007</v>
      </c>
      <c r="H92">
        <v>0.95152000000000003</v>
      </c>
      <c r="I92">
        <f>(Master[[#This Row],[Family]]*100)/2</f>
        <v>47.576000000000001</v>
      </c>
      <c r="J92">
        <v>0.43873000000000001</v>
      </c>
      <c r="K92">
        <f>(Master[[#This Row],[Health_Life_Expectancy]]*100)/2</f>
        <v>21.936499999999999</v>
      </c>
      <c r="L92" s="3">
        <v>0.46582000000000001</v>
      </c>
      <c r="M92" s="3">
        <v>0.39928000000000002</v>
      </c>
      <c r="N92" s="3">
        <v>0</v>
      </c>
    </row>
    <row r="93" spans="1:14" x14ac:dyDescent="0.25">
      <c r="A93">
        <v>2015</v>
      </c>
      <c r="B93" t="s">
        <v>105</v>
      </c>
      <c r="C93">
        <v>92</v>
      </c>
      <c r="D93">
        <v>5.0129999999999999</v>
      </c>
      <c r="E93">
        <f>(Master[[#This Row],[Happiness_Score]]*100)/10</f>
        <v>50.13</v>
      </c>
      <c r="F93">
        <v>0.73479000000000005</v>
      </c>
      <c r="G93">
        <f>(Master[[#This Row],[Economy_GDP_per_Capita]]*100)/2</f>
        <v>36.7395</v>
      </c>
      <c r="H93">
        <v>0.64095000000000002</v>
      </c>
      <c r="I93">
        <f>(Master[[#This Row],[Family]]*100)/2</f>
        <v>32.047499999999999</v>
      </c>
      <c r="J93">
        <v>0.60953999999999997</v>
      </c>
      <c r="K93">
        <f>(Master[[#This Row],[Health_Life_Expectancy]]*100)/2</f>
        <v>30.476999999999997</v>
      </c>
      <c r="L93" s="3">
        <v>0.41691</v>
      </c>
      <c r="M93" s="3">
        <v>8.5459999999999994E-2</v>
      </c>
      <c r="N93" s="3">
        <v>0</v>
      </c>
    </row>
    <row r="94" spans="1:14" x14ac:dyDescent="0.25">
      <c r="A94">
        <v>2015</v>
      </c>
      <c r="B94" t="s">
        <v>106</v>
      </c>
      <c r="C94">
        <v>93</v>
      </c>
      <c r="D94">
        <v>5.0069999999999997</v>
      </c>
      <c r="E94">
        <f>(Master[[#This Row],[Happiness_Score]]*100)/10</f>
        <v>50.07</v>
      </c>
      <c r="F94">
        <v>0.91851000000000005</v>
      </c>
      <c r="G94">
        <f>(Master[[#This Row],[Economy_GDP_per_Capita]]*100)/2</f>
        <v>45.9255</v>
      </c>
      <c r="H94">
        <v>1.0023200000000001</v>
      </c>
      <c r="I94">
        <f>(Master[[#This Row],[Family]]*100)/2</f>
        <v>50.116000000000007</v>
      </c>
      <c r="J94">
        <v>0.73545000000000005</v>
      </c>
      <c r="K94">
        <f>(Master[[#This Row],[Health_Life_Expectancy]]*100)/2</f>
        <v>36.772500000000001</v>
      </c>
      <c r="L94" s="3">
        <v>0.33456999999999998</v>
      </c>
      <c r="M94" s="3">
        <v>5.3269999999999998E-2</v>
      </c>
      <c r="N94" s="3">
        <v>0</v>
      </c>
    </row>
    <row r="95" spans="1:14" x14ac:dyDescent="0.25">
      <c r="A95">
        <v>2015</v>
      </c>
      <c r="B95" t="s">
        <v>107</v>
      </c>
      <c r="C95">
        <v>94</v>
      </c>
      <c r="D95">
        <v>4.9710000000000001</v>
      </c>
      <c r="E95">
        <f>(Master[[#This Row],[Happiness_Score]]*100)/10</f>
        <v>49.71</v>
      </c>
      <c r="F95">
        <v>8.3080000000000001E-2</v>
      </c>
      <c r="G95">
        <f>(Master[[#This Row],[Economy_GDP_per_Capita]]*100)/2</f>
        <v>4.1539999999999999</v>
      </c>
      <c r="H95">
        <v>1.02626</v>
      </c>
      <c r="I95">
        <f>(Master[[#This Row],[Family]]*100)/2</f>
        <v>51.312999999999995</v>
      </c>
      <c r="J95">
        <v>9.1310000000000002E-2</v>
      </c>
      <c r="K95">
        <f>(Master[[#This Row],[Health_Life_Expectancy]]*100)/2</f>
        <v>4.5655000000000001</v>
      </c>
      <c r="L95" s="3">
        <v>0.34037000000000001</v>
      </c>
      <c r="M95" s="3">
        <v>0.15603</v>
      </c>
      <c r="N95" s="3">
        <v>0</v>
      </c>
    </row>
    <row r="96" spans="1:14" x14ac:dyDescent="0.25">
      <c r="A96">
        <v>2015</v>
      </c>
      <c r="B96" t="s">
        <v>108</v>
      </c>
      <c r="C96">
        <v>95</v>
      </c>
      <c r="D96">
        <v>4.9589999999999996</v>
      </c>
      <c r="E96">
        <f>(Master[[#This Row],[Happiness_Score]]*100)/10</f>
        <v>49.589999999999996</v>
      </c>
      <c r="F96">
        <v>0.87866999999999995</v>
      </c>
      <c r="G96">
        <f>(Master[[#This Row],[Economy_GDP_per_Capita]]*100)/2</f>
        <v>43.933499999999995</v>
      </c>
      <c r="H96">
        <v>0.80434000000000005</v>
      </c>
      <c r="I96">
        <f>(Master[[#This Row],[Family]]*100)/2</f>
        <v>40.217000000000006</v>
      </c>
      <c r="J96">
        <v>0.81325000000000003</v>
      </c>
      <c r="K96">
        <f>(Master[[#This Row],[Health_Life_Expectancy]]*100)/2</f>
        <v>40.662500000000001</v>
      </c>
      <c r="L96" s="3">
        <v>0.35732999999999998</v>
      </c>
      <c r="M96" s="3">
        <v>6.4130000000000006E-2</v>
      </c>
      <c r="N96" s="3">
        <v>0</v>
      </c>
    </row>
    <row r="97" spans="1:14" x14ac:dyDescent="0.25">
      <c r="A97">
        <v>2015</v>
      </c>
      <c r="B97" t="s">
        <v>109</v>
      </c>
      <c r="C97">
        <v>96</v>
      </c>
      <c r="D97">
        <v>4.9489999999999998</v>
      </c>
      <c r="E97">
        <f>(Master[[#This Row],[Happiness_Score]]*100)/10</f>
        <v>49.489999999999995</v>
      </c>
      <c r="F97">
        <v>0.83223000000000003</v>
      </c>
      <c r="G97">
        <f>(Master[[#This Row],[Economy_GDP_per_Capita]]*100)/2</f>
        <v>41.611499999999999</v>
      </c>
      <c r="H97">
        <v>0.91915999999999998</v>
      </c>
      <c r="I97">
        <f>(Master[[#This Row],[Family]]*100)/2</f>
        <v>45.957999999999998</v>
      </c>
      <c r="J97">
        <v>0.79081000000000001</v>
      </c>
      <c r="K97">
        <f>(Master[[#This Row],[Health_Life_Expectancy]]*100)/2</f>
        <v>39.540500000000002</v>
      </c>
      <c r="L97" s="3">
        <v>9.2450000000000004E-2</v>
      </c>
      <c r="M97" s="3">
        <v>2.2699999999999999E-3</v>
      </c>
      <c r="N97" s="3">
        <v>0</v>
      </c>
    </row>
    <row r="98" spans="1:14" x14ac:dyDescent="0.25">
      <c r="A98">
        <v>2015</v>
      </c>
      <c r="B98" t="s">
        <v>110</v>
      </c>
      <c r="C98">
        <v>97</v>
      </c>
      <c r="D98">
        <v>4.8979999999999997</v>
      </c>
      <c r="E98">
        <f>(Master[[#This Row],[Happiness_Score]]*100)/10</f>
        <v>48.98</v>
      </c>
      <c r="F98">
        <v>0.37545000000000001</v>
      </c>
      <c r="G98">
        <f>(Master[[#This Row],[Economy_GDP_per_Capita]]*100)/2</f>
        <v>18.772500000000001</v>
      </c>
      <c r="H98">
        <v>1.0410299999999999</v>
      </c>
      <c r="I98">
        <f>(Master[[#This Row],[Family]]*100)/2</f>
        <v>52.051499999999997</v>
      </c>
      <c r="J98">
        <v>7.6119999999999993E-2</v>
      </c>
      <c r="K98">
        <f>(Master[[#This Row],[Health_Life_Expectancy]]*100)/2</f>
        <v>3.8059999999999996</v>
      </c>
      <c r="L98" s="3">
        <v>0.31767000000000001</v>
      </c>
      <c r="M98" s="3">
        <v>0.12504000000000001</v>
      </c>
      <c r="N98" s="3">
        <v>0</v>
      </c>
    </row>
    <row r="99" spans="1:14" x14ac:dyDescent="0.25">
      <c r="A99">
        <v>2015</v>
      </c>
      <c r="B99" t="s">
        <v>111</v>
      </c>
      <c r="C99">
        <v>98</v>
      </c>
      <c r="D99">
        <v>4.8849999999999998</v>
      </c>
      <c r="E99">
        <f>(Master[[#This Row],[Happiness_Score]]*100)/10</f>
        <v>48.85</v>
      </c>
      <c r="F99">
        <v>0.89537</v>
      </c>
      <c r="G99">
        <f>(Master[[#This Row],[Economy_GDP_per_Capita]]*100)/2</f>
        <v>44.768500000000003</v>
      </c>
      <c r="H99">
        <v>1.1720200000000001</v>
      </c>
      <c r="I99">
        <f>(Master[[#This Row],[Family]]*100)/2</f>
        <v>58.601000000000006</v>
      </c>
      <c r="J99">
        <v>0.66825000000000001</v>
      </c>
      <c r="K99">
        <f>(Master[[#This Row],[Health_Life_Expectancy]]*100)/2</f>
        <v>33.412500000000001</v>
      </c>
      <c r="L99" s="3">
        <v>0.57672000000000001</v>
      </c>
      <c r="M99" s="3">
        <v>0.14233999999999999</v>
      </c>
      <c r="N99" s="3">
        <v>0</v>
      </c>
    </row>
    <row r="100" spans="1:14" x14ac:dyDescent="0.25">
      <c r="A100">
        <v>2015</v>
      </c>
      <c r="B100" t="s">
        <v>112</v>
      </c>
      <c r="C100">
        <v>99</v>
      </c>
      <c r="D100">
        <v>4.8760000000000003</v>
      </c>
      <c r="E100">
        <f>(Master[[#This Row],[Happiness_Score]]*100)/10</f>
        <v>48.760000000000005</v>
      </c>
      <c r="F100">
        <v>0.59065999999999996</v>
      </c>
      <c r="G100">
        <f>(Master[[#This Row],[Economy_GDP_per_Capita]]*100)/2</f>
        <v>29.532999999999998</v>
      </c>
      <c r="H100">
        <v>0.73802999999999996</v>
      </c>
      <c r="I100">
        <f>(Master[[#This Row],[Family]]*100)/2</f>
        <v>36.901499999999999</v>
      </c>
      <c r="J100">
        <v>0.54908999999999997</v>
      </c>
      <c r="K100">
        <f>(Master[[#This Row],[Health_Life_Expectancy]]*100)/2</f>
        <v>27.454499999999999</v>
      </c>
      <c r="L100" s="3">
        <v>0.59591000000000005</v>
      </c>
      <c r="M100" s="3">
        <v>0.24249000000000001</v>
      </c>
      <c r="N100" s="3">
        <v>0</v>
      </c>
    </row>
    <row r="101" spans="1:14" x14ac:dyDescent="0.25">
      <c r="A101">
        <v>2015</v>
      </c>
      <c r="B101" t="s">
        <v>113</v>
      </c>
      <c r="C101">
        <v>100</v>
      </c>
      <c r="D101">
        <v>4.8739999999999997</v>
      </c>
      <c r="E101">
        <f>(Master[[#This Row],[Happiness_Score]]*100)/10</f>
        <v>48.739999999999995</v>
      </c>
      <c r="F101">
        <v>0.82818999999999998</v>
      </c>
      <c r="G101">
        <f>(Master[[#This Row],[Economy_GDP_per_Capita]]*100)/2</f>
        <v>41.409500000000001</v>
      </c>
      <c r="H101">
        <v>1.3006</v>
      </c>
      <c r="I101">
        <f>(Master[[#This Row],[Family]]*100)/2</f>
        <v>65.03</v>
      </c>
      <c r="J101">
        <v>0.60267999999999999</v>
      </c>
      <c r="K101">
        <f>(Master[[#This Row],[Health_Life_Expectancy]]*100)/2</f>
        <v>30.134</v>
      </c>
      <c r="L101" s="3">
        <v>0.43625999999999998</v>
      </c>
      <c r="M101" s="3">
        <v>2.666E-2</v>
      </c>
      <c r="N101" s="3">
        <v>0</v>
      </c>
    </row>
    <row r="102" spans="1:14" x14ac:dyDescent="0.25">
      <c r="A102">
        <v>2015</v>
      </c>
      <c r="B102" t="s">
        <v>114</v>
      </c>
      <c r="C102">
        <v>101</v>
      </c>
      <c r="D102">
        <v>4.867</v>
      </c>
      <c r="E102">
        <f>(Master[[#This Row],[Happiness_Score]]*100)/10</f>
        <v>48.67</v>
      </c>
      <c r="F102">
        <v>0.71206000000000003</v>
      </c>
      <c r="G102">
        <f>(Master[[#This Row],[Economy_GDP_per_Capita]]*100)/2</f>
        <v>35.603000000000002</v>
      </c>
      <c r="H102">
        <v>1.07284</v>
      </c>
      <c r="I102">
        <f>(Master[[#This Row],[Family]]*100)/2</f>
        <v>53.642000000000003</v>
      </c>
      <c r="J102">
        <v>7.5660000000000005E-2</v>
      </c>
      <c r="K102">
        <f>(Master[[#This Row],[Health_Life_Expectancy]]*100)/2</f>
        <v>3.7830000000000004</v>
      </c>
      <c r="L102" s="3">
        <v>0.30658000000000002</v>
      </c>
      <c r="M102" s="3">
        <v>3.0599999999999999E-2</v>
      </c>
      <c r="N102" s="3">
        <v>0</v>
      </c>
    </row>
    <row r="103" spans="1:14" x14ac:dyDescent="0.25">
      <c r="A103">
        <v>2015</v>
      </c>
      <c r="B103" t="s">
        <v>115</v>
      </c>
      <c r="C103">
        <v>102</v>
      </c>
      <c r="D103">
        <v>4.8570000000000002</v>
      </c>
      <c r="E103">
        <f>(Master[[#This Row],[Happiness_Score]]*100)/10</f>
        <v>48.570000000000007</v>
      </c>
      <c r="F103">
        <v>1.1540600000000001</v>
      </c>
      <c r="G103">
        <f>(Master[[#This Row],[Economy_GDP_per_Capita]]*100)/2</f>
        <v>57.703000000000003</v>
      </c>
      <c r="H103">
        <v>0.92932999999999999</v>
      </c>
      <c r="I103">
        <f>(Master[[#This Row],[Family]]*100)/2</f>
        <v>46.466499999999996</v>
      </c>
      <c r="J103">
        <v>0.88212999999999997</v>
      </c>
      <c r="K103">
        <f>(Master[[#This Row],[Health_Life_Expectancy]]*100)/2</f>
        <v>44.106499999999997</v>
      </c>
      <c r="L103" s="3">
        <v>7.6990000000000003E-2</v>
      </c>
      <c r="M103" s="3">
        <v>1.397E-2</v>
      </c>
      <c r="N103" s="3">
        <v>0</v>
      </c>
    </row>
    <row r="104" spans="1:14" x14ac:dyDescent="0.25">
      <c r="A104">
        <v>2015</v>
      </c>
      <c r="B104" t="s">
        <v>116</v>
      </c>
      <c r="C104">
        <v>103</v>
      </c>
      <c r="D104">
        <v>4.8390000000000004</v>
      </c>
      <c r="E104">
        <f>(Master[[#This Row],[Happiness_Score]]*100)/10</f>
        <v>48.39</v>
      </c>
      <c r="F104">
        <v>1.0256400000000001</v>
      </c>
      <c r="G104">
        <f>(Master[[#This Row],[Economy_GDP_per_Capita]]*100)/2</f>
        <v>51.282000000000004</v>
      </c>
      <c r="H104">
        <v>0.80001</v>
      </c>
      <c r="I104">
        <f>(Master[[#This Row],[Family]]*100)/2</f>
        <v>40.000500000000002</v>
      </c>
      <c r="J104">
        <v>0.83947000000000005</v>
      </c>
      <c r="K104">
        <f>(Master[[#This Row],[Health_Life_Expectancy]]*100)/2</f>
        <v>41.973500000000001</v>
      </c>
      <c r="L104" s="3">
        <v>0.33916000000000002</v>
      </c>
      <c r="M104" s="3">
        <v>4.582E-2</v>
      </c>
      <c r="N104" s="3">
        <v>0</v>
      </c>
    </row>
    <row r="105" spans="1:14" x14ac:dyDescent="0.25">
      <c r="A105">
        <v>2015</v>
      </c>
      <c r="B105" t="s">
        <v>117</v>
      </c>
      <c r="C105">
        <v>104</v>
      </c>
      <c r="D105">
        <v>4.8</v>
      </c>
      <c r="E105">
        <f>(Master[[#This Row],[Happiness_Score]]*100)/10</f>
        <v>48</v>
      </c>
      <c r="F105">
        <v>1.12094</v>
      </c>
      <c r="G105">
        <f>(Master[[#This Row],[Economy_GDP_per_Capita]]*100)/2</f>
        <v>56.047000000000004</v>
      </c>
      <c r="H105">
        <v>1.2021500000000001</v>
      </c>
      <c r="I105">
        <f>(Master[[#This Row],[Family]]*100)/2</f>
        <v>60.107500000000002</v>
      </c>
      <c r="J105">
        <v>0.75905</v>
      </c>
      <c r="K105">
        <f>(Master[[#This Row],[Health_Life_Expectancy]]*100)/2</f>
        <v>37.952500000000001</v>
      </c>
      <c r="L105" s="3">
        <v>0.32112000000000002</v>
      </c>
      <c r="M105" s="3">
        <v>2.758E-2</v>
      </c>
      <c r="N105" s="3">
        <v>0</v>
      </c>
    </row>
    <row r="106" spans="1:14" x14ac:dyDescent="0.25">
      <c r="A106">
        <v>2015</v>
      </c>
      <c r="B106" t="s">
        <v>118</v>
      </c>
      <c r="C106">
        <v>105</v>
      </c>
      <c r="D106">
        <v>4.7880000000000003</v>
      </c>
      <c r="E106">
        <f>(Master[[#This Row],[Happiness_Score]]*100)/10</f>
        <v>47.88</v>
      </c>
      <c r="F106">
        <v>0.59531999999999996</v>
      </c>
      <c r="G106">
        <f>(Master[[#This Row],[Economy_GDP_per_Capita]]*100)/2</f>
        <v>29.765999999999998</v>
      </c>
      <c r="H106">
        <v>0.95347999999999999</v>
      </c>
      <c r="I106">
        <f>(Master[[#This Row],[Family]]*100)/2</f>
        <v>47.673999999999999</v>
      </c>
      <c r="J106">
        <v>0.69510000000000005</v>
      </c>
      <c r="K106">
        <f>(Master[[#This Row],[Health_Life_Expectancy]]*100)/2</f>
        <v>34.755000000000003</v>
      </c>
      <c r="L106" s="3">
        <v>0.40148</v>
      </c>
      <c r="M106" s="3">
        <v>6.8250000000000005E-2</v>
      </c>
      <c r="N106" s="3">
        <v>0</v>
      </c>
    </row>
    <row r="107" spans="1:14" x14ac:dyDescent="0.25">
      <c r="A107">
        <v>2015</v>
      </c>
      <c r="B107" t="s">
        <v>119</v>
      </c>
      <c r="C107">
        <v>106</v>
      </c>
      <c r="D107">
        <v>4.7859999999999996</v>
      </c>
      <c r="E107">
        <f>(Master[[#This Row],[Happiness_Score]]*100)/10</f>
        <v>47.86</v>
      </c>
      <c r="F107">
        <v>0.39046999999999998</v>
      </c>
      <c r="G107">
        <f>(Master[[#This Row],[Economy_GDP_per_Capita]]*100)/2</f>
        <v>19.523499999999999</v>
      </c>
      <c r="H107">
        <v>0.85563</v>
      </c>
      <c r="I107">
        <f>(Master[[#This Row],[Family]]*100)/2</f>
        <v>42.781500000000001</v>
      </c>
      <c r="J107">
        <v>0.57379000000000002</v>
      </c>
      <c r="K107">
        <f>(Master[[#This Row],[Health_Life_Expectancy]]*100)/2</f>
        <v>28.689500000000002</v>
      </c>
      <c r="L107" s="3">
        <v>0.47216000000000002</v>
      </c>
      <c r="M107" s="3">
        <v>0.15071999999999999</v>
      </c>
      <c r="N107" s="3">
        <v>0</v>
      </c>
    </row>
    <row r="108" spans="1:14" x14ac:dyDescent="0.25">
      <c r="A108">
        <v>2015</v>
      </c>
      <c r="B108" t="s">
        <v>120</v>
      </c>
      <c r="C108">
        <v>107</v>
      </c>
      <c r="D108">
        <v>4.7389999999999999</v>
      </c>
      <c r="E108">
        <f>(Master[[#This Row],[Happiness_Score]]*100)/10</f>
        <v>47.39</v>
      </c>
      <c r="F108">
        <v>0.88112999999999997</v>
      </c>
      <c r="G108">
        <f>(Master[[#This Row],[Economy_GDP_per_Capita]]*100)/2</f>
        <v>44.0565</v>
      </c>
      <c r="H108">
        <v>0.60428999999999999</v>
      </c>
      <c r="I108">
        <f>(Master[[#This Row],[Family]]*100)/2</f>
        <v>30.214500000000001</v>
      </c>
      <c r="J108">
        <v>0.73792999999999997</v>
      </c>
      <c r="K108">
        <f>(Master[[#This Row],[Health_Life_Expectancy]]*100)/2</f>
        <v>36.896499999999996</v>
      </c>
      <c r="L108" s="3">
        <v>0.26268000000000002</v>
      </c>
      <c r="M108" s="3">
        <v>6.3579999999999998E-2</v>
      </c>
      <c r="N108" s="3">
        <v>0</v>
      </c>
    </row>
    <row r="109" spans="1:14" x14ac:dyDescent="0.25">
      <c r="A109">
        <v>2015</v>
      </c>
      <c r="B109" t="s">
        <v>121</v>
      </c>
      <c r="C109">
        <v>108</v>
      </c>
      <c r="D109">
        <v>4.7149999999999999</v>
      </c>
      <c r="E109">
        <f>(Master[[#This Row],[Happiness_Score]]*100)/10</f>
        <v>47.15</v>
      </c>
      <c r="F109">
        <v>0.59867000000000004</v>
      </c>
      <c r="G109">
        <f>(Master[[#This Row],[Economy_GDP_per_Capita]]*100)/2</f>
        <v>29.933500000000002</v>
      </c>
      <c r="H109">
        <v>0.92557999999999996</v>
      </c>
      <c r="I109">
        <f>(Master[[#This Row],[Family]]*100)/2</f>
        <v>46.278999999999996</v>
      </c>
      <c r="J109">
        <v>0.66015000000000001</v>
      </c>
      <c r="K109">
        <f>(Master[[#This Row],[Health_Life_Expectancy]]*100)/2</f>
        <v>33.0075</v>
      </c>
      <c r="L109" s="3">
        <v>0.24499000000000001</v>
      </c>
      <c r="M109" s="3">
        <v>0.12905</v>
      </c>
      <c r="N109" s="3">
        <v>0</v>
      </c>
    </row>
    <row r="110" spans="1:14" x14ac:dyDescent="0.25">
      <c r="A110">
        <v>2015</v>
      </c>
      <c r="B110" t="s">
        <v>122</v>
      </c>
      <c r="C110">
        <v>109</v>
      </c>
      <c r="D110">
        <v>4.694</v>
      </c>
      <c r="E110">
        <f>(Master[[#This Row],[Happiness_Score]]*100)/10</f>
        <v>46.94</v>
      </c>
      <c r="F110">
        <v>0.39752999999999999</v>
      </c>
      <c r="G110">
        <f>(Master[[#This Row],[Economy_GDP_per_Capita]]*100)/2</f>
        <v>19.8765</v>
      </c>
      <c r="H110">
        <v>0.43106</v>
      </c>
      <c r="I110">
        <f>(Master[[#This Row],[Family]]*100)/2</f>
        <v>21.553000000000001</v>
      </c>
      <c r="J110">
        <v>0.60163999999999995</v>
      </c>
      <c r="K110">
        <f>(Master[[#This Row],[Health_Life_Expectancy]]*100)/2</f>
        <v>30.081999999999997</v>
      </c>
      <c r="L110" s="3">
        <v>0.40820000000000001</v>
      </c>
      <c r="M110" s="3">
        <v>0.12569</v>
      </c>
      <c r="N110" s="3">
        <v>0</v>
      </c>
    </row>
    <row r="111" spans="1:14" x14ac:dyDescent="0.25">
      <c r="A111">
        <v>2015</v>
      </c>
      <c r="B111" t="s">
        <v>123</v>
      </c>
      <c r="C111">
        <v>110</v>
      </c>
      <c r="D111">
        <v>4.6859999999999999</v>
      </c>
      <c r="E111">
        <f>(Master[[#This Row],[Happiness_Score]]*100)/10</f>
        <v>46.86</v>
      </c>
      <c r="F111">
        <v>1.0087999999999999</v>
      </c>
      <c r="G111">
        <f>(Master[[#This Row],[Economy_GDP_per_Capita]]*100)/2</f>
        <v>50.44</v>
      </c>
      <c r="H111">
        <v>0.54447000000000001</v>
      </c>
      <c r="I111">
        <f>(Master[[#This Row],[Family]]*100)/2</f>
        <v>27.223500000000001</v>
      </c>
      <c r="J111">
        <v>0.69804999999999995</v>
      </c>
      <c r="K111">
        <f>(Master[[#This Row],[Health_Life_Expectancy]]*100)/2</f>
        <v>34.902499999999996</v>
      </c>
      <c r="L111" s="3">
        <v>0.30032999999999999</v>
      </c>
      <c r="M111" s="3">
        <v>5.8630000000000002E-2</v>
      </c>
      <c r="N111" s="3">
        <v>0</v>
      </c>
    </row>
    <row r="112" spans="1:14" x14ac:dyDescent="0.25">
      <c r="A112">
        <v>2015</v>
      </c>
      <c r="B112" t="s">
        <v>124</v>
      </c>
      <c r="C112">
        <v>111</v>
      </c>
      <c r="D112">
        <v>4.681</v>
      </c>
      <c r="E112">
        <f>(Master[[#This Row],[Happiness_Score]]*100)/10</f>
        <v>46.81</v>
      </c>
      <c r="F112">
        <v>0.79906999999999995</v>
      </c>
      <c r="G112">
        <f>(Master[[#This Row],[Economy_GDP_per_Capita]]*100)/2</f>
        <v>39.953499999999998</v>
      </c>
      <c r="H112">
        <v>1.20278</v>
      </c>
      <c r="I112">
        <f>(Master[[#This Row],[Family]]*100)/2</f>
        <v>60.138999999999996</v>
      </c>
      <c r="J112">
        <v>0.67390000000000005</v>
      </c>
      <c r="K112">
        <f>(Master[[#This Row],[Health_Life_Expectancy]]*100)/2</f>
        <v>33.695</v>
      </c>
      <c r="L112" s="3">
        <v>0.25123000000000001</v>
      </c>
      <c r="M112" s="3">
        <v>2.9610000000000001E-2</v>
      </c>
      <c r="N112" s="3">
        <v>0</v>
      </c>
    </row>
    <row r="113" spans="1:14" x14ac:dyDescent="0.25">
      <c r="A113">
        <v>2015</v>
      </c>
      <c r="B113" t="s">
        <v>125</v>
      </c>
      <c r="C113">
        <v>112</v>
      </c>
      <c r="D113">
        <v>4.6769999999999996</v>
      </c>
      <c r="E113">
        <f>(Master[[#This Row],[Happiness_Score]]*100)/10</f>
        <v>46.769999999999996</v>
      </c>
      <c r="F113">
        <v>0.98548999999999998</v>
      </c>
      <c r="G113">
        <f>(Master[[#This Row],[Economy_GDP_per_Capita]]*100)/2</f>
        <v>49.274499999999996</v>
      </c>
      <c r="H113">
        <v>0.81889000000000001</v>
      </c>
      <c r="I113">
        <f>(Master[[#This Row],[Family]]*100)/2</f>
        <v>40.944499999999998</v>
      </c>
      <c r="J113">
        <v>0.60236999999999996</v>
      </c>
      <c r="K113">
        <f>(Master[[#This Row],[Health_Life_Expectancy]]*100)/2</f>
        <v>30.118499999999997</v>
      </c>
      <c r="L113" s="3">
        <v>0</v>
      </c>
      <c r="M113" s="3">
        <v>0.13788</v>
      </c>
      <c r="N113" s="3">
        <v>0</v>
      </c>
    </row>
    <row r="114" spans="1:14" x14ac:dyDescent="0.25">
      <c r="A114">
        <v>2015</v>
      </c>
      <c r="B114" t="s">
        <v>126</v>
      </c>
      <c r="C114">
        <v>113</v>
      </c>
      <c r="D114">
        <v>4.6420000000000003</v>
      </c>
      <c r="E114">
        <f>(Master[[#This Row],[Happiness_Score]]*100)/10</f>
        <v>46.42</v>
      </c>
      <c r="F114">
        <v>0.92049000000000003</v>
      </c>
      <c r="G114">
        <f>(Master[[#This Row],[Economy_GDP_per_Capita]]*100)/2</f>
        <v>46.024500000000003</v>
      </c>
      <c r="H114">
        <v>1.18468</v>
      </c>
      <c r="I114">
        <f>(Master[[#This Row],[Family]]*100)/2</f>
        <v>59.233999999999995</v>
      </c>
      <c r="J114">
        <v>0.27688000000000001</v>
      </c>
      <c r="K114">
        <f>(Master[[#This Row],[Health_Life_Expectancy]]*100)/2</f>
        <v>13.844000000000001</v>
      </c>
      <c r="L114" s="3">
        <v>0.33206999999999998</v>
      </c>
      <c r="M114" s="3">
        <v>8.8840000000000002E-2</v>
      </c>
      <c r="N114" s="3">
        <v>0</v>
      </c>
    </row>
    <row r="115" spans="1:14" x14ac:dyDescent="0.25">
      <c r="A115">
        <v>2015</v>
      </c>
      <c r="B115" t="s">
        <v>127</v>
      </c>
      <c r="C115">
        <v>114</v>
      </c>
      <c r="D115">
        <v>4.633</v>
      </c>
      <c r="E115">
        <f>(Master[[#This Row],[Happiness_Score]]*100)/10</f>
        <v>46.33</v>
      </c>
      <c r="F115">
        <v>0.54557999999999995</v>
      </c>
      <c r="G115">
        <f>(Master[[#This Row],[Economy_GDP_per_Capita]]*100)/2</f>
        <v>27.278999999999996</v>
      </c>
      <c r="H115">
        <v>0.67954000000000003</v>
      </c>
      <c r="I115">
        <f>(Master[[#This Row],[Family]]*100)/2</f>
        <v>33.977000000000004</v>
      </c>
      <c r="J115">
        <v>0.40132000000000001</v>
      </c>
      <c r="K115">
        <f>(Master[[#This Row],[Health_Life_Expectancy]]*100)/2</f>
        <v>20.065999999999999</v>
      </c>
      <c r="L115" s="3">
        <v>0.42342000000000002</v>
      </c>
      <c r="M115" s="3">
        <v>4.3549999999999998E-2</v>
      </c>
      <c r="N115" s="3">
        <v>0</v>
      </c>
    </row>
    <row r="116" spans="1:14" x14ac:dyDescent="0.25">
      <c r="A116">
        <v>2015</v>
      </c>
      <c r="B116" t="s">
        <v>128</v>
      </c>
      <c r="C116">
        <v>115</v>
      </c>
      <c r="D116">
        <v>4.6100000000000003</v>
      </c>
      <c r="E116">
        <f>(Master[[#This Row],[Happiness_Score]]*100)/10</f>
        <v>46.100000000000009</v>
      </c>
      <c r="F116">
        <v>0.27100000000000002</v>
      </c>
      <c r="G116">
        <f>(Master[[#This Row],[Economy_GDP_per_Capita]]*100)/2</f>
        <v>13.55</v>
      </c>
      <c r="H116">
        <v>1.0327599999999999</v>
      </c>
      <c r="I116">
        <f>(Master[[#This Row],[Family]]*100)/2</f>
        <v>51.637999999999998</v>
      </c>
      <c r="J116">
        <v>0.33474999999999999</v>
      </c>
      <c r="K116">
        <f>(Master[[#This Row],[Health_Life_Expectancy]]*100)/2</f>
        <v>16.737500000000001</v>
      </c>
      <c r="L116" s="3">
        <v>0.25861000000000001</v>
      </c>
      <c r="M116" s="3">
        <v>8.0790000000000001E-2</v>
      </c>
      <c r="N116" s="3">
        <v>0</v>
      </c>
    </row>
    <row r="117" spans="1:14" x14ac:dyDescent="0.25">
      <c r="A117">
        <v>2015</v>
      </c>
      <c r="B117" t="s">
        <v>129</v>
      </c>
      <c r="C117">
        <v>116</v>
      </c>
      <c r="D117">
        <v>4.5709999999999997</v>
      </c>
      <c r="E117">
        <f>(Master[[#This Row],[Happiness_Score]]*100)/10</f>
        <v>45.709999999999994</v>
      </c>
      <c r="F117">
        <v>7.1199999999999999E-2</v>
      </c>
      <c r="G117">
        <f>(Master[[#This Row],[Economy_GDP_per_Capita]]*100)/2</f>
        <v>3.56</v>
      </c>
      <c r="H117">
        <v>0.78968000000000005</v>
      </c>
      <c r="I117">
        <f>(Master[[#This Row],[Family]]*100)/2</f>
        <v>39.484000000000002</v>
      </c>
      <c r="J117">
        <v>0.34200999999999998</v>
      </c>
      <c r="K117">
        <f>(Master[[#This Row],[Health_Life_Expectancy]]*100)/2</f>
        <v>17.1005</v>
      </c>
      <c r="L117" s="3">
        <v>0.28531000000000001</v>
      </c>
      <c r="M117" s="3">
        <v>6.232E-2</v>
      </c>
      <c r="N117" s="3">
        <v>0</v>
      </c>
    </row>
    <row r="118" spans="1:14" x14ac:dyDescent="0.25">
      <c r="A118">
        <v>2015</v>
      </c>
      <c r="B118" t="s">
        <v>130</v>
      </c>
      <c r="C118">
        <v>117</v>
      </c>
      <c r="D118">
        <v>4.5650000000000004</v>
      </c>
      <c r="E118">
        <f>(Master[[#This Row],[Happiness_Score]]*100)/10</f>
        <v>45.650000000000006</v>
      </c>
      <c r="F118">
        <v>0.64498999999999995</v>
      </c>
      <c r="G118">
        <f>(Master[[#This Row],[Economy_GDP_per_Capita]]*100)/2</f>
        <v>32.249499999999998</v>
      </c>
      <c r="H118">
        <v>0.38174000000000002</v>
      </c>
      <c r="I118">
        <f>(Master[[#This Row],[Family]]*100)/2</f>
        <v>19.087</v>
      </c>
      <c r="J118">
        <v>0.51529000000000003</v>
      </c>
      <c r="K118">
        <f>(Master[[#This Row],[Health_Life_Expectancy]]*100)/2</f>
        <v>25.764500000000002</v>
      </c>
      <c r="L118" s="3">
        <v>0.39785999999999999</v>
      </c>
      <c r="M118" s="3">
        <v>8.4919999999999995E-2</v>
      </c>
      <c r="N118" s="3">
        <v>0</v>
      </c>
    </row>
    <row r="119" spans="1:14" x14ac:dyDescent="0.25">
      <c r="A119">
        <v>2015</v>
      </c>
      <c r="B119" t="s">
        <v>131</v>
      </c>
      <c r="C119">
        <v>118</v>
      </c>
      <c r="D119">
        <v>4.55</v>
      </c>
      <c r="E119">
        <f>(Master[[#This Row],[Happiness_Score]]*100)/10</f>
        <v>45.5</v>
      </c>
      <c r="F119">
        <v>0.52107000000000003</v>
      </c>
      <c r="G119">
        <f>(Master[[#This Row],[Economy_GDP_per_Capita]]*100)/2</f>
        <v>26.053500000000003</v>
      </c>
      <c r="H119">
        <v>1.0140400000000001</v>
      </c>
      <c r="I119">
        <f>(Master[[#This Row],[Family]]*100)/2</f>
        <v>50.702000000000005</v>
      </c>
      <c r="J119">
        <v>0.36878</v>
      </c>
      <c r="K119">
        <f>(Master[[#This Row],[Health_Life_Expectancy]]*100)/2</f>
        <v>18.439</v>
      </c>
      <c r="L119" s="3">
        <v>0.10081</v>
      </c>
      <c r="M119" s="3">
        <v>0.14660000000000001</v>
      </c>
      <c r="N119" s="3">
        <v>0</v>
      </c>
    </row>
    <row r="120" spans="1:14" x14ac:dyDescent="0.25">
      <c r="A120">
        <v>2015</v>
      </c>
      <c r="B120" t="s">
        <v>132</v>
      </c>
      <c r="C120">
        <v>119</v>
      </c>
      <c r="D120">
        <v>4.5179999999999998</v>
      </c>
      <c r="E120">
        <f>(Master[[#This Row],[Happiness_Score]]*100)/10</f>
        <v>45.179999999999993</v>
      </c>
      <c r="F120">
        <v>0.26673000000000002</v>
      </c>
      <c r="G120">
        <f>(Master[[#This Row],[Economy_GDP_per_Capita]]*100)/2</f>
        <v>13.336500000000001</v>
      </c>
      <c r="H120">
        <v>0.74302000000000001</v>
      </c>
      <c r="I120">
        <f>(Master[[#This Row],[Family]]*100)/2</f>
        <v>37.151000000000003</v>
      </c>
      <c r="J120">
        <v>0.38846999999999998</v>
      </c>
      <c r="K120">
        <f>(Master[[#This Row],[Health_Life_Expectancy]]*100)/2</f>
        <v>19.423500000000001</v>
      </c>
      <c r="L120" s="3">
        <v>0.24424999999999999</v>
      </c>
      <c r="M120" s="3">
        <v>0.17175000000000001</v>
      </c>
      <c r="N120" s="3">
        <v>0</v>
      </c>
    </row>
    <row r="121" spans="1:14" x14ac:dyDescent="0.25">
      <c r="A121">
        <v>2015</v>
      </c>
      <c r="B121" t="s">
        <v>133</v>
      </c>
      <c r="C121">
        <v>120</v>
      </c>
      <c r="D121">
        <v>4.5170000000000003</v>
      </c>
      <c r="E121">
        <f>(Master[[#This Row],[Happiness_Score]]*100)/10</f>
        <v>45.17</v>
      </c>
      <c r="F121">
        <v>0</v>
      </c>
      <c r="G121">
        <f>(Master[[#This Row],[Economy_GDP_per_Capita]]*100)/2</f>
        <v>0</v>
      </c>
      <c r="H121">
        <v>1.0012000000000001</v>
      </c>
      <c r="I121">
        <f>(Master[[#This Row],[Family]]*100)/2</f>
        <v>50.06</v>
      </c>
      <c r="J121">
        <v>9.8059999999999994E-2</v>
      </c>
      <c r="K121">
        <f>(Master[[#This Row],[Health_Life_Expectancy]]*100)/2</f>
        <v>4.9029999999999996</v>
      </c>
      <c r="L121" s="3">
        <v>0.22605</v>
      </c>
      <c r="M121" s="3">
        <v>7.6249999999999998E-2</v>
      </c>
      <c r="N121" s="3">
        <v>0</v>
      </c>
    </row>
    <row r="122" spans="1:14" x14ac:dyDescent="0.25">
      <c r="A122">
        <v>2015</v>
      </c>
      <c r="B122" t="s">
        <v>134</v>
      </c>
      <c r="C122">
        <v>121</v>
      </c>
      <c r="D122">
        <v>4.5140000000000002</v>
      </c>
      <c r="E122">
        <f>(Master[[#This Row],[Happiness_Score]]*100)/10</f>
        <v>45.14</v>
      </c>
      <c r="F122">
        <v>0.35997000000000001</v>
      </c>
      <c r="G122">
        <f>(Master[[#This Row],[Economy_GDP_per_Capita]]*100)/2</f>
        <v>17.9985</v>
      </c>
      <c r="H122">
        <v>0.86448999999999998</v>
      </c>
      <c r="I122">
        <f>(Master[[#This Row],[Family]]*100)/2</f>
        <v>43.224499999999999</v>
      </c>
      <c r="J122">
        <v>0.56874000000000002</v>
      </c>
      <c r="K122">
        <f>(Master[[#This Row],[Health_Life_Expectancy]]*100)/2</f>
        <v>28.437000000000001</v>
      </c>
      <c r="L122" s="3">
        <v>0.38281999999999999</v>
      </c>
      <c r="M122" s="3">
        <v>5.9069999999999998E-2</v>
      </c>
      <c r="N122" s="3">
        <v>0</v>
      </c>
    </row>
    <row r="123" spans="1:14" x14ac:dyDescent="0.25">
      <c r="A123">
        <v>2015</v>
      </c>
      <c r="B123" t="s">
        <v>135</v>
      </c>
      <c r="C123">
        <v>122</v>
      </c>
      <c r="D123">
        <v>4.5119999999999996</v>
      </c>
      <c r="E123">
        <f>(Master[[#This Row],[Happiness_Score]]*100)/10</f>
        <v>45.11999999999999</v>
      </c>
      <c r="F123">
        <v>0.19073000000000001</v>
      </c>
      <c r="G123">
        <f>(Master[[#This Row],[Economy_GDP_per_Capita]]*100)/2</f>
        <v>9.5365000000000002</v>
      </c>
      <c r="H123">
        <v>0.60406000000000004</v>
      </c>
      <c r="I123">
        <f>(Master[[#This Row],[Family]]*100)/2</f>
        <v>30.203000000000003</v>
      </c>
      <c r="J123">
        <v>0.44055</v>
      </c>
      <c r="K123">
        <f>(Master[[#This Row],[Health_Life_Expectancy]]*100)/2</f>
        <v>22.0275</v>
      </c>
      <c r="L123" s="3">
        <v>0.4345</v>
      </c>
      <c r="M123" s="3">
        <v>0.15048</v>
      </c>
      <c r="N123" s="3">
        <v>0</v>
      </c>
    </row>
    <row r="124" spans="1:14" x14ac:dyDescent="0.25">
      <c r="A124">
        <v>2015</v>
      </c>
      <c r="B124" t="s">
        <v>136</v>
      </c>
      <c r="C124">
        <v>123</v>
      </c>
      <c r="D124">
        <v>4.5069999999999997</v>
      </c>
      <c r="E124">
        <f>(Master[[#This Row],[Happiness_Score]]*100)/10</f>
        <v>45.07</v>
      </c>
      <c r="F124">
        <v>0.33023999999999998</v>
      </c>
      <c r="G124">
        <f>(Master[[#This Row],[Economy_GDP_per_Capita]]*100)/2</f>
        <v>16.512</v>
      </c>
      <c r="H124">
        <v>0.95570999999999995</v>
      </c>
      <c r="I124">
        <f>(Master[[#This Row],[Family]]*100)/2</f>
        <v>47.785499999999999</v>
      </c>
      <c r="J124">
        <v>0</v>
      </c>
      <c r="K124">
        <f>(Master[[#This Row],[Health_Life_Expectancy]]*100)/2</f>
        <v>0</v>
      </c>
      <c r="L124" s="3">
        <v>0.40839999999999999</v>
      </c>
      <c r="M124" s="3">
        <v>8.7859999999999994E-2</v>
      </c>
      <c r="N124" s="3">
        <v>0</v>
      </c>
    </row>
    <row r="125" spans="1:14" x14ac:dyDescent="0.25">
      <c r="A125">
        <v>2015</v>
      </c>
      <c r="B125" t="s">
        <v>137</v>
      </c>
      <c r="C125">
        <v>124</v>
      </c>
      <c r="D125">
        <v>4.4359999999999999</v>
      </c>
      <c r="E125">
        <f>(Master[[#This Row],[Happiness_Score]]*100)/10</f>
        <v>44.36</v>
      </c>
      <c r="F125">
        <v>0.45406999999999997</v>
      </c>
      <c r="G125">
        <f>(Master[[#This Row],[Economy_GDP_per_Capita]]*100)/2</f>
        <v>22.703499999999998</v>
      </c>
      <c r="H125">
        <v>0.86907999999999996</v>
      </c>
      <c r="I125">
        <f>(Master[[#This Row],[Family]]*100)/2</f>
        <v>43.454000000000001</v>
      </c>
      <c r="J125">
        <v>0.35874</v>
      </c>
      <c r="K125">
        <f>(Master[[#This Row],[Health_Life_Expectancy]]*100)/2</f>
        <v>17.937000000000001</v>
      </c>
      <c r="L125" s="3">
        <v>0.24232000000000001</v>
      </c>
      <c r="M125" s="3">
        <v>0.17460999999999999</v>
      </c>
      <c r="N125" s="3">
        <v>0</v>
      </c>
    </row>
    <row r="126" spans="1:14" x14ac:dyDescent="0.25">
      <c r="A126">
        <v>2015</v>
      </c>
      <c r="B126" t="s">
        <v>138</v>
      </c>
      <c r="C126">
        <v>125</v>
      </c>
      <c r="D126">
        <v>4.4189999999999996</v>
      </c>
      <c r="E126">
        <f>(Master[[#This Row],[Happiness_Score]]*100)/10</f>
        <v>44.19</v>
      </c>
      <c r="F126">
        <v>0.36470999999999998</v>
      </c>
      <c r="G126">
        <f>(Master[[#This Row],[Economy_GDP_per_Capita]]*100)/2</f>
        <v>18.235499999999998</v>
      </c>
      <c r="H126">
        <v>0.99875999999999998</v>
      </c>
      <c r="I126">
        <f>(Master[[#This Row],[Family]]*100)/2</f>
        <v>49.938000000000002</v>
      </c>
      <c r="J126">
        <v>0.41435</v>
      </c>
      <c r="K126">
        <f>(Master[[#This Row],[Health_Life_Expectancy]]*100)/2</f>
        <v>20.717500000000001</v>
      </c>
      <c r="L126" s="3">
        <v>0.42215000000000003</v>
      </c>
      <c r="M126" s="3">
        <v>5.8389999999999997E-2</v>
      </c>
      <c r="N126" s="3">
        <v>0</v>
      </c>
    </row>
    <row r="127" spans="1:14" x14ac:dyDescent="0.25">
      <c r="A127">
        <v>2015</v>
      </c>
      <c r="B127" t="s">
        <v>139</v>
      </c>
      <c r="C127">
        <v>126</v>
      </c>
      <c r="D127">
        <v>4.3689999999999998</v>
      </c>
      <c r="E127">
        <f>(Master[[#This Row],[Happiness_Score]]*100)/10</f>
        <v>43.69</v>
      </c>
      <c r="F127">
        <v>0.44024999999999997</v>
      </c>
      <c r="G127">
        <f>(Master[[#This Row],[Economy_GDP_per_Capita]]*100)/2</f>
        <v>22.012499999999999</v>
      </c>
      <c r="H127">
        <v>0.59206999999999999</v>
      </c>
      <c r="I127">
        <f>(Master[[#This Row],[Family]]*100)/2</f>
        <v>29.6035</v>
      </c>
      <c r="J127">
        <v>0.36291000000000001</v>
      </c>
      <c r="K127">
        <f>(Master[[#This Row],[Health_Life_Expectancy]]*100)/2</f>
        <v>18.145500000000002</v>
      </c>
      <c r="L127" s="3">
        <v>0.46073999999999998</v>
      </c>
      <c r="M127" s="3">
        <v>0.28105000000000002</v>
      </c>
      <c r="N127" s="3">
        <v>0</v>
      </c>
    </row>
    <row r="128" spans="1:14" x14ac:dyDescent="0.25">
      <c r="A128">
        <v>2015</v>
      </c>
      <c r="B128" t="s">
        <v>140</v>
      </c>
      <c r="C128">
        <v>127</v>
      </c>
      <c r="D128">
        <v>4.3499999999999996</v>
      </c>
      <c r="E128">
        <f>(Master[[#This Row],[Happiness_Score]]*100)/10</f>
        <v>43.499999999999993</v>
      </c>
      <c r="F128">
        <v>0.76820999999999995</v>
      </c>
      <c r="G128">
        <f>(Master[[#This Row],[Economy_GDP_per_Capita]]*100)/2</f>
        <v>38.410499999999999</v>
      </c>
      <c r="H128">
        <v>0.77710999999999997</v>
      </c>
      <c r="I128">
        <f>(Master[[#This Row],[Family]]*100)/2</f>
        <v>38.855499999999999</v>
      </c>
      <c r="J128">
        <v>0.72989999999999999</v>
      </c>
      <c r="K128">
        <f>(Master[[#This Row],[Health_Life_Expectancy]]*100)/2</f>
        <v>36.494999999999997</v>
      </c>
      <c r="L128" s="3">
        <v>0.19847000000000001</v>
      </c>
      <c r="M128" s="3">
        <v>3.9E-2</v>
      </c>
      <c r="N128" s="3">
        <v>0</v>
      </c>
    </row>
    <row r="129" spans="1:14" x14ac:dyDescent="0.25">
      <c r="A129">
        <v>2015</v>
      </c>
      <c r="B129" t="s">
        <v>141</v>
      </c>
      <c r="C129">
        <v>128</v>
      </c>
      <c r="D129">
        <v>4.3319999999999999</v>
      </c>
      <c r="E129">
        <f>(Master[[#This Row],[Happiness_Score]]*100)/10</f>
        <v>43.32</v>
      </c>
      <c r="F129">
        <v>0.99355000000000004</v>
      </c>
      <c r="G129">
        <f>(Master[[#This Row],[Economy_GDP_per_Capita]]*100)/2</f>
        <v>49.677500000000002</v>
      </c>
      <c r="H129">
        <v>1.1046400000000001</v>
      </c>
      <c r="I129">
        <f>(Master[[#This Row],[Family]]*100)/2</f>
        <v>55.232000000000006</v>
      </c>
      <c r="J129">
        <v>4.7759999999999997E-2</v>
      </c>
      <c r="K129">
        <f>(Master[[#This Row],[Health_Life_Expectancy]]*100)/2</f>
        <v>2.3879999999999999</v>
      </c>
      <c r="L129" s="3">
        <v>0.49495</v>
      </c>
      <c r="M129" s="3">
        <v>0.12474</v>
      </c>
      <c r="N129" s="3">
        <v>0</v>
      </c>
    </row>
    <row r="130" spans="1:14" x14ac:dyDescent="0.25">
      <c r="A130">
        <v>2015</v>
      </c>
      <c r="B130" t="s">
        <v>142</v>
      </c>
      <c r="C130">
        <v>129</v>
      </c>
      <c r="D130">
        <v>4.3070000000000004</v>
      </c>
      <c r="E130">
        <f>(Master[[#This Row],[Happiness_Score]]*100)/10</f>
        <v>43.070000000000007</v>
      </c>
      <c r="F130">
        <v>0.27107999999999999</v>
      </c>
      <c r="G130">
        <f>(Master[[#This Row],[Economy_GDP_per_Capita]]*100)/2</f>
        <v>13.553999999999998</v>
      </c>
      <c r="H130">
        <v>0.70904999999999996</v>
      </c>
      <c r="I130">
        <f>(Master[[#This Row],[Family]]*100)/2</f>
        <v>35.452500000000001</v>
      </c>
      <c r="J130">
        <v>0.48246</v>
      </c>
      <c r="K130">
        <f>(Master[[#This Row],[Health_Life_Expectancy]]*100)/2</f>
        <v>24.123000000000001</v>
      </c>
      <c r="L130" s="3">
        <v>0.44017000000000001</v>
      </c>
      <c r="M130" s="3">
        <v>0.19034000000000001</v>
      </c>
      <c r="N130" s="3">
        <v>0</v>
      </c>
    </row>
    <row r="131" spans="1:14" x14ac:dyDescent="0.25">
      <c r="A131">
        <v>2015</v>
      </c>
      <c r="B131" t="s">
        <v>143</v>
      </c>
      <c r="C131">
        <v>130</v>
      </c>
      <c r="D131">
        <v>4.2969999999999997</v>
      </c>
      <c r="E131">
        <f>(Master[[#This Row],[Happiness_Score]]*100)/10</f>
        <v>42.97</v>
      </c>
      <c r="F131">
        <v>0.7419</v>
      </c>
      <c r="G131">
        <f>(Master[[#This Row],[Economy_GDP_per_Capita]]*100)/2</f>
        <v>37.094999999999999</v>
      </c>
      <c r="H131">
        <v>0.38562000000000002</v>
      </c>
      <c r="I131">
        <f>(Master[[#This Row],[Family]]*100)/2</f>
        <v>19.281000000000002</v>
      </c>
      <c r="J131">
        <v>0.72926000000000002</v>
      </c>
      <c r="K131">
        <f>(Master[[#This Row],[Health_Life_Expectancy]]*100)/2</f>
        <v>36.463000000000001</v>
      </c>
      <c r="L131" s="3">
        <v>0.40577000000000002</v>
      </c>
      <c r="M131" s="3">
        <v>0.38330999999999998</v>
      </c>
      <c r="N131" s="3">
        <v>0</v>
      </c>
    </row>
    <row r="132" spans="1:14" x14ac:dyDescent="0.25">
      <c r="A132">
        <v>2015</v>
      </c>
      <c r="B132" t="s">
        <v>144</v>
      </c>
      <c r="C132">
        <v>131</v>
      </c>
      <c r="D132">
        <v>4.2919999999999998</v>
      </c>
      <c r="E132">
        <f>(Master[[#This Row],[Happiness_Score]]*100)/10</f>
        <v>42.92</v>
      </c>
      <c r="F132">
        <v>1.6039999999999999E-2</v>
      </c>
      <c r="G132">
        <f>(Master[[#This Row],[Economy_GDP_per_Capita]]*100)/2</f>
        <v>0.80199999999999994</v>
      </c>
      <c r="H132">
        <v>0.41133999999999998</v>
      </c>
      <c r="I132">
        <f>(Master[[#This Row],[Family]]*100)/2</f>
        <v>20.567</v>
      </c>
      <c r="J132">
        <v>0.22561999999999999</v>
      </c>
      <c r="K132">
        <f>(Master[[#This Row],[Health_Life_Expectancy]]*100)/2</f>
        <v>11.280999999999999</v>
      </c>
      <c r="L132" s="3">
        <v>0.43053999999999998</v>
      </c>
      <c r="M132" s="3">
        <v>6.9769999999999999E-2</v>
      </c>
      <c r="N132" s="3">
        <v>0</v>
      </c>
    </row>
    <row r="133" spans="1:14" x14ac:dyDescent="0.25">
      <c r="A133">
        <v>2015</v>
      </c>
      <c r="B133" t="s">
        <v>145</v>
      </c>
      <c r="C133">
        <v>132</v>
      </c>
      <c r="D133">
        <v>4.2709999999999999</v>
      </c>
      <c r="E133">
        <f>(Master[[#This Row],[Happiness_Score]]*100)/10</f>
        <v>42.709999999999994</v>
      </c>
      <c r="F133">
        <v>0.83523999999999998</v>
      </c>
      <c r="G133">
        <f>(Master[[#This Row],[Economy_GDP_per_Capita]]*100)/2</f>
        <v>41.762</v>
      </c>
      <c r="H133">
        <v>1.01905</v>
      </c>
      <c r="I133">
        <f>(Master[[#This Row],[Family]]*100)/2</f>
        <v>50.952500000000001</v>
      </c>
      <c r="J133">
        <v>0.70806000000000002</v>
      </c>
      <c r="K133">
        <f>(Master[[#This Row],[Health_Life_Expectancy]]*100)/2</f>
        <v>35.402999999999999</v>
      </c>
      <c r="L133" s="3">
        <v>0.53725999999999996</v>
      </c>
      <c r="M133" s="3">
        <v>9.1789999999999997E-2</v>
      </c>
      <c r="N133" s="3">
        <v>0</v>
      </c>
    </row>
    <row r="134" spans="1:14" x14ac:dyDescent="0.25">
      <c r="A134">
        <v>2015</v>
      </c>
      <c r="B134" t="s">
        <v>146</v>
      </c>
      <c r="C134">
        <v>133</v>
      </c>
      <c r="D134">
        <v>4.2519999999999998</v>
      </c>
      <c r="E134">
        <f>(Master[[#This Row],[Happiness_Score]]*100)/10</f>
        <v>42.519999999999996</v>
      </c>
      <c r="F134">
        <v>0.42249999999999999</v>
      </c>
      <c r="G134">
        <f>(Master[[#This Row],[Economy_GDP_per_Capita]]*100)/2</f>
        <v>21.125</v>
      </c>
      <c r="H134">
        <v>0.88766999999999996</v>
      </c>
      <c r="I134">
        <f>(Master[[#This Row],[Family]]*100)/2</f>
        <v>44.383499999999998</v>
      </c>
      <c r="J134">
        <v>0.23402000000000001</v>
      </c>
      <c r="K134">
        <f>(Master[[#This Row],[Health_Life_Expectancy]]*100)/2</f>
        <v>11.701000000000001</v>
      </c>
      <c r="L134" s="3">
        <v>0.49308999999999997</v>
      </c>
      <c r="M134" s="3">
        <v>5.7860000000000002E-2</v>
      </c>
      <c r="N134" s="3">
        <v>0</v>
      </c>
    </row>
    <row r="135" spans="1:14" x14ac:dyDescent="0.25">
      <c r="A135">
        <v>2015</v>
      </c>
      <c r="B135" t="s">
        <v>147</v>
      </c>
      <c r="C135">
        <v>134</v>
      </c>
      <c r="D135">
        <v>4.218</v>
      </c>
      <c r="E135">
        <f>(Master[[#This Row],[Happiness_Score]]*100)/10</f>
        <v>42.18</v>
      </c>
      <c r="F135">
        <v>1.0121599999999999</v>
      </c>
      <c r="G135">
        <f>(Master[[#This Row],[Economy_GDP_per_Capita]]*100)/2</f>
        <v>50.607999999999997</v>
      </c>
      <c r="H135">
        <v>1.1061399999999999</v>
      </c>
      <c r="I135">
        <f>(Master[[#This Row],[Family]]*100)/2</f>
        <v>55.306999999999995</v>
      </c>
      <c r="J135">
        <v>0.76649</v>
      </c>
      <c r="K135">
        <f>(Master[[#This Row],[Health_Life_Expectancy]]*100)/2</f>
        <v>38.3245</v>
      </c>
      <c r="L135" s="3">
        <v>0.30586999999999998</v>
      </c>
      <c r="M135" s="3">
        <v>8.7200000000000003E-3</v>
      </c>
      <c r="N135" s="3">
        <v>0</v>
      </c>
    </row>
    <row r="136" spans="1:14" x14ac:dyDescent="0.25">
      <c r="A136">
        <v>2015</v>
      </c>
      <c r="B136" t="s">
        <v>148</v>
      </c>
      <c r="C136">
        <v>135</v>
      </c>
      <c r="D136">
        <v>4.194</v>
      </c>
      <c r="E136">
        <f>(Master[[#This Row],[Happiness_Score]]*100)/10</f>
        <v>41.94</v>
      </c>
      <c r="F136">
        <v>0.88180000000000003</v>
      </c>
      <c r="G136">
        <f>(Master[[#This Row],[Economy_GDP_per_Capita]]*100)/2</f>
        <v>44.09</v>
      </c>
      <c r="H136">
        <v>0.747</v>
      </c>
      <c r="I136">
        <f>(Master[[#This Row],[Family]]*100)/2</f>
        <v>37.35</v>
      </c>
      <c r="J136">
        <v>0.61712</v>
      </c>
      <c r="K136">
        <f>(Master[[#This Row],[Health_Life_Expectancy]]*100)/2</f>
        <v>30.856000000000002</v>
      </c>
      <c r="L136" s="3">
        <v>0.17288000000000001</v>
      </c>
      <c r="M136" s="3">
        <v>6.3240000000000005E-2</v>
      </c>
      <c r="N136" s="3">
        <v>0</v>
      </c>
    </row>
    <row r="137" spans="1:14" x14ac:dyDescent="0.25">
      <c r="A137">
        <v>2015</v>
      </c>
      <c r="B137" t="s">
        <v>149</v>
      </c>
      <c r="C137">
        <v>136</v>
      </c>
      <c r="D137">
        <v>4.077</v>
      </c>
      <c r="E137">
        <f>(Master[[#This Row],[Happiness_Score]]*100)/10</f>
        <v>40.769999999999996</v>
      </c>
      <c r="F137">
        <v>0.54649000000000003</v>
      </c>
      <c r="G137">
        <f>(Master[[#This Row],[Economy_GDP_per_Capita]]*100)/2</f>
        <v>27.3245</v>
      </c>
      <c r="H137">
        <v>0.68093000000000004</v>
      </c>
      <c r="I137">
        <f>(Master[[#This Row],[Family]]*100)/2</f>
        <v>34.046500000000002</v>
      </c>
      <c r="J137">
        <v>0.40064</v>
      </c>
      <c r="K137">
        <f>(Master[[#This Row],[Health_Life_Expectancy]]*100)/2</f>
        <v>20.032</v>
      </c>
      <c r="L137" s="3">
        <v>0.35571000000000003</v>
      </c>
      <c r="M137" s="3">
        <v>7.8539999999999999E-2</v>
      </c>
      <c r="N137" s="3">
        <v>0</v>
      </c>
    </row>
    <row r="138" spans="1:14" x14ac:dyDescent="0.25">
      <c r="A138">
        <v>2015</v>
      </c>
      <c r="B138" t="s">
        <v>150</v>
      </c>
      <c r="C138">
        <v>137</v>
      </c>
      <c r="D138">
        <v>4.0330000000000004</v>
      </c>
      <c r="E138">
        <f>(Master[[#This Row],[Happiness_Score]]*100)/10</f>
        <v>40.33</v>
      </c>
      <c r="F138">
        <v>0.75778000000000001</v>
      </c>
      <c r="G138">
        <f>(Master[[#This Row],[Economy_GDP_per_Capita]]*100)/2</f>
        <v>37.889000000000003</v>
      </c>
      <c r="H138">
        <v>0.86040000000000005</v>
      </c>
      <c r="I138">
        <f>(Master[[#This Row],[Family]]*100)/2</f>
        <v>43.02</v>
      </c>
      <c r="J138">
        <v>0.16683000000000001</v>
      </c>
      <c r="K138">
        <f>(Master[[#This Row],[Health_Life_Expectancy]]*100)/2</f>
        <v>8.3414999999999999</v>
      </c>
      <c r="L138" s="3">
        <v>0.10384</v>
      </c>
      <c r="M138" s="3">
        <v>7.1220000000000006E-2</v>
      </c>
      <c r="N138" s="3">
        <v>0</v>
      </c>
    </row>
    <row r="139" spans="1:14" x14ac:dyDescent="0.25">
      <c r="A139">
        <v>2015</v>
      </c>
      <c r="B139" t="s">
        <v>151</v>
      </c>
      <c r="C139">
        <v>138</v>
      </c>
      <c r="D139">
        <v>3.9950000000000001</v>
      </c>
      <c r="E139">
        <f>(Master[[#This Row],[Happiness_Score]]*100)/10</f>
        <v>39.950000000000003</v>
      </c>
      <c r="F139">
        <v>0.26074000000000003</v>
      </c>
      <c r="G139">
        <f>(Master[[#This Row],[Economy_GDP_per_Capita]]*100)/2</f>
        <v>13.037000000000001</v>
      </c>
      <c r="H139">
        <v>1.0352600000000001</v>
      </c>
      <c r="I139">
        <f>(Master[[#This Row],[Family]]*100)/2</f>
        <v>51.763000000000005</v>
      </c>
      <c r="J139">
        <v>0.20583000000000001</v>
      </c>
      <c r="K139">
        <f>(Master[[#This Row],[Health_Life_Expectancy]]*100)/2</f>
        <v>10.291500000000001</v>
      </c>
      <c r="L139" s="3">
        <v>0.38857000000000003</v>
      </c>
      <c r="M139" s="3">
        <v>0.12352</v>
      </c>
      <c r="N139" s="3">
        <v>0</v>
      </c>
    </row>
    <row r="140" spans="1:14" x14ac:dyDescent="0.25">
      <c r="A140">
        <v>2015</v>
      </c>
      <c r="B140" t="s">
        <v>152</v>
      </c>
      <c r="C140">
        <v>139</v>
      </c>
      <c r="D140">
        <v>3.9889999999999999</v>
      </c>
      <c r="E140">
        <f>(Master[[#This Row],[Happiness_Score]]*100)/10</f>
        <v>39.89</v>
      </c>
      <c r="F140">
        <v>0.67866000000000004</v>
      </c>
      <c r="G140">
        <f>(Master[[#This Row],[Economy_GDP_per_Capita]]*100)/2</f>
        <v>33.933</v>
      </c>
      <c r="H140">
        <v>0.66290000000000004</v>
      </c>
      <c r="I140">
        <f>(Master[[#This Row],[Family]]*100)/2</f>
        <v>33.145000000000003</v>
      </c>
      <c r="J140">
        <v>0.31051000000000001</v>
      </c>
      <c r="K140">
        <f>(Master[[#This Row],[Health_Life_Expectancy]]*100)/2</f>
        <v>15.525500000000001</v>
      </c>
      <c r="L140" s="3">
        <v>0.41465999999999997</v>
      </c>
      <c r="M140" s="3">
        <v>0.11686000000000001</v>
      </c>
      <c r="N140" s="3">
        <v>0</v>
      </c>
    </row>
    <row r="141" spans="1:14" x14ac:dyDescent="0.25">
      <c r="A141">
        <v>2015</v>
      </c>
      <c r="B141" t="s">
        <v>153</v>
      </c>
      <c r="C141">
        <v>140</v>
      </c>
      <c r="D141">
        <v>3.956</v>
      </c>
      <c r="E141">
        <f>(Master[[#This Row],[Happiness_Score]]*100)/10</f>
        <v>39.56</v>
      </c>
      <c r="F141">
        <v>0.23905999999999999</v>
      </c>
      <c r="G141">
        <f>(Master[[#This Row],[Economy_GDP_per_Capita]]*100)/2</f>
        <v>11.952999999999999</v>
      </c>
      <c r="H141">
        <v>0.79273000000000005</v>
      </c>
      <c r="I141">
        <f>(Master[[#This Row],[Family]]*100)/2</f>
        <v>39.636500000000005</v>
      </c>
      <c r="J141">
        <v>0.36314999999999997</v>
      </c>
      <c r="K141">
        <f>(Master[[#This Row],[Health_Life_Expectancy]]*100)/2</f>
        <v>18.157499999999999</v>
      </c>
      <c r="L141" s="3">
        <v>0.22917000000000001</v>
      </c>
      <c r="M141" s="3">
        <v>0.19900000000000001</v>
      </c>
      <c r="N141" s="3">
        <v>0</v>
      </c>
    </row>
    <row r="142" spans="1:14" x14ac:dyDescent="0.25">
      <c r="A142">
        <v>2015</v>
      </c>
      <c r="B142" t="s">
        <v>154</v>
      </c>
      <c r="C142">
        <v>141</v>
      </c>
      <c r="D142">
        <v>3.931</v>
      </c>
      <c r="E142">
        <f>(Master[[#This Row],[Happiness_Score]]*100)/10</f>
        <v>39.31</v>
      </c>
      <c r="F142">
        <v>0.21102000000000001</v>
      </c>
      <c r="G142">
        <f>(Master[[#This Row],[Economy_GDP_per_Capita]]*100)/2</f>
        <v>10.551</v>
      </c>
      <c r="H142">
        <v>1.1329899999999999</v>
      </c>
      <c r="I142">
        <f>(Master[[#This Row],[Family]]*100)/2</f>
        <v>56.649499999999996</v>
      </c>
      <c r="J142">
        <v>0.33861000000000002</v>
      </c>
      <c r="K142">
        <f>(Master[[#This Row],[Health_Life_Expectancy]]*100)/2</f>
        <v>16.930500000000002</v>
      </c>
      <c r="L142" s="3">
        <v>0.45727000000000001</v>
      </c>
      <c r="M142" s="3">
        <v>7.2669999999999998E-2</v>
      </c>
      <c r="N142" s="3">
        <v>0</v>
      </c>
    </row>
    <row r="143" spans="1:14" x14ac:dyDescent="0.25">
      <c r="A143">
        <v>2015</v>
      </c>
      <c r="B143" t="s">
        <v>155</v>
      </c>
      <c r="C143">
        <v>142</v>
      </c>
      <c r="D143">
        <v>3.9039999999999999</v>
      </c>
      <c r="E143">
        <f>(Master[[#This Row],[Happiness_Score]]*100)/10</f>
        <v>39.04</v>
      </c>
      <c r="F143">
        <v>0.36498000000000003</v>
      </c>
      <c r="G143">
        <f>(Master[[#This Row],[Economy_GDP_per_Capita]]*100)/2</f>
        <v>18.249000000000002</v>
      </c>
      <c r="H143">
        <v>0.97619</v>
      </c>
      <c r="I143">
        <f>(Master[[#This Row],[Family]]*100)/2</f>
        <v>48.8095</v>
      </c>
      <c r="J143">
        <v>0.43540000000000001</v>
      </c>
      <c r="K143">
        <f>(Master[[#This Row],[Health_Life_Expectancy]]*100)/2</f>
        <v>21.77</v>
      </c>
      <c r="L143" s="3">
        <v>0.36771999999999999</v>
      </c>
      <c r="M143" s="3">
        <v>0.10713</v>
      </c>
      <c r="N143" s="3">
        <v>0</v>
      </c>
    </row>
    <row r="144" spans="1:14" x14ac:dyDescent="0.25">
      <c r="A144">
        <v>2015</v>
      </c>
      <c r="B144" t="s">
        <v>156</v>
      </c>
      <c r="C144">
        <v>143</v>
      </c>
      <c r="D144">
        <v>3.8959999999999999</v>
      </c>
      <c r="E144">
        <f>(Master[[#This Row],[Happiness_Score]]*100)/10</f>
        <v>38.959999999999994</v>
      </c>
      <c r="F144">
        <v>1.0602400000000001</v>
      </c>
      <c r="G144">
        <f>(Master[[#This Row],[Economy_GDP_per_Capita]]*100)/2</f>
        <v>53.012</v>
      </c>
      <c r="H144">
        <v>0.90527999999999997</v>
      </c>
      <c r="I144">
        <f>(Master[[#This Row],[Family]]*100)/2</f>
        <v>45.263999999999996</v>
      </c>
      <c r="J144">
        <v>0.43371999999999999</v>
      </c>
      <c r="K144">
        <f>(Master[[#This Row],[Health_Life_Expectancy]]*100)/2</f>
        <v>21.686</v>
      </c>
      <c r="L144" s="3">
        <v>0.31913999999999998</v>
      </c>
      <c r="M144" s="3">
        <v>0.11090999999999999</v>
      </c>
      <c r="N144" s="3">
        <v>0</v>
      </c>
    </row>
    <row r="145" spans="1:14" x14ac:dyDescent="0.25">
      <c r="A145">
        <v>2015</v>
      </c>
      <c r="B145" t="s">
        <v>157</v>
      </c>
      <c r="C145">
        <v>144</v>
      </c>
      <c r="D145">
        <v>3.8450000000000002</v>
      </c>
      <c r="E145">
        <f>(Master[[#This Row],[Happiness_Score]]*100)/10</f>
        <v>38.450000000000003</v>
      </c>
      <c r="F145">
        <v>6.9400000000000003E-2</v>
      </c>
      <c r="G145">
        <f>(Master[[#This Row],[Economy_GDP_per_Capita]]*100)/2</f>
        <v>3.47</v>
      </c>
      <c r="H145">
        <v>0.77264999999999995</v>
      </c>
      <c r="I145">
        <f>(Master[[#This Row],[Family]]*100)/2</f>
        <v>38.6325</v>
      </c>
      <c r="J145">
        <v>0.29707</v>
      </c>
      <c r="K145">
        <f>(Master[[#This Row],[Health_Life_Expectancy]]*100)/2</f>
        <v>14.8535</v>
      </c>
      <c r="L145" s="3">
        <v>0.47692000000000001</v>
      </c>
      <c r="M145" s="3">
        <v>0.15639</v>
      </c>
      <c r="N145" s="3">
        <v>0</v>
      </c>
    </row>
    <row r="146" spans="1:14" x14ac:dyDescent="0.25">
      <c r="A146">
        <v>2015</v>
      </c>
      <c r="B146" t="s">
        <v>158</v>
      </c>
      <c r="C146">
        <v>145</v>
      </c>
      <c r="D146">
        <v>3.819</v>
      </c>
      <c r="E146">
        <f>(Master[[#This Row],[Happiness_Score]]*100)/10</f>
        <v>38.19</v>
      </c>
      <c r="F146">
        <v>0.46038000000000001</v>
      </c>
      <c r="G146">
        <f>(Master[[#This Row],[Economy_GDP_per_Capita]]*100)/2</f>
        <v>23.019000000000002</v>
      </c>
      <c r="H146">
        <v>0.62736000000000003</v>
      </c>
      <c r="I146">
        <f>(Master[[#This Row],[Family]]*100)/2</f>
        <v>31.368000000000002</v>
      </c>
      <c r="J146">
        <v>0.61114000000000002</v>
      </c>
      <c r="K146">
        <f>(Master[[#This Row],[Health_Life_Expectancy]]*100)/2</f>
        <v>30.557000000000002</v>
      </c>
      <c r="L146" s="3">
        <v>0.66246000000000005</v>
      </c>
      <c r="M146" s="3">
        <v>7.2470000000000007E-2</v>
      </c>
      <c r="N146" s="3">
        <v>0</v>
      </c>
    </row>
    <row r="147" spans="1:14" x14ac:dyDescent="0.25">
      <c r="A147">
        <v>2015</v>
      </c>
      <c r="B147" t="s">
        <v>159</v>
      </c>
      <c r="C147">
        <v>146</v>
      </c>
      <c r="D147">
        <v>3.7810000000000001</v>
      </c>
      <c r="E147">
        <f>(Master[[#This Row],[Happiness_Score]]*100)/10</f>
        <v>37.81</v>
      </c>
      <c r="F147">
        <v>0.28520000000000001</v>
      </c>
      <c r="G147">
        <f>(Master[[#This Row],[Economy_GDP_per_Capita]]*100)/2</f>
        <v>14.26</v>
      </c>
      <c r="H147">
        <v>1.00268</v>
      </c>
      <c r="I147">
        <f>(Master[[#This Row],[Family]]*100)/2</f>
        <v>50.134</v>
      </c>
      <c r="J147">
        <v>0.38214999999999999</v>
      </c>
      <c r="K147">
        <f>(Master[[#This Row],[Health_Life_Expectancy]]*100)/2</f>
        <v>19.107499999999998</v>
      </c>
      <c r="L147" s="3">
        <v>0.32878000000000002</v>
      </c>
      <c r="M147" s="3">
        <v>5.747E-2</v>
      </c>
      <c r="N147" s="3">
        <v>0</v>
      </c>
    </row>
    <row r="148" spans="1:14" x14ac:dyDescent="0.25">
      <c r="A148">
        <v>2015</v>
      </c>
      <c r="B148" t="s">
        <v>160</v>
      </c>
      <c r="C148">
        <v>147</v>
      </c>
      <c r="D148">
        <v>3.681</v>
      </c>
      <c r="E148">
        <f>(Master[[#This Row],[Happiness_Score]]*100)/10</f>
        <v>36.81</v>
      </c>
      <c r="F148">
        <v>0.20824000000000001</v>
      </c>
      <c r="G148">
        <f>(Master[[#This Row],[Economy_GDP_per_Capita]]*100)/2</f>
        <v>10.412000000000001</v>
      </c>
      <c r="H148">
        <v>0.66800999999999999</v>
      </c>
      <c r="I148">
        <f>(Master[[#This Row],[Family]]*100)/2</f>
        <v>33.400500000000001</v>
      </c>
      <c r="J148">
        <v>0.46721000000000001</v>
      </c>
      <c r="K148">
        <f>(Master[[#This Row],[Health_Life_Expectancy]]*100)/2</f>
        <v>23.360500000000002</v>
      </c>
      <c r="L148" s="3">
        <v>0.19184000000000001</v>
      </c>
      <c r="M148" s="3">
        <v>8.1240000000000007E-2</v>
      </c>
      <c r="N148" s="3">
        <v>0</v>
      </c>
    </row>
    <row r="149" spans="1:14" x14ac:dyDescent="0.25">
      <c r="A149">
        <v>2015</v>
      </c>
      <c r="B149" t="s">
        <v>161</v>
      </c>
      <c r="C149">
        <v>148</v>
      </c>
      <c r="D149">
        <v>3.6779999999999999</v>
      </c>
      <c r="E149">
        <f>(Master[[#This Row],[Happiness_Score]]*100)/10</f>
        <v>36.78</v>
      </c>
      <c r="F149">
        <v>7.85E-2</v>
      </c>
      <c r="G149">
        <f>(Master[[#This Row],[Economy_GDP_per_Capita]]*100)/2</f>
        <v>3.9249999999999998</v>
      </c>
      <c r="H149">
        <v>0</v>
      </c>
      <c r="I149">
        <f>(Master[[#This Row],[Family]]*100)/2</f>
        <v>0</v>
      </c>
      <c r="J149">
        <v>6.6989999999999994E-2</v>
      </c>
      <c r="K149">
        <f>(Master[[#This Row],[Health_Life_Expectancy]]*100)/2</f>
        <v>3.3494999999999999</v>
      </c>
      <c r="L149" s="3">
        <v>0.48879</v>
      </c>
      <c r="M149" s="3">
        <v>8.2890000000000005E-2</v>
      </c>
      <c r="N149" s="3">
        <v>0</v>
      </c>
    </row>
    <row r="150" spans="1:14" x14ac:dyDescent="0.25">
      <c r="A150">
        <v>2015</v>
      </c>
      <c r="B150" t="s">
        <v>162</v>
      </c>
      <c r="C150">
        <v>149</v>
      </c>
      <c r="D150">
        <v>3.6669999999999998</v>
      </c>
      <c r="E150">
        <f>(Master[[#This Row],[Happiness_Score]]*100)/10</f>
        <v>36.67</v>
      </c>
      <c r="F150">
        <v>0.34193000000000001</v>
      </c>
      <c r="G150">
        <f>(Master[[#This Row],[Economy_GDP_per_Capita]]*100)/2</f>
        <v>17.096499999999999</v>
      </c>
      <c r="H150">
        <v>0.76061999999999996</v>
      </c>
      <c r="I150">
        <f>(Master[[#This Row],[Family]]*100)/2</f>
        <v>38.030999999999999</v>
      </c>
      <c r="J150">
        <v>0.15010000000000001</v>
      </c>
      <c r="K150">
        <f>(Master[[#This Row],[Health_Life_Expectancy]]*100)/2</f>
        <v>7.5050000000000008</v>
      </c>
      <c r="L150" s="3">
        <v>0.23501</v>
      </c>
      <c r="M150" s="3">
        <v>5.2690000000000001E-2</v>
      </c>
      <c r="N150" s="3">
        <v>0</v>
      </c>
    </row>
    <row r="151" spans="1:14" x14ac:dyDescent="0.25">
      <c r="A151">
        <v>2015</v>
      </c>
      <c r="B151" t="s">
        <v>163</v>
      </c>
      <c r="C151">
        <v>150</v>
      </c>
      <c r="D151">
        <v>3.6560000000000001</v>
      </c>
      <c r="E151">
        <f>(Master[[#This Row],[Happiness_Score]]*100)/10</f>
        <v>36.56</v>
      </c>
      <c r="F151">
        <v>0.17416999999999999</v>
      </c>
      <c r="G151">
        <f>(Master[[#This Row],[Economy_GDP_per_Capita]]*100)/2</f>
        <v>8.708499999999999</v>
      </c>
      <c r="H151">
        <v>0.46475</v>
      </c>
      <c r="I151">
        <f>(Master[[#This Row],[Family]]*100)/2</f>
        <v>23.237500000000001</v>
      </c>
      <c r="J151">
        <v>0.24009</v>
      </c>
      <c r="K151">
        <f>(Master[[#This Row],[Health_Life_Expectancy]]*100)/2</f>
        <v>12.0045</v>
      </c>
      <c r="L151" s="3">
        <v>0.37724999999999997</v>
      </c>
      <c r="M151" s="3">
        <v>0.12139</v>
      </c>
      <c r="N151" s="3">
        <v>0</v>
      </c>
    </row>
    <row r="152" spans="1:14" x14ac:dyDescent="0.25">
      <c r="A152">
        <v>2015</v>
      </c>
      <c r="B152" t="s">
        <v>164</v>
      </c>
      <c r="C152">
        <v>151</v>
      </c>
      <c r="D152">
        <v>3.6549999999999998</v>
      </c>
      <c r="E152">
        <f>(Master[[#This Row],[Happiness_Score]]*100)/10</f>
        <v>36.549999999999997</v>
      </c>
      <c r="F152">
        <v>0.46533999999999998</v>
      </c>
      <c r="G152">
        <f>(Master[[#This Row],[Economy_GDP_per_Capita]]*100)/2</f>
        <v>23.266999999999999</v>
      </c>
      <c r="H152">
        <v>0.77115</v>
      </c>
      <c r="I152">
        <f>(Master[[#This Row],[Family]]*100)/2</f>
        <v>38.557499999999997</v>
      </c>
      <c r="J152">
        <v>0.15185000000000001</v>
      </c>
      <c r="K152">
        <f>(Master[[#This Row],[Health_Life_Expectancy]]*100)/2</f>
        <v>7.5925000000000002</v>
      </c>
      <c r="L152" s="3">
        <v>0.46866000000000002</v>
      </c>
      <c r="M152" s="3">
        <v>0.17921999999999999</v>
      </c>
      <c r="N152" s="3">
        <v>0</v>
      </c>
    </row>
    <row r="153" spans="1:14" x14ac:dyDescent="0.25">
      <c r="A153">
        <v>2015</v>
      </c>
      <c r="B153" t="s">
        <v>165</v>
      </c>
      <c r="C153">
        <v>152</v>
      </c>
      <c r="D153">
        <v>3.5870000000000002</v>
      </c>
      <c r="E153">
        <f>(Master[[#This Row],[Happiness_Score]]*100)/10</f>
        <v>35.870000000000005</v>
      </c>
      <c r="F153">
        <v>0.25812000000000002</v>
      </c>
      <c r="G153">
        <f>(Master[[#This Row],[Economy_GDP_per_Capita]]*100)/2</f>
        <v>12.906000000000001</v>
      </c>
      <c r="H153">
        <v>0.85187999999999997</v>
      </c>
      <c r="I153">
        <f>(Master[[#This Row],[Family]]*100)/2</f>
        <v>42.594000000000001</v>
      </c>
      <c r="J153">
        <v>0.27124999999999999</v>
      </c>
      <c r="K153">
        <f>(Master[[#This Row],[Health_Life_Expectancy]]*100)/2</f>
        <v>13.5625</v>
      </c>
      <c r="L153" s="3">
        <v>0.39493</v>
      </c>
      <c r="M153" s="3">
        <v>0.12831999999999999</v>
      </c>
      <c r="N153" s="3">
        <v>0</v>
      </c>
    </row>
    <row r="154" spans="1:14" x14ac:dyDescent="0.25">
      <c r="A154">
        <v>2015</v>
      </c>
      <c r="B154" t="s">
        <v>166</v>
      </c>
      <c r="C154">
        <v>153</v>
      </c>
      <c r="D154">
        <v>3.5750000000000002</v>
      </c>
      <c r="E154">
        <f>(Master[[#This Row],[Happiness_Score]]*100)/10</f>
        <v>35.75</v>
      </c>
      <c r="F154">
        <v>0.31981999999999999</v>
      </c>
      <c r="G154">
        <f>(Master[[#This Row],[Economy_GDP_per_Capita]]*100)/2</f>
        <v>15.991</v>
      </c>
      <c r="H154">
        <v>0.30285000000000001</v>
      </c>
      <c r="I154">
        <f>(Master[[#This Row],[Family]]*100)/2</f>
        <v>15.1425</v>
      </c>
      <c r="J154">
        <v>0.30335000000000001</v>
      </c>
      <c r="K154">
        <f>(Master[[#This Row],[Health_Life_Expectancy]]*100)/2</f>
        <v>15.1675</v>
      </c>
      <c r="L154" s="3">
        <v>0.23413999999999999</v>
      </c>
      <c r="M154" s="3">
        <v>9.7189999999999999E-2</v>
      </c>
      <c r="N154" s="3">
        <v>0</v>
      </c>
    </row>
    <row r="155" spans="1:14" x14ac:dyDescent="0.25">
      <c r="A155">
        <v>2015</v>
      </c>
      <c r="B155" t="s">
        <v>167</v>
      </c>
      <c r="C155">
        <v>154</v>
      </c>
      <c r="D155">
        <v>3.4649999999999999</v>
      </c>
      <c r="E155">
        <f>(Master[[#This Row],[Happiness_Score]]*100)/10</f>
        <v>34.65</v>
      </c>
      <c r="F155">
        <v>0.22208</v>
      </c>
      <c r="G155">
        <f>(Master[[#This Row],[Economy_GDP_per_Capita]]*100)/2</f>
        <v>11.103999999999999</v>
      </c>
      <c r="H155">
        <v>0.77370000000000005</v>
      </c>
      <c r="I155">
        <f>(Master[[#This Row],[Family]]*100)/2</f>
        <v>38.685000000000002</v>
      </c>
      <c r="J155">
        <v>0.42864000000000002</v>
      </c>
      <c r="K155">
        <f>(Master[[#This Row],[Health_Life_Expectancy]]*100)/2</f>
        <v>21.432000000000002</v>
      </c>
      <c r="L155" s="3">
        <v>0.59201000000000004</v>
      </c>
      <c r="M155" s="3">
        <v>0.55191000000000001</v>
      </c>
      <c r="N155" s="3">
        <v>0</v>
      </c>
    </row>
    <row r="156" spans="1:14" x14ac:dyDescent="0.25">
      <c r="A156">
        <v>2015</v>
      </c>
      <c r="B156" t="s">
        <v>168</v>
      </c>
      <c r="C156">
        <v>155</v>
      </c>
      <c r="D156">
        <v>3.34</v>
      </c>
      <c r="E156">
        <f>(Master[[#This Row],[Happiness_Score]]*100)/10</f>
        <v>33.4</v>
      </c>
      <c r="F156">
        <v>0.28665000000000002</v>
      </c>
      <c r="G156">
        <f>(Master[[#This Row],[Economy_GDP_per_Capita]]*100)/2</f>
        <v>14.332500000000001</v>
      </c>
      <c r="H156">
        <v>0.35386000000000001</v>
      </c>
      <c r="I156">
        <f>(Master[[#This Row],[Family]]*100)/2</f>
        <v>17.693000000000001</v>
      </c>
      <c r="J156">
        <v>0.31909999999999999</v>
      </c>
      <c r="K156">
        <f>(Master[[#This Row],[Health_Life_Expectancy]]*100)/2</f>
        <v>15.955</v>
      </c>
      <c r="L156" s="3">
        <v>0.48449999999999999</v>
      </c>
      <c r="M156" s="3">
        <v>8.0100000000000005E-2</v>
      </c>
      <c r="N156" s="3">
        <v>0</v>
      </c>
    </row>
    <row r="157" spans="1:14" x14ac:dyDescent="0.25">
      <c r="A157">
        <v>2015</v>
      </c>
      <c r="B157" t="s">
        <v>169</v>
      </c>
      <c r="C157">
        <v>156</v>
      </c>
      <c r="D157">
        <v>3.0059999999999998</v>
      </c>
      <c r="E157">
        <f>(Master[[#This Row],[Happiness_Score]]*100)/10</f>
        <v>30.059999999999995</v>
      </c>
      <c r="F157">
        <v>0.66320000000000001</v>
      </c>
      <c r="G157">
        <f>(Master[[#This Row],[Economy_GDP_per_Capita]]*100)/2</f>
        <v>33.160000000000004</v>
      </c>
      <c r="H157">
        <v>0.47488999999999998</v>
      </c>
      <c r="I157">
        <f>(Master[[#This Row],[Family]]*100)/2</f>
        <v>23.744499999999999</v>
      </c>
      <c r="J157">
        <v>0.72192999999999996</v>
      </c>
      <c r="K157">
        <f>(Master[[#This Row],[Health_Life_Expectancy]]*100)/2</f>
        <v>36.096499999999999</v>
      </c>
      <c r="L157" s="3">
        <v>0.15684000000000001</v>
      </c>
      <c r="M157" s="3">
        <v>0.18906000000000001</v>
      </c>
      <c r="N157" s="3">
        <v>0</v>
      </c>
    </row>
    <row r="158" spans="1:14" x14ac:dyDescent="0.25">
      <c r="A158">
        <v>2015</v>
      </c>
      <c r="B158" t="s">
        <v>170</v>
      </c>
      <c r="C158">
        <v>157</v>
      </c>
      <c r="D158">
        <v>2.9049999999999998</v>
      </c>
      <c r="E158">
        <f>(Master[[#This Row],[Happiness_Score]]*100)/10</f>
        <v>29.05</v>
      </c>
      <c r="F158">
        <v>1.5299999999999999E-2</v>
      </c>
      <c r="G158">
        <f>(Master[[#This Row],[Economy_GDP_per_Capita]]*100)/2</f>
        <v>0.76500000000000001</v>
      </c>
      <c r="H158">
        <v>0.41587000000000002</v>
      </c>
      <c r="I158">
        <f>(Master[[#This Row],[Family]]*100)/2</f>
        <v>20.793500000000002</v>
      </c>
      <c r="J158">
        <v>0.22395999999999999</v>
      </c>
      <c r="K158">
        <f>(Master[[#This Row],[Health_Life_Expectancy]]*100)/2</f>
        <v>11.198</v>
      </c>
      <c r="L158" s="3">
        <v>0.11849999999999999</v>
      </c>
      <c r="M158" s="3">
        <v>0.10062</v>
      </c>
      <c r="N158" s="3">
        <v>0</v>
      </c>
    </row>
    <row r="159" spans="1:14" x14ac:dyDescent="0.25">
      <c r="A159">
        <v>2015</v>
      </c>
      <c r="B159" t="s">
        <v>171</v>
      </c>
      <c r="C159">
        <v>158</v>
      </c>
      <c r="D159">
        <v>2.839</v>
      </c>
      <c r="E159">
        <f>(Master[[#This Row],[Happiness_Score]]*100)/10</f>
        <v>28.389999999999997</v>
      </c>
      <c r="F159">
        <v>0.20868</v>
      </c>
      <c r="G159">
        <f>(Master[[#This Row],[Economy_GDP_per_Capita]]*100)/2</f>
        <v>10.434000000000001</v>
      </c>
      <c r="H159">
        <v>0.13994999999999999</v>
      </c>
      <c r="I159">
        <f>(Master[[#This Row],[Family]]*100)/2</f>
        <v>6.9974999999999996</v>
      </c>
      <c r="J159">
        <v>0.28443000000000002</v>
      </c>
      <c r="K159">
        <f>(Master[[#This Row],[Health_Life_Expectancy]]*100)/2</f>
        <v>14.221500000000001</v>
      </c>
      <c r="L159" s="3">
        <v>0.36453000000000002</v>
      </c>
      <c r="M159" s="3">
        <v>0.10731</v>
      </c>
      <c r="N159" s="3">
        <v>0</v>
      </c>
    </row>
    <row r="160" spans="1:14" x14ac:dyDescent="0.25">
      <c r="A160">
        <v>2016</v>
      </c>
      <c r="B160" t="s">
        <v>7</v>
      </c>
      <c r="C160">
        <v>1</v>
      </c>
      <c r="D160">
        <v>7.5259999999999998</v>
      </c>
      <c r="E160">
        <f>(Master[[#This Row],[Happiness_Score]]*100)/10</f>
        <v>75.260000000000005</v>
      </c>
      <c r="F160">
        <v>1.4417800000000001</v>
      </c>
      <c r="G160">
        <f>(Master[[#This Row],[Economy_GDP_per_Capita]]*100)/2</f>
        <v>72.088999999999999</v>
      </c>
      <c r="H160">
        <v>1.16374</v>
      </c>
      <c r="I160">
        <f>(Master[[#This Row],[Family]]*100)/2</f>
        <v>58.186999999999998</v>
      </c>
      <c r="J160">
        <v>0.79503999999999997</v>
      </c>
      <c r="K160">
        <f>(Master[[#This Row],[Health_Life_Expectancy]]*100)/2</f>
        <v>39.751999999999995</v>
      </c>
      <c r="L160" s="3">
        <v>0.57940999999999998</v>
      </c>
      <c r="M160" s="3">
        <v>0.44452999999999998</v>
      </c>
      <c r="N160" s="3">
        <v>0.36170999999999998</v>
      </c>
    </row>
    <row r="161" spans="1:14" x14ac:dyDescent="0.25">
      <c r="A161">
        <v>2016</v>
      </c>
      <c r="B161" t="s">
        <v>4</v>
      </c>
      <c r="C161">
        <v>2</v>
      </c>
      <c r="D161">
        <v>7.5090000000000003</v>
      </c>
      <c r="E161">
        <f>(Master[[#This Row],[Happiness_Score]]*100)/10</f>
        <v>75.09</v>
      </c>
      <c r="F161">
        <v>1.5273300000000001</v>
      </c>
      <c r="G161">
        <f>(Master[[#This Row],[Economy_GDP_per_Capita]]*100)/2</f>
        <v>76.366500000000002</v>
      </c>
      <c r="H161">
        <v>1.14524</v>
      </c>
      <c r="I161">
        <f>(Master[[#This Row],[Family]]*100)/2</f>
        <v>57.262</v>
      </c>
      <c r="J161">
        <v>0.86302999999999996</v>
      </c>
      <c r="K161">
        <f>(Master[[#This Row],[Health_Life_Expectancy]]*100)/2</f>
        <v>43.151499999999999</v>
      </c>
      <c r="L161" s="3">
        <v>0.58557000000000003</v>
      </c>
      <c r="M161" s="3">
        <v>0.41203000000000001</v>
      </c>
      <c r="N161" s="3">
        <v>0.28083000000000002</v>
      </c>
    </row>
    <row r="162" spans="1:14" x14ac:dyDescent="0.25">
      <c r="A162">
        <v>2016</v>
      </c>
      <c r="B162" t="s">
        <v>6</v>
      </c>
      <c r="C162">
        <v>3</v>
      </c>
      <c r="D162">
        <v>7.5010000000000003</v>
      </c>
      <c r="E162">
        <f>(Master[[#This Row],[Happiness_Score]]*100)/10</f>
        <v>75.010000000000005</v>
      </c>
      <c r="F162">
        <v>1.42666</v>
      </c>
      <c r="G162">
        <f>(Master[[#This Row],[Economy_GDP_per_Capita]]*100)/2</f>
        <v>71.332999999999998</v>
      </c>
      <c r="H162">
        <v>1.18326</v>
      </c>
      <c r="I162">
        <f>(Master[[#This Row],[Family]]*100)/2</f>
        <v>59.162999999999997</v>
      </c>
      <c r="J162">
        <v>0.86733000000000005</v>
      </c>
      <c r="K162">
        <f>(Master[[#This Row],[Health_Life_Expectancy]]*100)/2</f>
        <v>43.366500000000002</v>
      </c>
      <c r="L162" s="3">
        <v>0.56623999999999997</v>
      </c>
      <c r="M162" s="3">
        <v>0.14974999999999999</v>
      </c>
      <c r="N162" s="3">
        <v>0.47677999999999998</v>
      </c>
    </row>
    <row r="163" spans="1:14" x14ac:dyDescent="0.25">
      <c r="A163">
        <v>2016</v>
      </c>
      <c r="B163" t="s">
        <v>8</v>
      </c>
      <c r="C163">
        <v>4</v>
      </c>
      <c r="D163">
        <v>7.4980000000000002</v>
      </c>
      <c r="E163">
        <f>(Master[[#This Row],[Happiness_Score]]*100)/10</f>
        <v>74.98</v>
      </c>
      <c r="F163">
        <v>1.57744</v>
      </c>
      <c r="G163">
        <f>(Master[[#This Row],[Economy_GDP_per_Capita]]*100)/2</f>
        <v>78.872</v>
      </c>
      <c r="H163">
        <v>1.1269</v>
      </c>
      <c r="I163">
        <f>(Master[[#This Row],[Family]]*100)/2</f>
        <v>56.344999999999999</v>
      </c>
      <c r="J163">
        <v>0.79579</v>
      </c>
      <c r="K163">
        <f>(Master[[#This Row],[Health_Life_Expectancy]]*100)/2</f>
        <v>39.789499999999997</v>
      </c>
      <c r="L163" s="3">
        <v>0.59609000000000001</v>
      </c>
      <c r="M163" s="3">
        <v>0.35776000000000002</v>
      </c>
      <c r="N163" s="3">
        <v>0.37895000000000001</v>
      </c>
    </row>
    <row r="164" spans="1:14" x14ac:dyDescent="0.25">
      <c r="A164">
        <v>2016</v>
      </c>
      <c r="B164" t="s">
        <v>11</v>
      </c>
      <c r="C164">
        <v>5</v>
      </c>
      <c r="D164">
        <v>7.4130000000000003</v>
      </c>
      <c r="E164">
        <f>(Master[[#This Row],[Happiness_Score]]*100)/10</f>
        <v>74.13000000000001</v>
      </c>
      <c r="F164">
        <v>1.40598</v>
      </c>
      <c r="G164">
        <f>(Master[[#This Row],[Economy_GDP_per_Capita]]*100)/2</f>
        <v>70.299000000000007</v>
      </c>
      <c r="H164">
        <v>1.1346400000000001</v>
      </c>
      <c r="I164">
        <f>(Master[[#This Row],[Family]]*100)/2</f>
        <v>56.732000000000006</v>
      </c>
      <c r="J164">
        <v>0.81091000000000002</v>
      </c>
      <c r="K164">
        <f>(Master[[#This Row],[Health_Life_Expectancy]]*100)/2</f>
        <v>40.545500000000004</v>
      </c>
      <c r="L164" s="3">
        <v>0.57103999999999999</v>
      </c>
      <c r="M164" s="3">
        <v>0.41004000000000002</v>
      </c>
      <c r="N164" s="3">
        <v>0.25491999999999998</v>
      </c>
    </row>
    <row r="165" spans="1:14" x14ac:dyDescent="0.25">
      <c r="A165">
        <v>2016</v>
      </c>
      <c r="B165" t="s">
        <v>9</v>
      </c>
      <c r="C165">
        <v>6</v>
      </c>
      <c r="D165">
        <v>7.4039999999999999</v>
      </c>
      <c r="E165">
        <f>(Master[[#This Row],[Happiness_Score]]*100)/10</f>
        <v>74.039999999999992</v>
      </c>
      <c r="F165">
        <v>1.44015</v>
      </c>
      <c r="G165">
        <f>(Master[[#This Row],[Economy_GDP_per_Capita]]*100)/2</f>
        <v>72.007500000000007</v>
      </c>
      <c r="H165">
        <v>1.0961000000000001</v>
      </c>
      <c r="I165">
        <f>(Master[[#This Row],[Family]]*100)/2</f>
        <v>54.805000000000007</v>
      </c>
      <c r="J165">
        <v>0.8276</v>
      </c>
      <c r="K165">
        <f>(Master[[#This Row],[Health_Life_Expectancy]]*100)/2</f>
        <v>41.38</v>
      </c>
      <c r="L165" s="3">
        <v>0.57369999999999999</v>
      </c>
      <c r="M165" s="3">
        <v>0.31329000000000001</v>
      </c>
      <c r="N165" s="3">
        <v>0.44834000000000002</v>
      </c>
    </row>
    <row r="166" spans="1:14" x14ac:dyDescent="0.25">
      <c r="A166">
        <v>2016</v>
      </c>
      <c r="B166" t="s">
        <v>12</v>
      </c>
      <c r="C166">
        <v>7</v>
      </c>
      <c r="D166">
        <v>7.3390000000000004</v>
      </c>
      <c r="E166">
        <f>(Master[[#This Row],[Happiness_Score]]*100)/10</f>
        <v>73.390000000000015</v>
      </c>
      <c r="F166">
        <v>1.46468</v>
      </c>
      <c r="G166">
        <f>(Master[[#This Row],[Economy_GDP_per_Capita]]*100)/2</f>
        <v>73.233999999999995</v>
      </c>
      <c r="H166">
        <v>1.02912</v>
      </c>
      <c r="I166">
        <f>(Master[[#This Row],[Family]]*100)/2</f>
        <v>51.456000000000003</v>
      </c>
      <c r="J166">
        <v>0.81230999999999998</v>
      </c>
      <c r="K166">
        <f>(Master[[#This Row],[Health_Life_Expectancy]]*100)/2</f>
        <v>40.615499999999997</v>
      </c>
      <c r="L166" s="3">
        <v>0.55210999999999999</v>
      </c>
      <c r="M166" s="3">
        <v>0.29926999999999998</v>
      </c>
      <c r="N166" s="3">
        <v>0.47416000000000003</v>
      </c>
    </row>
    <row r="167" spans="1:14" x14ac:dyDescent="0.25">
      <c r="A167">
        <v>2016</v>
      </c>
      <c r="B167" t="s">
        <v>14</v>
      </c>
      <c r="C167">
        <v>8</v>
      </c>
      <c r="D167">
        <v>7.3339999999999996</v>
      </c>
      <c r="E167">
        <f>(Master[[#This Row],[Happiness_Score]]*100)/10</f>
        <v>73.34</v>
      </c>
      <c r="F167">
        <v>1.36066</v>
      </c>
      <c r="G167">
        <f>(Master[[#This Row],[Economy_GDP_per_Capita]]*100)/2</f>
        <v>68.033000000000001</v>
      </c>
      <c r="H167">
        <v>1.1727799999999999</v>
      </c>
      <c r="I167">
        <f>(Master[[#This Row],[Family]]*100)/2</f>
        <v>58.638999999999996</v>
      </c>
      <c r="J167">
        <v>0.83096000000000003</v>
      </c>
      <c r="K167">
        <f>(Master[[#This Row],[Health_Life_Expectancy]]*100)/2</f>
        <v>41.548000000000002</v>
      </c>
      <c r="L167" s="3">
        <v>0.58147000000000004</v>
      </c>
      <c r="M167" s="3">
        <v>0.41904000000000002</v>
      </c>
      <c r="N167" s="3">
        <v>0.49401</v>
      </c>
    </row>
    <row r="168" spans="1:14" x14ac:dyDescent="0.25">
      <c r="A168">
        <v>2016</v>
      </c>
      <c r="B168" t="s">
        <v>16</v>
      </c>
      <c r="C168">
        <v>9</v>
      </c>
      <c r="D168">
        <v>7.3129999999999997</v>
      </c>
      <c r="E168">
        <f>(Master[[#This Row],[Happiness_Score]]*100)/10</f>
        <v>73.13</v>
      </c>
      <c r="F168">
        <v>1.4444300000000001</v>
      </c>
      <c r="G168">
        <f>(Master[[#This Row],[Economy_GDP_per_Capita]]*100)/2</f>
        <v>72.221500000000006</v>
      </c>
      <c r="H168">
        <v>1.10476</v>
      </c>
      <c r="I168">
        <f>(Master[[#This Row],[Family]]*100)/2</f>
        <v>55.238</v>
      </c>
      <c r="J168">
        <v>0.85119999999999996</v>
      </c>
      <c r="K168">
        <f>(Master[[#This Row],[Health_Life_Expectancy]]*100)/2</f>
        <v>42.559999999999995</v>
      </c>
      <c r="L168" s="3">
        <v>0.56837000000000004</v>
      </c>
      <c r="M168" s="3">
        <v>0.32330999999999999</v>
      </c>
      <c r="N168" s="3">
        <v>0.47406999999999999</v>
      </c>
    </row>
    <row r="169" spans="1:14" x14ac:dyDescent="0.25">
      <c r="A169">
        <v>2016</v>
      </c>
      <c r="B169" t="s">
        <v>13</v>
      </c>
      <c r="C169">
        <v>10</v>
      </c>
      <c r="D169">
        <v>7.2910000000000004</v>
      </c>
      <c r="E169">
        <f>(Master[[#This Row],[Happiness_Score]]*100)/10</f>
        <v>72.91</v>
      </c>
      <c r="F169">
        <v>1.45181</v>
      </c>
      <c r="G169">
        <f>(Master[[#This Row],[Economy_GDP_per_Capita]]*100)/2</f>
        <v>72.590500000000006</v>
      </c>
      <c r="H169">
        <v>1.0876399999999999</v>
      </c>
      <c r="I169">
        <f>(Master[[#This Row],[Family]]*100)/2</f>
        <v>54.381999999999998</v>
      </c>
      <c r="J169">
        <v>0.83121</v>
      </c>
      <c r="K169">
        <f>(Master[[#This Row],[Health_Life_Expectancy]]*100)/2</f>
        <v>41.560499999999998</v>
      </c>
      <c r="L169" s="3">
        <v>0.58218000000000003</v>
      </c>
      <c r="M169" s="3">
        <v>0.40866999999999998</v>
      </c>
      <c r="N169" s="3">
        <v>0.38253999999999999</v>
      </c>
    </row>
    <row r="170" spans="1:14" x14ac:dyDescent="0.25">
      <c r="A170">
        <v>2016</v>
      </c>
      <c r="B170" t="s">
        <v>17</v>
      </c>
      <c r="C170">
        <v>11</v>
      </c>
      <c r="D170">
        <v>7.2670000000000003</v>
      </c>
      <c r="E170">
        <f>(Master[[#This Row],[Happiness_Score]]*100)/10</f>
        <v>72.67</v>
      </c>
      <c r="F170">
        <v>1.3376600000000001</v>
      </c>
      <c r="G170">
        <f>(Master[[#This Row],[Economy_GDP_per_Capita]]*100)/2</f>
        <v>66.88300000000001</v>
      </c>
      <c r="H170">
        <v>0.99536999999999998</v>
      </c>
      <c r="I170">
        <f>(Master[[#This Row],[Family]]*100)/2</f>
        <v>49.768499999999996</v>
      </c>
      <c r="J170">
        <v>0.84916999999999998</v>
      </c>
      <c r="K170">
        <f>(Master[[#This Row],[Health_Life_Expectancy]]*100)/2</f>
        <v>42.458500000000001</v>
      </c>
      <c r="L170" s="3">
        <v>0.36431999999999998</v>
      </c>
      <c r="M170" s="3">
        <v>8.7279999999999996E-2</v>
      </c>
      <c r="N170" s="3">
        <v>0.32288</v>
      </c>
    </row>
    <row r="171" spans="1:14" x14ac:dyDescent="0.25">
      <c r="A171">
        <v>2016</v>
      </c>
      <c r="B171" t="s">
        <v>21</v>
      </c>
      <c r="C171">
        <v>12</v>
      </c>
      <c r="D171">
        <v>7.1189999999999998</v>
      </c>
      <c r="E171">
        <f>(Master[[#This Row],[Happiness_Score]]*100)/10</f>
        <v>71.19</v>
      </c>
      <c r="F171">
        <v>1.45038</v>
      </c>
      <c r="G171">
        <f>(Master[[#This Row],[Economy_GDP_per_Capita]]*100)/2</f>
        <v>72.519000000000005</v>
      </c>
      <c r="H171">
        <v>1.0838300000000001</v>
      </c>
      <c r="I171">
        <f>(Master[[#This Row],[Family]]*100)/2</f>
        <v>54.191500000000005</v>
      </c>
      <c r="J171">
        <v>0.80564999999999998</v>
      </c>
      <c r="K171">
        <f>(Master[[#This Row],[Health_Life_Expectancy]]*100)/2</f>
        <v>40.282499999999999</v>
      </c>
      <c r="L171" s="3">
        <v>0.54354999999999998</v>
      </c>
      <c r="M171" s="3">
        <v>0.21348</v>
      </c>
      <c r="N171" s="3">
        <v>0.32865</v>
      </c>
    </row>
    <row r="172" spans="1:14" x14ac:dyDescent="0.25">
      <c r="A172">
        <v>2016</v>
      </c>
      <c r="B172" t="s">
        <v>23</v>
      </c>
      <c r="C172">
        <v>13</v>
      </c>
      <c r="D172">
        <v>7.1040000000000001</v>
      </c>
      <c r="E172">
        <f>(Master[[#This Row],[Happiness_Score]]*100)/10</f>
        <v>71.039999999999992</v>
      </c>
      <c r="F172">
        <v>1.50796</v>
      </c>
      <c r="G172">
        <f>(Master[[#This Row],[Economy_GDP_per_Capita]]*100)/2</f>
        <v>75.397999999999996</v>
      </c>
      <c r="H172">
        <v>1.04782</v>
      </c>
      <c r="I172">
        <f>(Master[[#This Row],[Family]]*100)/2</f>
        <v>52.390999999999998</v>
      </c>
      <c r="J172">
        <v>0.77900000000000003</v>
      </c>
      <c r="K172">
        <f>(Master[[#This Row],[Health_Life_Expectancy]]*100)/2</f>
        <v>38.950000000000003</v>
      </c>
      <c r="L172" s="3">
        <v>0.48163</v>
      </c>
      <c r="M172" s="3">
        <v>0.14868000000000001</v>
      </c>
      <c r="N172" s="3">
        <v>0.41077000000000002</v>
      </c>
    </row>
    <row r="173" spans="1:14" x14ac:dyDescent="0.25">
      <c r="A173">
        <v>2016</v>
      </c>
      <c r="B173" t="s">
        <v>19</v>
      </c>
      <c r="C173">
        <v>14</v>
      </c>
      <c r="D173">
        <v>7.0869999999999997</v>
      </c>
      <c r="E173">
        <f>(Master[[#This Row],[Happiness_Score]]*100)/10</f>
        <v>70.86999999999999</v>
      </c>
      <c r="F173">
        <v>1.0687899999999999</v>
      </c>
      <c r="G173">
        <f>(Master[[#This Row],[Economy_GDP_per_Capita]]*100)/2</f>
        <v>53.439499999999995</v>
      </c>
      <c r="H173">
        <v>1.02152</v>
      </c>
      <c r="I173">
        <f>(Master[[#This Row],[Family]]*100)/2</f>
        <v>51.076000000000001</v>
      </c>
      <c r="J173">
        <v>0.76146000000000003</v>
      </c>
      <c r="K173">
        <f>(Master[[#This Row],[Health_Life_Expectancy]]*100)/2</f>
        <v>38.073</v>
      </c>
      <c r="L173" s="3">
        <v>0.55225000000000002</v>
      </c>
      <c r="M173" s="3">
        <v>0.10546999999999999</v>
      </c>
      <c r="N173" s="3">
        <v>0.22553000000000001</v>
      </c>
    </row>
    <row r="174" spans="1:14" x14ac:dyDescent="0.25">
      <c r="A174">
        <v>2016</v>
      </c>
      <c r="B174" t="s">
        <v>173</v>
      </c>
      <c r="C174">
        <v>15</v>
      </c>
      <c r="D174">
        <v>7.0389999999999997</v>
      </c>
      <c r="E174">
        <f>(Master[[#This Row],[Happiness_Score]]*100)/10</f>
        <v>70.39</v>
      </c>
      <c r="F174">
        <v>1.3594299999999999</v>
      </c>
      <c r="G174">
        <f>(Master[[#This Row],[Economy_GDP_per_Capita]]*100)/2</f>
        <v>67.971499999999992</v>
      </c>
      <c r="H174">
        <v>1.0811299999999999</v>
      </c>
      <c r="I174">
        <f>(Master[[#This Row],[Family]]*100)/2</f>
        <v>54.0565</v>
      </c>
      <c r="J174">
        <v>0.77758000000000005</v>
      </c>
      <c r="K174">
        <f>(Master[[#This Row],[Health_Life_Expectancy]]*100)/2</f>
        <v>38.879000000000005</v>
      </c>
      <c r="L174" s="3">
        <v>0.46822999999999998</v>
      </c>
      <c r="M174" s="3">
        <v>0.12275</v>
      </c>
      <c r="N174" s="3">
        <v>0.22202</v>
      </c>
    </row>
    <row r="175" spans="1:14" x14ac:dyDescent="0.25">
      <c r="A175">
        <v>2016</v>
      </c>
      <c r="B175" t="s">
        <v>35</v>
      </c>
      <c r="C175">
        <v>16</v>
      </c>
      <c r="D175">
        <v>6.9939999999999998</v>
      </c>
      <c r="E175">
        <f>(Master[[#This Row],[Happiness_Score]]*100)/10</f>
        <v>69.94</v>
      </c>
      <c r="F175">
        <v>1.44787</v>
      </c>
      <c r="G175">
        <f>(Master[[#This Row],[Economy_GDP_per_Capita]]*100)/2</f>
        <v>72.393500000000003</v>
      </c>
      <c r="H175">
        <v>1.0977399999999999</v>
      </c>
      <c r="I175">
        <f>(Master[[#This Row],[Family]]*100)/2</f>
        <v>54.887</v>
      </c>
      <c r="J175">
        <v>0.81486999999999998</v>
      </c>
      <c r="K175">
        <f>(Master[[#This Row],[Health_Life_Expectancy]]*100)/2</f>
        <v>40.743499999999997</v>
      </c>
      <c r="L175" s="3">
        <v>0.53466000000000002</v>
      </c>
      <c r="M175" s="3">
        <v>0.28550999999999999</v>
      </c>
      <c r="N175" s="3">
        <v>0.30452000000000001</v>
      </c>
    </row>
    <row r="176" spans="1:14" x14ac:dyDescent="0.25">
      <c r="A176">
        <v>2016</v>
      </c>
      <c r="B176" t="s">
        <v>24</v>
      </c>
      <c r="C176">
        <v>17</v>
      </c>
      <c r="D176">
        <v>6.952</v>
      </c>
      <c r="E176">
        <f>(Master[[#This Row],[Happiness_Score]]*100)/10</f>
        <v>69.52000000000001</v>
      </c>
      <c r="F176">
        <v>1.08754</v>
      </c>
      <c r="G176">
        <f>(Master[[#This Row],[Economy_GDP_per_Capita]]*100)/2</f>
        <v>54.376999999999995</v>
      </c>
      <c r="H176">
        <v>1.03938</v>
      </c>
      <c r="I176">
        <f>(Master[[#This Row],[Family]]*100)/2</f>
        <v>51.969000000000001</v>
      </c>
      <c r="J176">
        <v>0.61414999999999997</v>
      </c>
      <c r="K176">
        <f>(Master[[#This Row],[Health_Life_Expectancy]]*100)/2</f>
        <v>30.7075</v>
      </c>
      <c r="L176" s="3">
        <v>0.40425</v>
      </c>
      <c r="M176" s="3">
        <v>0.14166000000000001</v>
      </c>
      <c r="N176" s="3">
        <v>0.15776000000000001</v>
      </c>
    </row>
    <row r="177" spans="1:14" x14ac:dyDescent="0.25">
      <c r="A177">
        <v>2016</v>
      </c>
      <c r="B177" t="s">
        <v>27</v>
      </c>
      <c r="C177">
        <v>18</v>
      </c>
      <c r="D177">
        <v>6.9290000000000003</v>
      </c>
      <c r="E177">
        <f>(Master[[#This Row],[Happiness_Score]]*100)/10</f>
        <v>69.289999999999992</v>
      </c>
      <c r="F177">
        <v>1.4253899999999999</v>
      </c>
      <c r="G177">
        <f>(Master[[#This Row],[Economy_GDP_per_Capita]]*100)/2</f>
        <v>71.269499999999994</v>
      </c>
      <c r="H177">
        <v>1.0524899999999999</v>
      </c>
      <c r="I177">
        <f>(Master[[#This Row],[Family]]*100)/2</f>
        <v>52.624499999999998</v>
      </c>
      <c r="J177">
        <v>0.81959000000000004</v>
      </c>
      <c r="K177">
        <f>(Master[[#This Row],[Health_Life_Expectancy]]*100)/2</f>
        <v>40.979500000000002</v>
      </c>
      <c r="L177" s="3">
        <v>0.51354</v>
      </c>
      <c r="M177" s="3">
        <v>0.26247999999999999</v>
      </c>
      <c r="N177" s="3">
        <v>0.2424</v>
      </c>
    </row>
    <row r="178" spans="1:14" x14ac:dyDescent="0.25">
      <c r="A178">
        <v>2016</v>
      </c>
      <c r="B178" t="s">
        <v>26</v>
      </c>
      <c r="C178">
        <v>19</v>
      </c>
      <c r="D178">
        <v>6.907</v>
      </c>
      <c r="E178">
        <f>(Master[[#This Row],[Happiness_Score]]*100)/10</f>
        <v>69.070000000000007</v>
      </c>
      <c r="F178">
        <v>1.4834099999999999</v>
      </c>
      <c r="G178">
        <f>(Master[[#This Row],[Economy_GDP_per_Capita]]*100)/2</f>
        <v>74.17049999999999</v>
      </c>
      <c r="H178">
        <v>1.16157</v>
      </c>
      <c r="I178">
        <f>(Master[[#This Row],[Family]]*100)/2</f>
        <v>58.078499999999998</v>
      </c>
      <c r="J178">
        <v>0.81455</v>
      </c>
      <c r="K178">
        <f>(Master[[#This Row],[Health_Life_Expectancy]]*100)/2</f>
        <v>40.727499999999999</v>
      </c>
      <c r="L178" s="3">
        <v>0.54008</v>
      </c>
      <c r="M178" s="3">
        <v>0.29754000000000003</v>
      </c>
      <c r="N178" s="3">
        <v>0.44962999999999997</v>
      </c>
    </row>
    <row r="179" spans="1:14" x14ac:dyDescent="0.25">
      <c r="A179">
        <v>2016</v>
      </c>
      <c r="B179" t="s">
        <v>25</v>
      </c>
      <c r="C179">
        <v>20</v>
      </c>
      <c r="D179">
        <v>6.8710000000000004</v>
      </c>
      <c r="E179">
        <f>(Master[[#This Row],[Happiness_Score]]*100)/10</f>
        <v>68.710000000000008</v>
      </c>
      <c r="F179">
        <v>1.6975199999999999</v>
      </c>
      <c r="G179">
        <f>(Master[[#This Row],[Economy_GDP_per_Capita]]*100)/2</f>
        <v>84.875999999999991</v>
      </c>
      <c r="H179">
        <v>1.03999</v>
      </c>
      <c r="I179">
        <f>(Master[[#This Row],[Family]]*100)/2</f>
        <v>51.999499999999998</v>
      </c>
      <c r="J179">
        <v>0.84541999999999995</v>
      </c>
      <c r="K179">
        <f>(Master[[#This Row],[Health_Life_Expectancy]]*100)/2</f>
        <v>42.271000000000001</v>
      </c>
      <c r="L179" s="3">
        <v>0.54869999999999997</v>
      </c>
      <c r="M179" s="3">
        <v>0.35328999999999999</v>
      </c>
      <c r="N179" s="3">
        <v>0.27571000000000001</v>
      </c>
    </row>
    <row r="180" spans="1:14" x14ac:dyDescent="0.25">
      <c r="A180">
        <v>2016</v>
      </c>
      <c r="B180" t="s">
        <v>22</v>
      </c>
      <c r="C180">
        <v>21</v>
      </c>
      <c r="D180">
        <v>6.7779999999999996</v>
      </c>
      <c r="E180">
        <f>(Master[[#This Row],[Happiness_Score]]*100)/10</f>
        <v>67.78</v>
      </c>
      <c r="F180">
        <v>1.1150800000000001</v>
      </c>
      <c r="G180">
        <f>(Master[[#This Row],[Economy_GDP_per_Capita]]*100)/2</f>
        <v>55.754000000000005</v>
      </c>
      <c r="H180">
        <v>0.71460000000000001</v>
      </c>
      <c r="I180">
        <f>(Master[[#This Row],[Family]]*100)/2</f>
        <v>35.730000000000004</v>
      </c>
      <c r="J180">
        <v>0.71143000000000001</v>
      </c>
      <c r="K180">
        <f>(Master[[#This Row],[Health_Life_Expectancy]]*100)/2</f>
        <v>35.5715</v>
      </c>
      <c r="L180" s="3">
        <v>0.37708999999999998</v>
      </c>
      <c r="M180" s="3">
        <v>0.18354999999999999</v>
      </c>
      <c r="N180" s="3">
        <v>0.11735</v>
      </c>
    </row>
    <row r="181" spans="1:14" x14ac:dyDescent="0.25">
      <c r="A181">
        <v>2016</v>
      </c>
      <c r="B181" t="s">
        <v>32</v>
      </c>
      <c r="C181">
        <v>22</v>
      </c>
      <c r="D181">
        <v>6.7389999999999999</v>
      </c>
      <c r="E181">
        <f>(Master[[#This Row],[Happiness_Score]]*100)/10</f>
        <v>67.39</v>
      </c>
      <c r="F181">
        <v>1.6455500000000001</v>
      </c>
      <c r="G181">
        <f>(Master[[#This Row],[Economy_GDP_per_Capita]]*100)/2</f>
        <v>82.277500000000003</v>
      </c>
      <c r="H181">
        <v>0.86758000000000002</v>
      </c>
      <c r="I181">
        <f>(Master[[#This Row],[Family]]*100)/2</f>
        <v>43.378999999999998</v>
      </c>
      <c r="J181">
        <v>0.94718999999999998</v>
      </c>
      <c r="K181">
        <f>(Master[[#This Row],[Health_Life_Expectancy]]*100)/2</f>
        <v>47.359499999999997</v>
      </c>
      <c r="L181" s="3">
        <v>0.48770000000000002</v>
      </c>
      <c r="M181" s="3">
        <v>0.46987000000000001</v>
      </c>
      <c r="N181" s="3">
        <v>0.32706000000000002</v>
      </c>
    </row>
    <row r="182" spans="1:14" x14ac:dyDescent="0.25">
      <c r="A182">
        <v>2016</v>
      </c>
      <c r="B182" t="s">
        <v>29</v>
      </c>
      <c r="C182">
        <v>23</v>
      </c>
      <c r="D182">
        <v>6.7249999999999996</v>
      </c>
      <c r="E182">
        <f>(Master[[#This Row],[Happiness_Score]]*100)/10</f>
        <v>67.25</v>
      </c>
      <c r="F182">
        <v>1.40283</v>
      </c>
      <c r="G182">
        <f>(Master[[#This Row],[Economy_GDP_per_Capita]]*100)/2</f>
        <v>70.141500000000008</v>
      </c>
      <c r="H182">
        <v>1.0867199999999999</v>
      </c>
      <c r="I182">
        <f>(Master[[#This Row],[Family]]*100)/2</f>
        <v>54.335999999999999</v>
      </c>
      <c r="J182">
        <v>0.80991000000000002</v>
      </c>
      <c r="K182">
        <f>(Master[[#This Row],[Health_Life_Expectancy]]*100)/2</f>
        <v>40.4955</v>
      </c>
      <c r="L182" s="3">
        <v>0.50036000000000003</v>
      </c>
      <c r="M182" s="3">
        <v>0.27399000000000001</v>
      </c>
      <c r="N182" s="3">
        <v>0.50156000000000001</v>
      </c>
    </row>
    <row r="183" spans="1:14" x14ac:dyDescent="0.25">
      <c r="A183">
        <v>2016</v>
      </c>
      <c r="B183" t="s">
        <v>36</v>
      </c>
      <c r="C183">
        <v>24</v>
      </c>
      <c r="D183">
        <v>6.7050000000000001</v>
      </c>
      <c r="E183">
        <f>(Master[[#This Row],[Happiness_Score]]*100)/10</f>
        <v>67.05</v>
      </c>
      <c r="F183">
        <v>1.2166999999999999</v>
      </c>
      <c r="G183">
        <f>(Master[[#This Row],[Economy_GDP_per_Capita]]*100)/2</f>
        <v>60.834999999999994</v>
      </c>
      <c r="H183">
        <v>0.90586999999999995</v>
      </c>
      <c r="I183">
        <f>(Master[[#This Row],[Family]]*100)/2</f>
        <v>45.293499999999995</v>
      </c>
      <c r="J183">
        <v>0.81882999999999995</v>
      </c>
      <c r="K183">
        <f>(Master[[#This Row],[Health_Life_Expectancy]]*100)/2</f>
        <v>40.941499999999998</v>
      </c>
      <c r="L183" s="3">
        <v>0.37789</v>
      </c>
      <c r="M183" s="3">
        <v>0.11451</v>
      </c>
      <c r="N183" s="3">
        <v>0.31595000000000001</v>
      </c>
    </row>
    <row r="184" spans="1:14" x14ac:dyDescent="0.25">
      <c r="A184">
        <v>2016</v>
      </c>
      <c r="B184" t="s">
        <v>34</v>
      </c>
      <c r="C184">
        <v>25</v>
      </c>
      <c r="D184">
        <v>6.7009999999999996</v>
      </c>
      <c r="E184">
        <f>(Master[[#This Row],[Happiness_Score]]*100)/10</f>
        <v>67.009999999999991</v>
      </c>
      <c r="F184">
        <v>1.18306</v>
      </c>
      <c r="G184">
        <f>(Master[[#This Row],[Economy_GDP_per_Capita]]*100)/2</f>
        <v>59.152999999999999</v>
      </c>
      <c r="H184">
        <v>0.98912</v>
      </c>
      <c r="I184">
        <f>(Master[[#This Row],[Family]]*100)/2</f>
        <v>49.456000000000003</v>
      </c>
      <c r="J184">
        <v>0.70835000000000004</v>
      </c>
      <c r="K184">
        <f>(Master[[#This Row],[Health_Life_Expectancy]]*100)/2</f>
        <v>35.417500000000004</v>
      </c>
      <c r="L184" s="3">
        <v>0.48926999999999998</v>
      </c>
      <c r="M184" s="3">
        <v>8.4229999999999999E-2</v>
      </c>
      <c r="N184" s="3">
        <v>0.24179999999999999</v>
      </c>
    </row>
    <row r="185" spans="1:14" x14ac:dyDescent="0.25">
      <c r="A185">
        <v>2016</v>
      </c>
      <c r="B185" t="s">
        <v>39</v>
      </c>
      <c r="C185">
        <v>26</v>
      </c>
      <c r="D185">
        <v>6.65</v>
      </c>
      <c r="E185">
        <f>(Master[[#This Row],[Happiness_Score]]*100)/10</f>
        <v>66.5</v>
      </c>
      <c r="F185">
        <v>1.15137</v>
      </c>
      <c r="G185">
        <f>(Master[[#This Row],[Economy_GDP_per_Capita]]*100)/2</f>
        <v>57.5685</v>
      </c>
      <c r="H185">
        <v>1.06612</v>
      </c>
      <c r="I185">
        <f>(Master[[#This Row],[Family]]*100)/2</f>
        <v>53.305999999999997</v>
      </c>
      <c r="J185">
        <v>0.69711000000000001</v>
      </c>
      <c r="K185">
        <f>(Master[[#This Row],[Health_Life_Expectancy]]*100)/2</f>
        <v>34.855499999999999</v>
      </c>
      <c r="L185" s="3">
        <v>0.42283999999999999</v>
      </c>
      <c r="M185" s="3">
        <v>7.2959999999999997E-2</v>
      </c>
      <c r="N185" s="3">
        <v>0.10989</v>
      </c>
    </row>
    <row r="186" spans="1:14" x14ac:dyDescent="0.25">
      <c r="A186">
        <v>2016</v>
      </c>
      <c r="B186" t="s">
        <v>40</v>
      </c>
      <c r="C186">
        <v>27</v>
      </c>
      <c r="D186">
        <v>6.5960000000000001</v>
      </c>
      <c r="E186">
        <f>(Master[[#This Row],[Happiness_Score]]*100)/10</f>
        <v>65.960000000000008</v>
      </c>
      <c r="F186">
        <v>1.30915</v>
      </c>
      <c r="G186">
        <f>(Master[[#This Row],[Economy_GDP_per_Capita]]*100)/2</f>
        <v>65.457499999999996</v>
      </c>
      <c r="H186">
        <v>1.00793</v>
      </c>
      <c r="I186">
        <f>(Master[[#This Row],[Family]]*100)/2</f>
        <v>50.396500000000003</v>
      </c>
      <c r="J186">
        <v>0.76375999999999999</v>
      </c>
      <c r="K186">
        <f>(Master[[#This Row],[Health_Life_Expectancy]]*100)/2</f>
        <v>38.188000000000002</v>
      </c>
      <c r="L186" s="3">
        <v>0.41417999999999999</v>
      </c>
      <c r="M186" s="3">
        <v>3.986E-2</v>
      </c>
      <c r="N186" s="3">
        <v>9.9290000000000003E-2</v>
      </c>
    </row>
    <row r="187" spans="1:14" x14ac:dyDescent="0.25">
      <c r="A187">
        <v>2016</v>
      </c>
      <c r="B187" t="s">
        <v>28</v>
      </c>
      <c r="C187">
        <v>28</v>
      </c>
      <c r="D187">
        <v>6.5730000000000004</v>
      </c>
      <c r="E187">
        <f>(Master[[#This Row],[Happiness_Score]]*100)/10</f>
        <v>65.73</v>
      </c>
      <c r="F187">
        <v>1.57352</v>
      </c>
      <c r="G187">
        <f>(Master[[#This Row],[Economy_GDP_per_Capita]]*100)/2</f>
        <v>78.676000000000002</v>
      </c>
      <c r="H187">
        <v>0.87114000000000003</v>
      </c>
      <c r="I187">
        <f>(Master[[#This Row],[Family]]*100)/2</f>
        <v>43.557000000000002</v>
      </c>
      <c r="J187">
        <v>0.72992999999999997</v>
      </c>
      <c r="K187">
        <f>(Master[[#This Row],[Health_Life_Expectancy]]*100)/2</f>
        <v>36.496499999999997</v>
      </c>
      <c r="L187" s="3">
        <v>0.56215000000000004</v>
      </c>
      <c r="M187" s="3">
        <v>0.35560999999999998</v>
      </c>
      <c r="N187" s="3">
        <v>0.26590999999999998</v>
      </c>
    </row>
    <row r="188" spans="1:14" x14ac:dyDescent="0.25">
      <c r="A188">
        <v>2016</v>
      </c>
      <c r="B188" t="s">
        <v>42</v>
      </c>
      <c r="C188">
        <v>29</v>
      </c>
      <c r="D188">
        <v>6.5449999999999999</v>
      </c>
      <c r="E188">
        <f>(Master[[#This Row],[Happiness_Score]]*100)/10</f>
        <v>65.45</v>
      </c>
      <c r="F188">
        <v>1.18157</v>
      </c>
      <c r="G188">
        <f>(Master[[#This Row],[Economy_GDP_per_Capita]]*100)/2</f>
        <v>59.078499999999998</v>
      </c>
      <c r="H188">
        <v>1.0314300000000001</v>
      </c>
      <c r="I188">
        <f>(Master[[#This Row],[Family]]*100)/2</f>
        <v>51.5715</v>
      </c>
      <c r="J188">
        <v>0.72182999999999997</v>
      </c>
      <c r="K188">
        <f>(Master[[#This Row],[Health_Life_Expectancy]]*100)/2</f>
        <v>36.091499999999996</v>
      </c>
      <c r="L188" s="3">
        <v>0.54388000000000003</v>
      </c>
      <c r="M188" s="3">
        <v>0.21393999999999999</v>
      </c>
      <c r="N188" s="3">
        <v>0.18056</v>
      </c>
    </row>
    <row r="189" spans="1:14" x14ac:dyDescent="0.25">
      <c r="A189">
        <v>2016</v>
      </c>
      <c r="B189" t="s">
        <v>47</v>
      </c>
      <c r="C189">
        <v>30</v>
      </c>
      <c r="D189">
        <v>6.4880000000000004</v>
      </c>
      <c r="E189">
        <f>(Master[[#This Row],[Happiness_Score]]*100)/10</f>
        <v>64.88000000000001</v>
      </c>
      <c r="F189">
        <v>1.30782</v>
      </c>
      <c r="G189">
        <f>(Master[[#This Row],[Economy_GDP_per_Capita]]*100)/2</f>
        <v>65.391000000000005</v>
      </c>
      <c r="H189">
        <v>1.0987899999999999</v>
      </c>
      <c r="I189">
        <f>(Master[[#This Row],[Family]]*100)/2</f>
        <v>54.939499999999995</v>
      </c>
      <c r="J189">
        <v>0.80315000000000003</v>
      </c>
      <c r="K189">
        <f>(Master[[#This Row],[Health_Life_Expectancy]]*100)/2</f>
        <v>40.157499999999999</v>
      </c>
      <c r="L189" s="3">
        <v>0.54993999999999998</v>
      </c>
      <c r="M189" s="3">
        <v>0.17554</v>
      </c>
      <c r="N189" s="3">
        <v>0.56237000000000004</v>
      </c>
    </row>
    <row r="190" spans="1:14" x14ac:dyDescent="0.25">
      <c r="A190">
        <v>2016</v>
      </c>
      <c r="B190" t="s">
        <v>43</v>
      </c>
      <c r="C190">
        <v>31</v>
      </c>
      <c r="D190">
        <v>6.4809999999999999</v>
      </c>
      <c r="E190">
        <f>(Master[[#This Row],[Happiness_Score]]*100)/10</f>
        <v>64.81</v>
      </c>
      <c r="F190">
        <v>1.0303199999999999</v>
      </c>
      <c r="G190">
        <f>(Master[[#This Row],[Economy_GDP_per_Capita]]*100)/2</f>
        <v>51.515999999999998</v>
      </c>
      <c r="H190">
        <v>1.02169</v>
      </c>
      <c r="I190">
        <f>(Master[[#This Row],[Family]]*100)/2</f>
        <v>51.084499999999998</v>
      </c>
      <c r="J190">
        <v>0.59658999999999995</v>
      </c>
      <c r="K190">
        <f>(Master[[#This Row],[Health_Life_Expectancy]]*100)/2</f>
        <v>29.829499999999996</v>
      </c>
      <c r="L190" s="3">
        <v>0.44735000000000003</v>
      </c>
      <c r="M190" s="3">
        <v>5.3990000000000003E-2</v>
      </c>
      <c r="N190" s="3">
        <v>0.15626000000000001</v>
      </c>
    </row>
    <row r="191" spans="1:14" x14ac:dyDescent="0.25">
      <c r="A191">
        <v>2016</v>
      </c>
      <c r="B191" t="s">
        <v>38</v>
      </c>
      <c r="C191">
        <v>32</v>
      </c>
      <c r="D191">
        <v>6.4779999999999998</v>
      </c>
      <c r="E191">
        <f>(Master[[#This Row],[Happiness_Score]]*100)/10</f>
        <v>64.78</v>
      </c>
      <c r="F191">
        <v>1.3948799999999999</v>
      </c>
      <c r="G191">
        <f>(Master[[#This Row],[Economy_GDP_per_Capita]]*100)/2</f>
        <v>69.744</v>
      </c>
      <c r="H191">
        <v>1.00508</v>
      </c>
      <c r="I191">
        <f>(Master[[#This Row],[Family]]*100)/2</f>
        <v>50.253999999999998</v>
      </c>
      <c r="J191">
        <v>0.83794999999999997</v>
      </c>
      <c r="K191">
        <f>(Master[[#This Row],[Health_Life_Expectancy]]*100)/2</f>
        <v>41.897500000000001</v>
      </c>
      <c r="L191" s="3">
        <v>0.46561999999999998</v>
      </c>
      <c r="M191" s="3">
        <v>0.17807999999999999</v>
      </c>
      <c r="N191" s="3">
        <v>0.1216</v>
      </c>
    </row>
    <row r="192" spans="1:14" x14ac:dyDescent="0.25">
      <c r="A192">
        <v>2016</v>
      </c>
      <c r="B192" t="s">
        <v>44</v>
      </c>
      <c r="C192">
        <v>33</v>
      </c>
      <c r="D192">
        <v>6.4740000000000002</v>
      </c>
      <c r="E192">
        <f>(Master[[#This Row],[Happiness_Score]]*100)/10</f>
        <v>64.739999999999995</v>
      </c>
      <c r="F192">
        <v>1.0892999999999999</v>
      </c>
      <c r="G192">
        <f>(Master[[#This Row],[Economy_GDP_per_Capita]]*100)/2</f>
        <v>54.464999999999996</v>
      </c>
      <c r="H192">
        <v>1.04477</v>
      </c>
      <c r="I192">
        <f>(Master[[#This Row],[Family]]*100)/2</f>
        <v>52.238500000000002</v>
      </c>
      <c r="J192">
        <v>0.64915</v>
      </c>
      <c r="K192">
        <f>(Master[[#This Row],[Health_Life_Expectancy]]*100)/2</f>
        <v>32.457500000000003</v>
      </c>
      <c r="L192" s="3">
        <v>0.49553000000000003</v>
      </c>
      <c r="M192" s="3">
        <v>2.8330000000000001E-2</v>
      </c>
      <c r="N192" s="3">
        <v>0.58696000000000004</v>
      </c>
    </row>
    <row r="193" spans="1:14" x14ac:dyDescent="0.25">
      <c r="A193">
        <v>2016</v>
      </c>
      <c r="B193" t="s">
        <v>45</v>
      </c>
      <c r="C193">
        <v>34</v>
      </c>
      <c r="D193">
        <v>6.3789999999999996</v>
      </c>
      <c r="E193">
        <f>(Master[[#This Row],[Happiness_Score]]*100)/10</f>
        <v>63.79</v>
      </c>
      <c r="F193">
        <v>1.48953</v>
      </c>
      <c r="G193">
        <f>(Master[[#This Row],[Economy_GDP_per_Capita]]*100)/2</f>
        <v>74.476500000000001</v>
      </c>
      <c r="H193">
        <v>0.84828999999999999</v>
      </c>
      <c r="I193">
        <f>(Master[[#This Row],[Family]]*100)/2</f>
        <v>42.414499999999997</v>
      </c>
      <c r="J193">
        <v>0.59267000000000003</v>
      </c>
      <c r="K193">
        <f>(Master[[#This Row],[Health_Life_Expectancy]]*100)/2</f>
        <v>29.633500000000002</v>
      </c>
      <c r="L193" s="3">
        <v>0.37903999999999999</v>
      </c>
      <c r="M193" s="3">
        <v>0.30008000000000001</v>
      </c>
      <c r="N193" s="3">
        <v>0.15457000000000001</v>
      </c>
    </row>
    <row r="194" spans="1:14" x14ac:dyDescent="0.25">
      <c r="A194">
        <v>2016</v>
      </c>
      <c r="B194" t="s">
        <v>48</v>
      </c>
      <c r="C194">
        <v>34</v>
      </c>
      <c r="D194">
        <v>6.3789999999999996</v>
      </c>
      <c r="E194">
        <f>(Master[[#This Row],[Happiness_Score]]*100)/10</f>
        <v>63.79</v>
      </c>
      <c r="F194">
        <v>1.3972899999999999</v>
      </c>
      <c r="G194">
        <f>(Master[[#This Row],[Economy_GDP_per_Capita]]*100)/2</f>
        <v>69.864499999999992</v>
      </c>
      <c r="H194">
        <v>0.92623999999999995</v>
      </c>
      <c r="I194">
        <f>(Master[[#This Row],[Family]]*100)/2</f>
        <v>46.311999999999998</v>
      </c>
      <c r="J194">
        <v>0.79564999999999997</v>
      </c>
      <c r="K194">
        <f>(Master[[#This Row],[Health_Life_Expectancy]]*100)/2</f>
        <v>39.782499999999999</v>
      </c>
      <c r="L194" s="3">
        <v>0.32377</v>
      </c>
      <c r="M194" s="3">
        <v>6.6299999999999998E-2</v>
      </c>
      <c r="N194" s="3">
        <v>0.25495000000000001</v>
      </c>
    </row>
    <row r="195" spans="1:14" x14ac:dyDescent="0.25">
      <c r="A195">
        <v>2016</v>
      </c>
      <c r="B195" t="s">
        <v>37</v>
      </c>
      <c r="C195">
        <v>36</v>
      </c>
      <c r="D195">
        <v>6.375</v>
      </c>
      <c r="E195">
        <f>(Master[[#This Row],[Happiness_Score]]*100)/10</f>
        <v>63.75</v>
      </c>
      <c r="F195">
        <v>1.8242700000000001</v>
      </c>
      <c r="G195">
        <f>(Master[[#This Row],[Economy_GDP_per_Capita]]*100)/2</f>
        <v>91.213499999999996</v>
      </c>
      <c r="H195">
        <v>0.87963999999999998</v>
      </c>
      <c r="I195">
        <f>(Master[[#This Row],[Family]]*100)/2</f>
        <v>43.981999999999999</v>
      </c>
      <c r="J195">
        <v>0.71723000000000003</v>
      </c>
      <c r="K195">
        <f>(Master[[#This Row],[Health_Life_Expectancy]]*100)/2</f>
        <v>35.861499999999999</v>
      </c>
      <c r="L195" s="3">
        <v>0.56679000000000002</v>
      </c>
      <c r="M195" s="3">
        <v>0.48048999999999997</v>
      </c>
      <c r="N195" s="3">
        <v>0.32388</v>
      </c>
    </row>
    <row r="196" spans="1:14" x14ac:dyDescent="0.25">
      <c r="A196">
        <v>2016</v>
      </c>
      <c r="B196" t="s">
        <v>46</v>
      </c>
      <c r="C196">
        <v>37</v>
      </c>
      <c r="D196">
        <v>6.3609999999999998</v>
      </c>
      <c r="E196">
        <f>(Master[[#This Row],[Happiness_Score]]*100)/10</f>
        <v>63.61</v>
      </c>
      <c r="F196">
        <v>1.34253</v>
      </c>
      <c r="G196">
        <f>(Master[[#This Row],[Economy_GDP_per_Capita]]*100)/2</f>
        <v>67.126499999999993</v>
      </c>
      <c r="H196">
        <v>1.1294500000000001</v>
      </c>
      <c r="I196">
        <f>(Master[[#This Row],[Family]]*100)/2</f>
        <v>56.472500000000004</v>
      </c>
      <c r="J196">
        <v>0.87895999999999996</v>
      </c>
      <c r="K196">
        <f>(Master[[#This Row],[Health_Life_Expectancy]]*100)/2</f>
        <v>43.948</v>
      </c>
      <c r="L196" s="3">
        <v>0.37545000000000001</v>
      </c>
      <c r="M196" s="3">
        <v>6.1370000000000001E-2</v>
      </c>
      <c r="N196" s="3">
        <v>0.17665</v>
      </c>
    </row>
    <row r="197" spans="1:14" x14ac:dyDescent="0.25">
      <c r="A197">
        <v>2016</v>
      </c>
      <c r="B197" t="s">
        <v>79</v>
      </c>
      <c r="C197">
        <v>38</v>
      </c>
      <c r="D197">
        <v>6.3550000000000004</v>
      </c>
      <c r="E197">
        <f>(Master[[#This Row],[Happiness_Score]]*100)/10</f>
        <v>63.55</v>
      </c>
      <c r="F197">
        <v>1.0526599999999999</v>
      </c>
      <c r="G197">
        <f>(Master[[#This Row],[Economy_GDP_per_Capita]]*100)/2</f>
        <v>52.632999999999996</v>
      </c>
      <c r="H197">
        <v>0.83309</v>
      </c>
      <c r="I197">
        <f>(Master[[#This Row],[Family]]*100)/2</f>
        <v>41.654499999999999</v>
      </c>
      <c r="J197">
        <v>0.61804000000000003</v>
      </c>
      <c r="K197">
        <f>(Master[[#This Row],[Health_Life_Expectancy]]*100)/2</f>
        <v>30.902000000000001</v>
      </c>
      <c r="L197" s="3">
        <v>0.21006</v>
      </c>
      <c r="M197" s="3">
        <v>0.16156999999999999</v>
      </c>
      <c r="N197" s="3">
        <v>7.0440000000000003E-2</v>
      </c>
    </row>
    <row r="198" spans="1:14" x14ac:dyDescent="0.25">
      <c r="A198">
        <v>2016</v>
      </c>
      <c r="B198" t="s">
        <v>54</v>
      </c>
      <c r="C198">
        <v>39</v>
      </c>
      <c r="D198">
        <v>6.3239999999999998</v>
      </c>
      <c r="E198">
        <f>(Master[[#This Row],[Happiness_Score]]*100)/10</f>
        <v>63.239999999999995</v>
      </c>
      <c r="F198">
        <v>0.83453999999999995</v>
      </c>
      <c r="G198">
        <f>(Master[[#This Row],[Economy_GDP_per_Capita]]*100)/2</f>
        <v>41.726999999999997</v>
      </c>
      <c r="H198">
        <v>0.87119000000000002</v>
      </c>
      <c r="I198">
        <f>(Master[[#This Row],[Family]]*100)/2</f>
        <v>43.5595</v>
      </c>
      <c r="J198">
        <v>0.54039000000000004</v>
      </c>
      <c r="K198">
        <f>(Master[[#This Row],[Health_Life_Expectancy]]*100)/2</f>
        <v>27.019500000000001</v>
      </c>
      <c r="L198" s="3">
        <v>0.50378999999999996</v>
      </c>
      <c r="M198" s="3">
        <v>8.7010000000000004E-2</v>
      </c>
      <c r="N198" s="3">
        <v>0.28808</v>
      </c>
    </row>
    <row r="199" spans="1:14" x14ac:dyDescent="0.25">
      <c r="A199">
        <v>2016</v>
      </c>
      <c r="B199" t="s">
        <v>51</v>
      </c>
      <c r="C199">
        <v>40</v>
      </c>
      <c r="D199">
        <v>6.2690000000000001</v>
      </c>
      <c r="E199">
        <f>(Master[[#This Row],[Happiness_Score]]*100)/10</f>
        <v>62.69</v>
      </c>
      <c r="F199">
        <v>1.0968599999999999</v>
      </c>
      <c r="G199">
        <f>(Master[[#This Row],[Economy_GDP_per_Capita]]*100)/2</f>
        <v>54.842999999999996</v>
      </c>
      <c r="H199">
        <v>0.77866000000000002</v>
      </c>
      <c r="I199">
        <f>(Master[[#This Row],[Family]]*100)/2</f>
        <v>38.933</v>
      </c>
      <c r="J199">
        <v>0.50932999999999995</v>
      </c>
      <c r="K199">
        <f>(Master[[#This Row],[Health_Life_Expectancy]]*100)/2</f>
        <v>25.466499999999996</v>
      </c>
      <c r="L199" s="3">
        <v>0.52234000000000003</v>
      </c>
      <c r="M199" s="3">
        <v>0.12692000000000001</v>
      </c>
      <c r="N199" s="3">
        <v>0.16664999999999999</v>
      </c>
    </row>
    <row r="200" spans="1:14" x14ac:dyDescent="0.25">
      <c r="A200">
        <v>2016</v>
      </c>
      <c r="B200" t="s">
        <v>50</v>
      </c>
      <c r="C200">
        <v>41</v>
      </c>
      <c r="D200">
        <v>6.2389999999999999</v>
      </c>
      <c r="E200">
        <f>(Master[[#This Row],[Happiness_Score]]*100)/10</f>
        <v>62.39</v>
      </c>
      <c r="F200">
        <v>1.61714</v>
      </c>
      <c r="G200">
        <f>(Master[[#This Row],[Economy_GDP_per_Capita]]*100)/2</f>
        <v>80.856999999999999</v>
      </c>
      <c r="H200">
        <v>0.87758000000000003</v>
      </c>
      <c r="I200">
        <f>(Master[[#This Row],[Family]]*100)/2</f>
        <v>43.879000000000005</v>
      </c>
      <c r="J200">
        <v>0.63568999999999998</v>
      </c>
      <c r="K200">
        <f>(Master[[#This Row],[Health_Life_Expectancy]]*100)/2</f>
        <v>31.784499999999998</v>
      </c>
      <c r="L200" s="3">
        <v>0.43165999999999999</v>
      </c>
      <c r="M200" s="3">
        <v>0.23669000000000001</v>
      </c>
      <c r="N200" s="3">
        <v>0.15964999999999999</v>
      </c>
    </row>
    <row r="201" spans="1:14" x14ac:dyDescent="0.25">
      <c r="A201">
        <v>2016</v>
      </c>
      <c r="B201" t="s">
        <v>60</v>
      </c>
      <c r="C201">
        <v>42</v>
      </c>
      <c r="D201">
        <v>6.218</v>
      </c>
      <c r="E201">
        <f>(Master[[#This Row],[Happiness_Score]]*100)/10</f>
        <v>62.179999999999993</v>
      </c>
      <c r="F201">
        <v>1.44024</v>
      </c>
      <c r="G201">
        <f>(Master[[#This Row],[Economy_GDP_per_Capita]]*100)/2</f>
        <v>72.012</v>
      </c>
      <c r="H201">
        <v>0.94396999999999998</v>
      </c>
      <c r="I201">
        <f>(Master[[#This Row],[Family]]*100)/2</f>
        <v>47.198499999999996</v>
      </c>
      <c r="J201">
        <v>0.65695999999999999</v>
      </c>
      <c r="K201">
        <f>(Master[[#This Row],[Health_Life_Expectancy]]*100)/2</f>
        <v>32.847999999999999</v>
      </c>
      <c r="L201" s="3">
        <v>0.47375</v>
      </c>
      <c r="M201" s="3">
        <v>0.25772</v>
      </c>
      <c r="N201" s="3">
        <v>0.17147000000000001</v>
      </c>
    </row>
    <row r="202" spans="1:14" x14ac:dyDescent="0.25">
      <c r="A202">
        <v>2016</v>
      </c>
      <c r="B202" t="s">
        <v>52</v>
      </c>
      <c r="C202">
        <v>43</v>
      </c>
      <c r="D202">
        <v>6.1680000000000001</v>
      </c>
      <c r="E202">
        <f>(Master[[#This Row],[Happiness_Score]]*100)/10</f>
        <v>61.680000000000007</v>
      </c>
      <c r="F202">
        <v>1.32572</v>
      </c>
      <c r="G202">
        <f>(Master[[#This Row],[Economy_GDP_per_Capita]]*100)/2</f>
        <v>66.286000000000001</v>
      </c>
      <c r="H202">
        <v>0.98568999999999996</v>
      </c>
      <c r="I202">
        <f>(Master[[#This Row],[Family]]*100)/2</f>
        <v>49.284499999999994</v>
      </c>
      <c r="J202">
        <v>0.52607999999999999</v>
      </c>
      <c r="K202">
        <f>(Master[[#This Row],[Health_Life_Expectancy]]*100)/2</f>
        <v>26.303999999999998</v>
      </c>
      <c r="L202" s="3">
        <v>0.48453000000000002</v>
      </c>
      <c r="M202" s="3">
        <v>1.2409999999999999E-2</v>
      </c>
      <c r="N202" s="3">
        <v>0.31935000000000002</v>
      </c>
    </row>
    <row r="203" spans="1:14" x14ac:dyDescent="0.25">
      <c r="A203">
        <v>2016</v>
      </c>
      <c r="B203" t="s">
        <v>31</v>
      </c>
      <c r="C203">
        <v>44</v>
      </c>
      <c r="D203">
        <v>6.0839999999999996</v>
      </c>
      <c r="E203">
        <f>(Master[[#This Row],[Happiness_Score]]*100)/10</f>
        <v>60.839999999999996</v>
      </c>
      <c r="F203">
        <v>1.13367</v>
      </c>
      <c r="G203">
        <f>(Master[[#This Row],[Economy_GDP_per_Capita]]*100)/2</f>
        <v>56.683499999999995</v>
      </c>
      <c r="H203">
        <v>1.03302</v>
      </c>
      <c r="I203">
        <f>(Master[[#This Row],[Family]]*100)/2</f>
        <v>51.651000000000003</v>
      </c>
      <c r="J203">
        <v>0.61904000000000003</v>
      </c>
      <c r="K203">
        <f>(Master[[#This Row],[Health_Life_Expectancy]]*100)/2</f>
        <v>30.952000000000002</v>
      </c>
      <c r="L203" s="3">
        <v>0.19847000000000001</v>
      </c>
      <c r="M203" s="3">
        <v>8.3040000000000003E-2</v>
      </c>
      <c r="N203" s="3">
        <v>4.2500000000000003E-2</v>
      </c>
    </row>
    <row r="204" spans="1:14" x14ac:dyDescent="0.25">
      <c r="A204">
        <v>2016</v>
      </c>
      <c r="B204" t="s">
        <v>56</v>
      </c>
      <c r="C204">
        <v>45</v>
      </c>
      <c r="D204">
        <v>6.0780000000000003</v>
      </c>
      <c r="E204">
        <f>(Master[[#This Row],[Happiness_Score]]*100)/10</f>
        <v>60.780000000000008</v>
      </c>
      <c r="F204">
        <v>1.27973</v>
      </c>
      <c r="G204">
        <f>(Master[[#This Row],[Economy_GDP_per_Capita]]*100)/2</f>
        <v>63.986499999999999</v>
      </c>
      <c r="H204">
        <v>1.0826800000000001</v>
      </c>
      <c r="I204">
        <f>(Master[[#This Row],[Family]]*100)/2</f>
        <v>54.134000000000007</v>
      </c>
      <c r="J204">
        <v>0.70367000000000002</v>
      </c>
      <c r="K204">
        <f>(Master[[#This Row],[Health_Life_Expectancy]]*100)/2</f>
        <v>35.183500000000002</v>
      </c>
      <c r="L204" s="3">
        <v>0.23391000000000001</v>
      </c>
      <c r="M204" s="3">
        <v>2.947E-2</v>
      </c>
      <c r="N204" s="3">
        <v>0.13836999999999999</v>
      </c>
    </row>
    <row r="205" spans="1:14" x14ac:dyDescent="0.25">
      <c r="A205">
        <v>2016</v>
      </c>
      <c r="B205" t="s">
        <v>53</v>
      </c>
      <c r="C205">
        <v>46</v>
      </c>
      <c r="D205">
        <v>6.0679999999999996</v>
      </c>
      <c r="E205">
        <f>(Master[[#This Row],[Happiness_Score]]*100)/10</f>
        <v>60.679999999999993</v>
      </c>
      <c r="F205">
        <v>0.87370000000000003</v>
      </c>
      <c r="G205">
        <f>(Master[[#This Row],[Economy_GDP_per_Capita]]*100)/2</f>
        <v>43.685000000000002</v>
      </c>
      <c r="H205">
        <v>0.80974999999999997</v>
      </c>
      <c r="I205">
        <f>(Master[[#This Row],[Family]]*100)/2</f>
        <v>40.487499999999997</v>
      </c>
      <c r="J205">
        <v>0.59599999999999997</v>
      </c>
      <c r="K205">
        <f>(Master[[#This Row],[Health_Life_Expectancy]]*100)/2</f>
        <v>29.799999999999997</v>
      </c>
      <c r="L205" s="3">
        <v>0.37269000000000002</v>
      </c>
      <c r="M205" s="3">
        <v>0.10613</v>
      </c>
      <c r="N205" s="3">
        <v>8.8770000000000002E-2</v>
      </c>
    </row>
    <row r="206" spans="1:14" x14ac:dyDescent="0.25">
      <c r="A206">
        <v>2016</v>
      </c>
      <c r="B206" t="s">
        <v>72</v>
      </c>
      <c r="C206">
        <v>47</v>
      </c>
      <c r="D206">
        <v>6.0049999999999999</v>
      </c>
      <c r="E206">
        <f>(Master[[#This Row],[Happiness_Score]]*100)/10</f>
        <v>60.05</v>
      </c>
      <c r="F206">
        <v>1.25142</v>
      </c>
      <c r="G206">
        <f>(Master[[#This Row],[Economy_GDP_per_Capita]]*100)/2</f>
        <v>62.570999999999998</v>
      </c>
      <c r="H206">
        <v>0.88024999999999998</v>
      </c>
      <c r="I206">
        <f>(Master[[#This Row],[Family]]*100)/2</f>
        <v>44.012499999999996</v>
      </c>
      <c r="J206">
        <v>0.62365999999999999</v>
      </c>
      <c r="K206">
        <f>(Master[[#This Row],[Health_Life_Expectancy]]*100)/2</f>
        <v>31.183</v>
      </c>
      <c r="L206" s="3">
        <v>0.39030999999999999</v>
      </c>
      <c r="M206" s="3">
        <v>9.0810000000000002E-2</v>
      </c>
      <c r="N206" s="3">
        <v>0.41474</v>
      </c>
    </row>
    <row r="207" spans="1:14" x14ac:dyDescent="0.25">
      <c r="A207">
        <v>2016</v>
      </c>
      <c r="B207" t="s">
        <v>68</v>
      </c>
      <c r="C207">
        <v>48</v>
      </c>
      <c r="D207">
        <v>5.992</v>
      </c>
      <c r="E207">
        <f>(Master[[#This Row],[Happiness_Score]]*100)/10</f>
        <v>59.92</v>
      </c>
      <c r="F207">
        <v>0.69384000000000001</v>
      </c>
      <c r="G207">
        <f>(Master[[#This Row],[Economy_GDP_per_Capita]]*100)/2</f>
        <v>34.692</v>
      </c>
      <c r="H207">
        <v>0.89520999999999995</v>
      </c>
      <c r="I207">
        <f>(Master[[#This Row],[Family]]*100)/2</f>
        <v>44.7605</v>
      </c>
      <c r="J207">
        <v>0.65212999999999999</v>
      </c>
      <c r="K207">
        <f>(Master[[#This Row],[Health_Life_Expectancy]]*100)/2</f>
        <v>32.606499999999997</v>
      </c>
      <c r="L207" s="3">
        <v>0.46582000000000001</v>
      </c>
      <c r="M207" s="3">
        <v>0.16292000000000001</v>
      </c>
      <c r="N207" s="3">
        <v>0.29772999999999999</v>
      </c>
    </row>
    <row r="208" spans="1:14" x14ac:dyDescent="0.25">
      <c r="A208">
        <v>2016</v>
      </c>
      <c r="B208" t="s">
        <v>55</v>
      </c>
      <c r="C208">
        <v>49</v>
      </c>
      <c r="D208">
        <v>5.9870000000000001</v>
      </c>
      <c r="E208">
        <f>(Master[[#This Row],[Happiness_Score]]*100)/10</f>
        <v>59.870000000000005</v>
      </c>
      <c r="F208">
        <v>0.73590999999999995</v>
      </c>
      <c r="G208">
        <f>(Master[[#This Row],[Economy_GDP_per_Capita]]*100)/2</f>
        <v>36.795499999999997</v>
      </c>
      <c r="H208">
        <v>1.1680999999999999</v>
      </c>
      <c r="I208">
        <f>(Master[[#This Row],[Family]]*100)/2</f>
        <v>58.404999999999994</v>
      </c>
      <c r="J208">
        <v>0.50163000000000002</v>
      </c>
      <c r="K208">
        <f>(Master[[#This Row],[Health_Life_Expectancy]]*100)/2</f>
        <v>25.081500000000002</v>
      </c>
      <c r="L208" s="3">
        <v>0.60848000000000002</v>
      </c>
      <c r="M208" s="3">
        <v>0.28333000000000003</v>
      </c>
      <c r="N208" s="3">
        <v>0.34326000000000001</v>
      </c>
    </row>
    <row r="209" spans="1:14" x14ac:dyDescent="0.25">
      <c r="A209">
        <v>2016</v>
      </c>
      <c r="B209" t="s">
        <v>61</v>
      </c>
      <c r="C209">
        <v>50</v>
      </c>
      <c r="D209">
        <v>5.9770000000000003</v>
      </c>
      <c r="E209">
        <f>(Master[[#This Row],[Happiness_Score]]*100)/10</f>
        <v>59.77</v>
      </c>
      <c r="F209">
        <v>1.3549500000000001</v>
      </c>
      <c r="G209">
        <f>(Master[[#This Row],[Economy_GDP_per_Capita]]*100)/2</f>
        <v>67.747500000000002</v>
      </c>
      <c r="H209">
        <v>1.0416700000000001</v>
      </c>
      <c r="I209">
        <f>(Master[[#This Row],[Family]]*100)/2</f>
        <v>52.083500000000008</v>
      </c>
      <c r="J209">
        <v>0.85102</v>
      </c>
      <c r="K209">
        <f>(Master[[#This Row],[Health_Life_Expectancy]]*100)/2</f>
        <v>42.551000000000002</v>
      </c>
      <c r="L209" s="3">
        <v>0.18826999999999999</v>
      </c>
      <c r="M209" s="3">
        <v>2.5559999999999999E-2</v>
      </c>
      <c r="N209" s="3">
        <v>0.16683999999999999</v>
      </c>
    </row>
    <row r="210" spans="1:14" x14ac:dyDescent="0.25">
      <c r="A210">
        <v>2016</v>
      </c>
      <c r="B210" t="s">
        <v>59</v>
      </c>
      <c r="C210">
        <v>51</v>
      </c>
      <c r="D210">
        <v>5.976</v>
      </c>
      <c r="E210">
        <f>(Master[[#This Row],[Happiness_Score]]*100)/10</f>
        <v>59.760000000000005</v>
      </c>
      <c r="F210">
        <v>0.97306000000000004</v>
      </c>
      <c r="G210">
        <f>(Master[[#This Row],[Economy_GDP_per_Capita]]*100)/2</f>
        <v>48.652999999999999</v>
      </c>
      <c r="H210">
        <v>0.85973999999999995</v>
      </c>
      <c r="I210">
        <f>(Master[[#This Row],[Family]]*100)/2</f>
        <v>42.986999999999995</v>
      </c>
      <c r="J210">
        <v>0.68613000000000002</v>
      </c>
      <c r="K210">
        <f>(Master[[#This Row],[Health_Life_Expectancy]]*100)/2</f>
        <v>34.3065</v>
      </c>
      <c r="L210" s="3">
        <v>0.4027</v>
      </c>
      <c r="M210" s="3">
        <v>0.18037</v>
      </c>
      <c r="N210" s="3">
        <v>0.10074</v>
      </c>
    </row>
    <row r="211" spans="1:14" x14ac:dyDescent="0.25">
      <c r="A211">
        <v>2016</v>
      </c>
      <c r="B211" t="s">
        <v>174</v>
      </c>
      <c r="C211">
        <v>52</v>
      </c>
      <c r="D211">
        <v>5.9560000000000004</v>
      </c>
      <c r="E211">
        <f>(Master[[#This Row],[Happiness_Score]]*100)/10</f>
        <v>59.56</v>
      </c>
      <c r="F211">
        <v>0.87616000000000005</v>
      </c>
      <c r="G211">
        <f>(Master[[#This Row],[Economy_GDP_per_Capita]]*100)/2</f>
        <v>43.808</v>
      </c>
      <c r="H211">
        <v>0.68654999999999999</v>
      </c>
      <c r="I211">
        <f>(Master[[#This Row],[Family]]*100)/2</f>
        <v>34.327500000000001</v>
      </c>
      <c r="J211">
        <v>0.45568999999999998</v>
      </c>
      <c r="K211">
        <f>(Master[[#This Row],[Health_Life_Expectancy]]*100)/2</f>
        <v>22.784499999999998</v>
      </c>
      <c r="L211" s="3">
        <v>0.51231000000000004</v>
      </c>
      <c r="M211" s="3">
        <v>0.10771</v>
      </c>
      <c r="N211" s="3">
        <v>0.23683999999999999</v>
      </c>
    </row>
    <row r="212" spans="1:14" x14ac:dyDescent="0.25">
      <c r="A212">
        <v>2016</v>
      </c>
      <c r="B212" t="s">
        <v>57</v>
      </c>
      <c r="C212">
        <v>53</v>
      </c>
      <c r="D212">
        <v>5.9210000000000003</v>
      </c>
      <c r="E212">
        <f>(Master[[#This Row],[Happiness_Score]]*100)/10</f>
        <v>59.21</v>
      </c>
      <c r="F212">
        <v>1.3800699999999999</v>
      </c>
      <c r="G212">
        <f>(Master[[#This Row],[Economy_GDP_per_Capita]]*100)/2</f>
        <v>69.003500000000003</v>
      </c>
      <c r="H212">
        <v>1.06054</v>
      </c>
      <c r="I212">
        <f>(Master[[#This Row],[Family]]*100)/2</f>
        <v>53.027000000000001</v>
      </c>
      <c r="J212">
        <v>0.91491</v>
      </c>
      <c r="K212">
        <f>(Master[[#This Row],[Health_Life_Expectancy]]*100)/2</f>
        <v>45.7455</v>
      </c>
      <c r="L212" s="3">
        <v>0.46761000000000003</v>
      </c>
      <c r="M212" s="3">
        <v>0.18984999999999999</v>
      </c>
      <c r="N212" s="3">
        <v>0.10224</v>
      </c>
    </row>
    <row r="213" spans="1:14" x14ac:dyDescent="0.25">
      <c r="A213">
        <v>2016</v>
      </c>
      <c r="B213" t="s">
        <v>65</v>
      </c>
      <c r="C213">
        <v>54</v>
      </c>
      <c r="D213">
        <v>5.9189999999999996</v>
      </c>
      <c r="E213">
        <f>(Master[[#This Row],[Happiness_Score]]*100)/10</f>
        <v>59.19</v>
      </c>
      <c r="F213">
        <v>1.22943</v>
      </c>
      <c r="G213">
        <f>(Master[[#This Row],[Economy_GDP_per_Capita]]*100)/2</f>
        <v>61.471499999999999</v>
      </c>
      <c r="H213">
        <v>0.95543999999999996</v>
      </c>
      <c r="I213">
        <f>(Master[[#This Row],[Family]]*100)/2</f>
        <v>47.771999999999998</v>
      </c>
      <c r="J213">
        <v>0.57386000000000004</v>
      </c>
      <c r="K213">
        <f>(Master[[#This Row],[Health_Life_Expectancy]]*100)/2</f>
        <v>28.693000000000001</v>
      </c>
      <c r="L213" s="3">
        <v>0.4052</v>
      </c>
      <c r="M213" s="3">
        <v>0.11132</v>
      </c>
      <c r="N213" s="3">
        <v>0.15010999999999999</v>
      </c>
    </row>
    <row r="214" spans="1:14" x14ac:dyDescent="0.25">
      <c r="A214">
        <v>2016</v>
      </c>
      <c r="B214" t="s">
        <v>63</v>
      </c>
      <c r="C214">
        <v>55</v>
      </c>
      <c r="D214">
        <v>5.8970000000000002</v>
      </c>
      <c r="E214">
        <f>(Master[[#This Row],[Happiness_Score]]*100)/10</f>
        <v>58.970000000000006</v>
      </c>
      <c r="F214">
        <v>0.69177</v>
      </c>
      <c r="G214">
        <f>(Master[[#This Row],[Economy_GDP_per_Capita]]*100)/2</f>
        <v>34.588499999999996</v>
      </c>
      <c r="H214">
        <v>0.83131999999999995</v>
      </c>
      <c r="I214">
        <f>(Master[[#This Row],[Family]]*100)/2</f>
        <v>41.565999999999995</v>
      </c>
      <c r="J214">
        <v>0.52309000000000005</v>
      </c>
      <c r="K214">
        <f>(Master[[#This Row],[Health_Life_Expectancy]]*100)/2</f>
        <v>26.154500000000002</v>
      </c>
      <c r="L214" s="3">
        <v>0.25202000000000002</v>
      </c>
      <c r="M214" s="3">
        <v>1.9029999999999998E-2</v>
      </c>
      <c r="N214" s="3">
        <v>0.19997000000000001</v>
      </c>
    </row>
    <row r="215" spans="1:14" x14ac:dyDescent="0.25">
      <c r="A215">
        <v>2016</v>
      </c>
      <c r="B215" t="s">
        <v>75</v>
      </c>
      <c r="C215">
        <v>56</v>
      </c>
      <c r="D215">
        <v>5.8559999999999999</v>
      </c>
      <c r="E215">
        <f>(Master[[#This Row],[Happiness_Score]]*100)/10</f>
        <v>58.56</v>
      </c>
      <c r="F215">
        <v>1.23228</v>
      </c>
      <c r="G215">
        <f>(Master[[#This Row],[Economy_GDP_per_Capita]]*100)/2</f>
        <v>61.614000000000004</v>
      </c>
      <c r="H215">
        <v>1.05261</v>
      </c>
      <c r="I215">
        <f>(Master[[#This Row],[Family]]*100)/2</f>
        <v>52.630500000000005</v>
      </c>
      <c r="J215">
        <v>0.58991000000000005</v>
      </c>
      <c r="K215">
        <f>(Master[[#This Row],[Health_Life_Expectancy]]*100)/2</f>
        <v>29.495500000000003</v>
      </c>
      <c r="L215" s="3">
        <v>0.32682</v>
      </c>
      <c r="M215" s="3">
        <v>3.5860000000000003E-2</v>
      </c>
      <c r="N215" s="3">
        <v>2.7359999999999999E-2</v>
      </c>
    </row>
    <row r="216" spans="1:14" x14ac:dyDescent="0.25">
      <c r="A216">
        <v>2016</v>
      </c>
      <c r="B216" t="s">
        <v>71</v>
      </c>
      <c r="C216">
        <v>57</v>
      </c>
      <c r="D216">
        <v>5.835</v>
      </c>
      <c r="E216">
        <f>(Master[[#This Row],[Happiness_Score]]*100)/10</f>
        <v>58.35</v>
      </c>
      <c r="F216">
        <v>1.2458499999999999</v>
      </c>
      <c r="G216">
        <f>(Master[[#This Row],[Economy_GDP_per_Capita]]*100)/2</f>
        <v>62.292499999999997</v>
      </c>
      <c r="H216">
        <v>1.0468500000000001</v>
      </c>
      <c r="I216">
        <f>(Master[[#This Row],[Family]]*100)/2</f>
        <v>52.342500000000001</v>
      </c>
      <c r="J216">
        <v>0.69057999999999997</v>
      </c>
      <c r="K216">
        <f>(Master[[#This Row],[Health_Life_Expectancy]]*100)/2</f>
        <v>34.528999999999996</v>
      </c>
      <c r="L216" s="3">
        <v>0.45190000000000002</v>
      </c>
      <c r="M216" s="3">
        <v>5.5E-2</v>
      </c>
      <c r="N216" s="3">
        <v>0.14443</v>
      </c>
    </row>
    <row r="217" spans="1:14" x14ac:dyDescent="0.25">
      <c r="A217">
        <v>2016</v>
      </c>
      <c r="B217" t="s">
        <v>58</v>
      </c>
      <c r="C217">
        <v>57</v>
      </c>
      <c r="D217">
        <v>5.835</v>
      </c>
      <c r="E217">
        <f>(Master[[#This Row],[Happiness_Score]]*100)/10</f>
        <v>58.35</v>
      </c>
      <c r="F217">
        <v>1.35948</v>
      </c>
      <c r="G217">
        <f>(Master[[#This Row],[Economy_GDP_per_Capita]]*100)/2</f>
        <v>67.974000000000004</v>
      </c>
      <c r="H217">
        <v>0.72194000000000003</v>
      </c>
      <c r="I217">
        <f>(Master[[#This Row],[Family]]*100)/2</f>
        <v>36.097000000000001</v>
      </c>
      <c r="J217">
        <v>0.88644999999999996</v>
      </c>
      <c r="K217">
        <f>(Master[[#This Row],[Health_Life_Expectancy]]*100)/2</f>
        <v>44.322499999999998</v>
      </c>
      <c r="L217" s="3">
        <v>0.25168000000000001</v>
      </c>
      <c r="M217" s="3">
        <v>7.7160000000000006E-2</v>
      </c>
      <c r="N217" s="3">
        <v>0.18823999999999999</v>
      </c>
    </row>
    <row r="218" spans="1:14" x14ac:dyDescent="0.25">
      <c r="A218">
        <v>2016</v>
      </c>
      <c r="B218" t="s">
        <v>62</v>
      </c>
      <c r="C218">
        <v>59</v>
      </c>
      <c r="D218">
        <v>5.8220000000000001</v>
      </c>
      <c r="E218">
        <f>(Master[[#This Row],[Happiness_Score]]*100)/10</f>
        <v>58.220000000000006</v>
      </c>
      <c r="F218">
        <v>0.79422000000000004</v>
      </c>
      <c r="G218">
        <f>(Master[[#This Row],[Economy_GDP_per_Capita]]*100)/2</f>
        <v>39.710999999999999</v>
      </c>
      <c r="H218">
        <v>0.83779000000000003</v>
      </c>
      <c r="I218">
        <f>(Master[[#This Row],[Family]]*100)/2</f>
        <v>41.889499999999998</v>
      </c>
      <c r="J218">
        <v>0.46970000000000001</v>
      </c>
      <c r="K218">
        <f>(Master[[#This Row],[Health_Life_Expectancy]]*100)/2</f>
        <v>23.484999999999999</v>
      </c>
      <c r="L218" s="3">
        <v>0.50961000000000001</v>
      </c>
      <c r="M218" s="3">
        <v>7.7460000000000001E-2</v>
      </c>
      <c r="N218" s="3">
        <v>0.21698000000000001</v>
      </c>
    </row>
    <row r="219" spans="1:14" x14ac:dyDescent="0.25">
      <c r="A219">
        <v>2016</v>
      </c>
      <c r="B219" t="s">
        <v>67</v>
      </c>
      <c r="C219">
        <v>60</v>
      </c>
      <c r="D219">
        <v>5.8129999999999997</v>
      </c>
      <c r="E219">
        <f>(Master[[#This Row],[Happiness_Score]]*100)/10</f>
        <v>58.129999999999995</v>
      </c>
      <c r="F219">
        <v>1.2692000000000001</v>
      </c>
      <c r="G219">
        <f>(Master[[#This Row],[Economy_GDP_per_Capita]]*100)/2</f>
        <v>63.460000000000008</v>
      </c>
      <c r="H219">
        <v>1.0641099999999999</v>
      </c>
      <c r="I219">
        <f>(Master[[#This Row],[Family]]*100)/2</f>
        <v>53.205499999999994</v>
      </c>
      <c r="J219">
        <v>0.64673999999999998</v>
      </c>
      <c r="K219">
        <f>(Master[[#This Row],[Health_Life_Expectancy]]*100)/2</f>
        <v>32.336999999999996</v>
      </c>
      <c r="L219" s="3">
        <v>0.18929000000000001</v>
      </c>
      <c r="M219" s="3">
        <v>1.8200000000000001E-2</v>
      </c>
      <c r="N219" s="3">
        <v>2.0250000000000001E-2</v>
      </c>
    </row>
    <row r="220" spans="1:14" x14ac:dyDescent="0.25">
      <c r="A220">
        <v>2016</v>
      </c>
      <c r="B220" t="s">
        <v>70</v>
      </c>
      <c r="C220">
        <v>61</v>
      </c>
      <c r="D220">
        <v>5.8019999999999996</v>
      </c>
      <c r="E220">
        <f>(Master[[#This Row],[Happiness_Score]]*100)/10</f>
        <v>58.019999999999996</v>
      </c>
      <c r="F220">
        <v>1.13062</v>
      </c>
      <c r="G220">
        <f>(Master[[#This Row],[Economy_GDP_per_Capita]]*100)/2</f>
        <v>56.530999999999999</v>
      </c>
      <c r="H220">
        <v>1.04993</v>
      </c>
      <c r="I220">
        <f>(Master[[#This Row],[Family]]*100)/2</f>
        <v>52.496500000000005</v>
      </c>
      <c r="J220">
        <v>0.63104000000000005</v>
      </c>
      <c r="K220">
        <f>(Master[[#This Row],[Health_Life_Expectancy]]*100)/2</f>
        <v>31.552000000000003</v>
      </c>
      <c r="L220" s="3">
        <v>0.29091</v>
      </c>
      <c r="M220" s="3">
        <v>0.17457</v>
      </c>
      <c r="N220" s="3">
        <v>0.13941999999999999</v>
      </c>
    </row>
    <row r="221" spans="1:14" x14ac:dyDescent="0.25">
      <c r="A221">
        <v>2016</v>
      </c>
      <c r="B221" t="s">
        <v>77</v>
      </c>
      <c r="C221">
        <v>62</v>
      </c>
      <c r="D221">
        <v>5.7709999999999999</v>
      </c>
      <c r="E221">
        <f>(Master[[#This Row],[Happiness_Score]]*100)/10</f>
        <v>57.71</v>
      </c>
      <c r="F221">
        <v>1.31141</v>
      </c>
      <c r="G221">
        <f>(Master[[#This Row],[Economy_GDP_per_Capita]]*100)/2</f>
        <v>65.570499999999996</v>
      </c>
      <c r="H221">
        <v>0.81825999999999999</v>
      </c>
      <c r="I221">
        <f>(Master[[#This Row],[Family]]*100)/2</f>
        <v>40.912999999999997</v>
      </c>
      <c r="J221">
        <v>0.84141999999999995</v>
      </c>
      <c r="K221">
        <f>(Master[[#This Row],[Health_Life_Expectancy]]*100)/2</f>
        <v>42.070999999999998</v>
      </c>
      <c r="L221" s="3">
        <v>0.43596000000000001</v>
      </c>
      <c r="M221" s="3">
        <v>0.16578000000000001</v>
      </c>
      <c r="N221" s="3">
        <v>0.26322000000000001</v>
      </c>
    </row>
    <row r="222" spans="1:14" x14ac:dyDescent="0.25">
      <c r="A222">
        <v>2016</v>
      </c>
      <c r="B222" t="s">
        <v>66</v>
      </c>
      <c r="C222">
        <v>63</v>
      </c>
      <c r="D222">
        <v>5.7679999999999998</v>
      </c>
      <c r="E222">
        <f>(Master[[#This Row],[Happiness_Score]]*100)/10</f>
        <v>57.679999999999993</v>
      </c>
      <c r="F222">
        <v>1.2994699999999999</v>
      </c>
      <c r="G222">
        <f>(Master[[#This Row],[Economy_GDP_per_Capita]]*100)/2</f>
        <v>64.973500000000001</v>
      </c>
      <c r="H222">
        <v>1.05613</v>
      </c>
      <c r="I222">
        <f>(Master[[#This Row],[Family]]*100)/2</f>
        <v>52.8065</v>
      </c>
      <c r="J222">
        <v>0.79151000000000005</v>
      </c>
      <c r="K222">
        <f>(Master[[#This Row],[Health_Life_Expectancy]]*100)/2</f>
        <v>39.575500000000005</v>
      </c>
      <c r="L222" s="3">
        <v>0.53164</v>
      </c>
      <c r="M222" s="3">
        <v>3.635E-2</v>
      </c>
      <c r="N222" s="3">
        <v>0.25738</v>
      </c>
    </row>
    <row r="223" spans="1:14" x14ac:dyDescent="0.25">
      <c r="A223">
        <v>2016</v>
      </c>
      <c r="B223" t="s">
        <v>69</v>
      </c>
      <c r="C223">
        <v>64</v>
      </c>
      <c r="D223">
        <v>5.7430000000000003</v>
      </c>
      <c r="E223">
        <f>(Master[[#This Row],[Happiness_Score]]*100)/10</f>
        <v>57.430000000000007</v>
      </c>
      <c r="F223">
        <v>0.99602000000000002</v>
      </c>
      <c r="G223">
        <f>(Master[[#This Row],[Economy_GDP_per_Capita]]*100)/2</f>
        <v>49.801000000000002</v>
      </c>
      <c r="H223">
        <v>0.81254999999999999</v>
      </c>
      <c r="I223">
        <f>(Master[[#This Row],[Family]]*100)/2</f>
        <v>40.627499999999998</v>
      </c>
      <c r="J223">
        <v>0.62994000000000006</v>
      </c>
      <c r="K223">
        <f>(Master[[#This Row],[Health_Life_Expectancy]]*100)/2</f>
        <v>31.497000000000003</v>
      </c>
      <c r="L223" s="3">
        <v>0.37502000000000002</v>
      </c>
      <c r="M223" s="3">
        <v>5.2920000000000002E-2</v>
      </c>
      <c r="N223" s="3">
        <v>0.14527000000000001</v>
      </c>
    </row>
    <row r="224" spans="1:14" x14ac:dyDescent="0.25">
      <c r="A224">
        <v>2016</v>
      </c>
      <c r="B224" t="s">
        <v>81</v>
      </c>
      <c r="C224">
        <v>65</v>
      </c>
      <c r="D224">
        <v>5.6580000000000004</v>
      </c>
      <c r="E224">
        <f>(Master[[#This Row],[Happiness_Score]]*100)/10</f>
        <v>56.580000000000005</v>
      </c>
      <c r="F224">
        <v>1.0801700000000001</v>
      </c>
      <c r="G224">
        <f>(Master[[#This Row],[Economy_GDP_per_Capita]]*100)/2</f>
        <v>54.008500000000005</v>
      </c>
      <c r="H224">
        <v>1.03817</v>
      </c>
      <c r="I224">
        <f>(Master[[#This Row],[Family]]*100)/2</f>
        <v>51.908500000000004</v>
      </c>
      <c r="J224">
        <v>0.44006000000000001</v>
      </c>
      <c r="K224">
        <f>(Master[[#This Row],[Health_Life_Expectancy]]*100)/2</f>
        <v>22.003</v>
      </c>
      <c r="L224" s="3">
        <v>0.37408000000000002</v>
      </c>
      <c r="M224" s="3">
        <v>0.28466999999999998</v>
      </c>
      <c r="N224" s="3">
        <v>0.22567000000000001</v>
      </c>
    </row>
    <row r="225" spans="1:14" x14ac:dyDescent="0.25">
      <c r="A225">
        <v>2016</v>
      </c>
      <c r="B225" t="s">
        <v>82</v>
      </c>
      <c r="C225">
        <v>66</v>
      </c>
      <c r="D225">
        <v>5.6479999999999997</v>
      </c>
      <c r="E225">
        <f>(Master[[#This Row],[Happiness_Score]]*100)/10</f>
        <v>56.48</v>
      </c>
      <c r="F225">
        <v>1.1437200000000001</v>
      </c>
      <c r="G225">
        <f>(Master[[#This Row],[Economy_GDP_per_Capita]]*100)/2</f>
        <v>57.186000000000007</v>
      </c>
      <c r="H225">
        <v>0.75695000000000001</v>
      </c>
      <c r="I225">
        <f>(Master[[#This Row],[Family]]*100)/2</f>
        <v>37.847500000000004</v>
      </c>
      <c r="J225">
        <v>0.66188999999999998</v>
      </c>
      <c r="K225">
        <f>(Master[[#This Row],[Health_Life_Expectancy]]*100)/2</f>
        <v>33.094499999999996</v>
      </c>
      <c r="L225" s="3">
        <v>0.46145000000000003</v>
      </c>
      <c r="M225" s="3">
        <v>5.203E-2</v>
      </c>
      <c r="N225" s="3">
        <v>0.36951000000000001</v>
      </c>
    </row>
    <row r="226" spans="1:14" x14ac:dyDescent="0.25">
      <c r="A226">
        <v>2016</v>
      </c>
      <c r="B226" t="s">
        <v>74</v>
      </c>
      <c r="C226">
        <v>67</v>
      </c>
      <c r="D226">
        <v>5.6150000000000002</v>
      </c>
      <c r="E226">
        <f>(Master[[#This Row],[Happiness_Score]]*100)/10</f>
        <v>56.15</v>
      </c>
      <c r="F226">
        <v>1.0668800000000001</v>
      </c>
      <c r="G226">
        <f>(Master[[#This Row],[Economy_GDP_per_Capita]]*100)/2</f>
        <v>53.344000000000001</v>
      </c>
      <c r="H226">
        <v>0.95076000000000005</v>
      </c>
      <c r="I226">
        <f>(Master[[#This Row],[Family]]*100)/2</f>
        <v>47.538000000000004</v>
      </c>
      <c r="J226">
        <v>0.52303999999999995</v>
      </c>
      <c r="K226">
        <f>(Master[[#This Row],[Health_Life_Expectancy]]*100)/2</f>
        <v>26.151999999999997</v>
      </c>
      <c r="L226" s="3">
        <v>0.40672000000000003</v>
      </c>
      <c r="M226" s="3">
        <v>0.10339</v>
      </c>
      <c r="N226" s="3">
        <v>0.17086999999999999</v>
      </c>
    </row>
    <row r="227" spans="1:14" x14ac:dyDescent="0.25">
      <c r="A227">
        <v>2016</v>
      </c>
      <c r="B227" t="s">
        <v>102</v>
      </c>
      <c r="C227">
        <v>68</v>
      </c>
      <c r="D227">
        <v>5.56</v>
      </c>
      <c r="E227">
        <f>(Master[[#This Row],[Happiness_Score]]*100)/10</f>
        <v>55.6</v>
      </c>
      <c r="F227">
        <v>1.2178800000000001</v>
      </c>
      <c r="G227">
        <f>(Master[[#This Row],[Economy_GDP_per_Capita]]*100)/2</f>
        <v>60.894000000000005</v>
      </c>
      <c r="H227">
        <v>0.95025000000000004</v>
      </c>
      <c r="I227">
        <f>(Master[[#This Row],[Family]]*100)/2</f>
        <v>47.512500000000003</v>
      </c>
      <c r="J227">
        <v>0.63951999999999998</v>
      </c>
      <c r="K227">
        <f>(Master[[#This Row],[Health_Life_Expectancy]]*100)/2</f>
        <v>31.975999999999999</v>
      </c>
      <c r="L227" s="3">
        <v>0.27995999999999999</v>
      </c>
      <c r="M227" s="3">
        <v>8.8900000000000007E-2</v>
      </c>
      <c r="N227" s="3">
        <v>0.17444999999999999</v>
      </c>
    </row>
    <row r="228" spans="1:14" x14ac:dyDescent="0.25">
      <c r="A228">
        <v>2016</v>
      </c>
      <c r="B228" t="s">
        <v>78</v>
      </c>
      <c r="C228">
        <v>69</v>
      </c>
      <c r="D228">
        <v>5.5460000000000003</v>
      </c>
      <c r="E228">
        <f>(Master[[#This Row],[Happiness_Score]]*100)/10</f>
        <v>55.46</v>
      </c>
      <c r="F228">
        <v>1.31857</v>
      </c>
      <c r="G228">
        <f>(Master[[#This Row],[Economy_GDP_per_Capita]]*100)/2</f>
        <v>65.9285</v>
      </c>
      <c r="H228">
        <v>0.70696999999999999</v>
      </c>
      <c r="I228">
        <f>(Master[[#This Row],[Family]]*100)/2</f>
        <v>35.348500000000001</v>
      </c>
      <c r="J228">
        <v>0.8488</v>
      </c>
      <c r="K228">
        <f>(Master[[#This Row],[Health_Life_Expectancy]]*100)/2</f>
        <v>42.44</v>
      </c>
      <c r="L228" s="3">
        <v>0.29507</v>
      </c>
      <c r="M228" s="3">
        <v>5.228E-2</v>
      </c>
      <c r="N228" s="3">
        <v>0.27905999999999997</v>
      </c>
    </row>
    <row r="229" spans="1:14" x14ac:dyDescent="0.25">
      <c r="A229">
        <v>2016</v>
      </c>
      <c r="B229" t="s">
        <v>64</v>
      </c>
      <c r="C229">
        <v>70</v>
      </c>
      <c r="D229">
        <v>5.5380000000000003</v>
      </c>
      <c r="E229">
        <f>(Master[[#This Row],[Happiness_Score]]*100)/10</f>
        <v>55.38000000000001</v>
      </c>
      <c r="F229">
        <v>0.89373000000000002</v>
      </c>
      <c r="G229">
        <f>(Master[[#This Row],[Economy_GDP_per_Capita]]*100)/2</f>
        <v>44.686500000000002</v>
      </c>
      <c r="H229">
        <v>1.11111</v>
      </c>
      <c r="I229">
        <f>(Master[[#This Row],[Family]]*100)/2</f>
        <v>55.555500000000002</v>
      </c>
      <c r="J229">
        <v>0.58294999999999997</v>
      </c>
      <c r="K229">
        <f>(Master[[#This Row],[Health_Life_Expectancy]]*100)/2</f>
        <v>29.147499999999997</v>
      </c>
      <c r="L229" s="3">
        <v>0.46234999999999998</v>
      </c>
      <c r="M229" s="3">
        <v>7.3959999999999998E-2</v>
      </c>
      <c r="N229" s="3">
        <v>0.25296000000000002</v>
      </c>
    </row>
    <row r="230" spans="1:14" x14ac:dyDescent="0.25">
      <c r="A230">
        <v>2016</v>
      </c>
      <c r="B230" t="s">
        <v>99</v>
      </c>
      <c r="C230">
        <v>71</v>
      </c>
      <c r="D230">
        <v>5.5279999999999996</v>
      </c>
      <c r="E230">
        <f>(Master[[#This Row],[Happiness_Score]]*100)/10</f>
        <v>55.279999999999994</v>
      </c>
      <c r="F230">
        <v>1.1697</v>
      </c>
      <c r="G230">
        <f>(Master[[#This Row],[Economy_GDP_per_Capita]]*100)/2</f>
        <v>58.484999999999999</v>
      </c>
      <c r="H230">
        <v>0.72802999999999995</v>
      </c>
      <c r="I230">
        <f>(Master[[#This Row],[Family]]*100)/2</f>
        <v>36.401499999999999</v>
      </c>
      <c r="J230">
        <v>0.67601999999999995</v>
      </c>
      <c r="K230">
        <f>(Master[[#This Row],[Health_Life_Expectancy]]*100)/2</f>
        <v>33.800999999999995</v>
      </c>
      <c r="L230" s="3">
        <v>0.36712</v>
      </c>
      <c r="M230" s="3">
        <v>6.79E-3</v>
      </c>
      <c r="N230" s="3">
        <v>0.12889</v>
      </c>
    </row>
    <row r="231" spans="1:14" x14ac:dyDescent="0.25">
      <c r="A231">
        <v>2016</v>
      </c>
      <c r="B231" t="s">
        <v>85</v>
      </c>
      <c r="C231">
        <v>72</v>
      </c>
      <c r="D231">
        <v>5.5170000000000003</v>
      </c>
      <c r="E231">
        <f>(Master[[#This Row],[Happiness_Score]]*100)/10</f>
        <v>55.17</v>
      </c>
      <c r="F231">
        <v>1.2796400000000001</v>
      </c>
      <c r="G231">
        <f>(Master[[#This Row],[Economy_GDP_per_Capita]]*100)/2</f>
        <v>63.982000000000006</v>
      </c>
      <c r="H231">
        <v>1.0516300000000001</v>
      </c>
      <c r="I231">
        <f>(Master[[#This Row],[Family]]*100)/2</f>
        <v>52.581500000000005</v>
      </c>
      <c r="J231">
        <v>0.68098000000000003</v>
      </c>
      <c r="K231">
        <f>(Master[[#This Row],[Health_Life_Expectancy]]*100)/2</f>
        <v>34.048999999999999</v>
      </c>
      <c r="L231" s="3">
        <v>0.41510999999999998</v>
      </c>
      <c r="M231" s="3">
        <v>0.18518999999999999</v>
      </c>
      <c r="N231" s="3">
        <v>8.4229999999999999E-2</v>
      </c>
    </row>
    <row r="232" spans="1:14" x14ac:dyDescent="0.25">
      <c r="A232">
        <v>2016</v>
      </c>
      <c r="B232" t="s">
        <v>76</v>
      </c>
      <c r="C232">
        <v>73</v>
      </c>
      <c r="D232">
        <v>5.51</v>
      </c>
      <c r="E232">
        <f>(Master[[#This Row],[Happiness_Score]]*100)/10</f>
        <v>55.1</v>
      </c>
      <c r="F232">
        <v>0.89332999999999996</v>
      </c>
      <c r="G232">
        <f>(Master[[#This Row],[Economy_GDP_per_Capita]]*100)/2</f>
        <v>44.666499999999999</v>
      </c>
      <c r="H232">
        <v>0.96372000000000002</v>
      </c>
      <c r="I232">
        <f>(Master[[#This Row],[Family]]*100)/2</f>
        <v>48.186</v>
      </c>
      <c r="J232">
        <v>0.59469000000000005</v>
      </c>
      <c r="K232">
        <f>(Master[[#This Row],[Health_Life_Expectancy]]*100)/2</f>
        <v>29.734500000000004</v>
      </c>
      <c r="L232" s="3">
        <v>0.43597000000000002</v>
      </c>
      <c r="M232" s="3">
        <v>4.2939999999999999E-2</v>
      </c>
      <c r="N232" s="3">
        <v>0.22245000000000001</v>
      </c>
    </row>
    <row r="233" spans="1:14" x14ac:dyDescent="0.25">
      <c r="A233">
        <v>2016</v>
      </c>
      <c r="B233" t="s">
        <v>73</v>
      </c>
      <c r="C233">
        <v>74</v>
      </c>
      <c r="D233">
        <v>5.4880000000000004</v>
      </c>
      <c r="E233">
        <f>(Master[[#This Row],[Happiness_Score]]*100)/10</f>
        <v>54.88000000000001</v>
      </c>
      <c r="F233">
        <v>1.18649</v>
      </c>
      <c r="G233">
        <f>(Master[[#This Row],[Economy_GDP_per_Capita]]*100)/2</f>
        <v>59.3245</v>
      </c>
      <c r="H233">
        <v>0.60809000000000002</v>
      </c>
      <c r="I233">
        <f>(Master[[#This Row],[Family]]*100)/2</f>
        <v>30.404500000000002</v>
      </c>
      <c r="J233">
        <v>0.70523999999999998</v>
      </c>
      <c r="K233">
        <f>(Master[[#This Row],[Health_Life_Expectancy]]*100)/2</f>
        <v>35.262</v>
      </c>
      <c r="L233" s="3">
        <v>0.23907</v>
      </c>
      <c r="M233" s="3">
        <v>4.002E-2</v>
      </c>
      <c r="N233" s="3">
        <v>0.18434</v>
      </c>
    </row>
    <row r="234" spans="1:14" x14ac:dyDescent="0.25">
      <c r="A234">
        <v>2016</v>
      </c>
      <c r="B234" t="s">
        <v>84</v>
      </c>
      <c r="C234">
        <v>75</v>
      </c>
      <c r="D234">
        <v>5.4580000000000002</v>
      </c>
      <c r="E234">
        <f>(Master[[#This Row],[Happiness_Score]]*100)/10</f>
        <v>54.580000000000005</v>
      </c>
      <c r="F234">
        <v>1.5106999999999999</v>
      </c>
      <c r="G234">
        <f>(Master[[#This Row],[Economy_GDP_per_Capita]]*100)/2</f>
        <v>75.534999999999997</v>
      </c>
      <c r="H234">
        <v>0.87021000000000004</v>
      </c>
      <c r="I234">
        <f>(Master[[#This Row],[Family]]*100)/2</f>
        <v>43.5105</v>
      </c>
      <c r="J234">
        <v>0.95277000000000001</v>
      </c>
      <c r="K234">
        <f>(Master[[#This Row],[Health_Life_Expectancy]]*100)/2</f>
        <v>47.638500000000001</v>
      </c>
      <c r="L234" s="3">
        <v>0.48079</v>
      </c>
      <c r="M234" s="3">
        <v>0.31646999999999997</v>
      </c>
      <c r="N234" s="3">
        <v>0.40096999999999999</v>
      </c>
    </row>
    <row r="235" spans="1:14" x14ac:dyDescent="0.25">
      <c r="A235">
        <v>2016</v>
      </c>
      <c r="B235" t="s">
        <v>175</v>
      </c>
      <c r="C235">
        <v>76</v>
      </c>
      <c r="D235">
        <v>5.44</v>
      </c>
      <c r="E235">
        <f>(Master[[#This Row],[Happiness_Score]]*100)/10</f>
        <v>54.4</v>
      </c>
      <c r="F235">
        <v>0</v>
      </c>
      <c r="G235">
        <f>(Master[[#This Row],[Economy_GDP_per_Capita]]*100)/2</f>
        <v>0</v>
      </c>
      <c r="H235">
        <v>0.33612999999999998</v>
      </c>
      <c r="I235">
        <f>(Master[[#This Row],[Family]]*100)/2</f>
        <v>16.8065</v>
      </c>
      <c r="J235">
        <v>0.11466</v>
      </c>
      <c r="K235">
        <f>(Master[[#This Row],[Health_Life_Expectancy]]*100)/2</f>
        <v>5.7329999999999997</v>
      </c>
      <c r="L235" s="3">
        <v>0.56777999999999995</v>
      </c>
      <c r="M235" s="3">
        <v>0.31180000000000002</v>
      </c>
      <c r="N235" s="3">
        <v>0.27224999999999999</v>
      </c>
    </row>
    <row r="236" spans="1:14" x14ac:dyDescent="0.25">
      <c r="A236">
        <v>2016</v>
      </c>
      <c r="B236" t="s">
        <v>80</v>
      </c>
      <c r="C236">
        <v>77</v>
      </c>
      <c r="D236">
        <v>5.4009999999999998</v>
      </c>
      <c r="E236">
        <f>(Master[[#This Row],[Happiness_Score]]*100)/10</f>
        <v>54.010000000000005</v>
      </c>
      <c r="F236">
        <v>0.90144999999999997</v>
      </c>
      <c r="G236">
        <f>(Master[[#This Row],[Economy_GDP_per_Capita]]*100)/2</f>
        <v>45.072499999999998</v>
      </c>
      <c r="H236">
        <v>0.66061999999999999</v>
      </c>
      <c r="I236">
        <f>(Master[[#This Row],[Family]]*100)/2</f>
        <v>33.030999999999999</v>
      </c>
      <c r="J236">
        <v>0.54</v>
      </c>
      <c r="K236">
        <f>(Master[[#This Row],[Health_Life_Expectancy]]*100)/2</f>
        <v>27</v>
      </c>
      <c r="L236" s="3">
        <v>0.14396</v>
      </c>
      <c r="M236" s="3">
        <v>6.547E-2</v>
      </c>
      <c r="N236" s="3">
        <v>0.27992</v>
      </c>
    </row>
    <row r="237" spans="1:14" x14ac:dyDescent="0.25">
      <c r="A237">
        <v>2016</v>
      </c>
      <c r="B237" t="s">
        <v>88</v>
      </c>
      <c r="C237">
        <v>78</v>
      </c>
      <c r="D237">
        <v>5.3890000000000002</v>
      </c>
      <c r="E237">
        <f>(Master[[#This Row],[Happiness_Score]]*100)/10</f>
        <v>53.89</v>
      </c>
      <c r="F237">
        <v>1.16492</v>
      </c>
      <c r="G237">
        <f>(Master[[#This Row],[Economy_GDP_per_Capita]]*100)/2</f>
        <v>58.245999999999995</v>
      </c>
      <c r="H237">
        <v>0.87717000000000001</v>
      </c>
      <c r="I237">
        <f>(Master[[#This Row],[Family]]*100)/2</f>
        <v>43.858499999999999</v>
      </c>
      <c r="J237">
        <v>0.64717999999999998</v>
      </c>
      <c r="K237">
        <f>(Master[[#This Row],[Health_Life_Expectancy]]*100)/2</f>
        <v>32.359000000000002</v>
      </c>
      <c r="L237" s="3">
        <v>0.23888999999999999</v>
      </c>
      <c r="M237" s="3">
        <v>0.12348000000000001</v>
      </c>
      <c r="N237" s="3">
        <v>4.7070000000000001E-2</v>
      </c>
    </row>
    <row r="238" spans="1:14" x14ac:dyDescent="0.25">
      <c r="A238">
        <v>2016</v>
      </c>
      <c r="B238" t="s">
        <v>86</v>
      </c>
      <c r="C238">
        <v>79</v>
      </c>
      <c r="D238">
        <v>5.3140000000000001</v>
      </c>
      <c r="E238">
        <f>(Master[[#This Row],[Happiness_Score]]*100)/10</f>
        <v>53.14</v>
      </c>
      <c r="F238">
        <v>0.95104</v>
      </c>
      <c r="G238">
        <f>(Master[[#This Row],[Economy_GDP_per_Capita]]*100)/2</f>
        <v>47.552</v>
      </c>
      <c r="H238">
        <v>0.87624999999999997</v>
      </c>
      <c r="I238">
        <f>(Master[[#This Row],[Family]]*100)/2</f>
        <v>43.8125</v>
      </c>
      <c r="J238">
        <v>0.49374000000000001</v>
      </c>
      <c r="K238">
        <f>(Master[[#This Row],[Health_Life_Expectancy]]*100)/2</f>
        <v>24.687000000000001</v>
      </c>
      <c r="L238" s="3">
        <v>0.39237</v>
      </c>
      <c r="M238" s="3">
        <v>3.2200000000000002E-3</v>
      </c>
      <c r="N238" s="3">
        <v>0.56520999999999999</v>
      </c>
    </row>
    <row r="239" spans="1:14" x14ac:dyDescent="0.25">
      <c r="A239">
        <v>2016</v>
      </c>
      <c r="B239" t="s">
        <v>95</v>
      </c>
      <c r="C239">
        <v>80</v>
      </c>
      <c r="D239">
        <v>5.3029999999999999</v>
      </c>
      <c r="E239">
        <f>(Master[[#This Row],[Happiness_Score]]*100)/10</f>
        <v>53.029999999999994</v>
      </c>
      <c r="F239">
        <v>0.99673</v>
      </c>
      <c r="G239">
        <f>(Master[[#This Row],[Economy_GDP_per_Capita]]*100)/2</f>
        <v>49.836500000000001</v>
      </c>
      <c r="H239">
        <v>0.86216000000000004</v>
      </c>
      <c r="I239">
        <f>(Master[[#This Row],[Family]]*100)/2</f>
        <v>43.108000000000004</v>
      </c>
      <c r="J239">
        <v>0.60711999999999999</v>
      </c>
      <c r="K239">
        <f>(Master[[#This Row],[Health_Life_Expectancy]]*100)/2</f>
        <v>30.355999999999998</v>
      </c>
      <c r="L239" s="3">
        <v>0.36022999999999999</v>
      </c>
      <c r="M239" s="3">
        <v>0.13297</v>
      </c>
      <c r="N239" s="3">
        <v>0.14262</v>
      </c>
    </row>
    <row r="240" spans="1:14" x14ac:dyDescent="0.25">
      <c r="A240">
        <v>2016</v>
      </c>
      <c r="B240" t="s">
        <v>93</v>
      </c>
      <c r="C240">
        <v>81</v>
      </c>
      <c r="D240">
        <v>5.2910000000000004</v>
      </c>
      <c r="E240">
        <f>(Master[[#This Row],[Happiness_Score]]*100)/10</f>
        <v>52.910000000000004</v>
      </c>
      <c r="F240">
        <v>1.1237299999999999</v>
      </c>
      <c r="G240">
        <f>(Master[[#This Row],[Economy_GDP_per_Capita]]*100)/2</f>
        <v>56.186499999999995</v>
      </c>
      <c r="H240">
        <v>0.76041999999999998</v>
      </c>
      <c r="I240">
        <f>(Master[[#This Row],[Family]]*100)/2</f>
        <v>38.021000000000001</v>
      </c>
      <c r="J240">
        <v>0.54503999999999997</v>
      </c>
      <c r="K240">
        <f>(Master[[#This Row],[Health_Life_Expectancy]]*100)/2</f>
        <v>27.251999999999999</v>
      </c>
      <c r="L240" s="3">
        <v>0.35326999999999997</v>
      </c>
      <c r="M240" s="3">
        <v>0.17913999999999999</v>
      </c>
      <c r="N240" s="3">
        <v>5.6399999999999999E-2</v>
      </c>
    </row>
    <row r="241" spans="1:14" x14ac:dyDescent="0.25">
      <c r="A241">
        <v>2016</v>
      </c>
      <c r="B241" t="s">
        <v>103</v>
      </c>
      <c r="C241">
        <v>82</v>
      </c>
      <c r="D241">
        <v>5.2789999999999999</v>
      </c>
      <c r="E241">
        <f>(Master[[#This Row],[Happiness_Score]]*100)/10</f>
        <v>52.79</v>
      </c>
      <c r="F241">
        <v>0.81216999999999995</v>
      </c>
      <c r="G241">
        <f>(Master[[#This Row],[Economy_GDP_per_Capita]]*100)/2</f>
        <v>40.608499999999999</v>
      </c>
      <c r="H241">
        <v>0.87877000000000005</v>
      </c>
      <c r="I241">
        <f>(Master[[#This Row],[Family]]*100)/2</f>
        <v>43.938500000000005</v>
      </c>
      <c r="J241">
        <v>0.47036</v>
      </c>
      <c r="K241">
        <f>(Master[[#This Row],[Health_Life_Expectancy]]*100)/2</f>
        <v>23.518000000000001</v>
      </c>
      <c r="L241" s="3">
        <v>0.54854000000000003</v>
      </c>
      <c r="M241" s="3">
        <v>0.11756999999999999</v>
      </c>
      <c r="N241" s="3">
        <v>0.21673999999999999</v>
      </c>
    </row>
    <row r="242" spans="1:14" x14ac:dyDescent="0.25">
      <c r="A242">
        <v>2016</v>
      </c>
      <c r="B242" t="s">
        <v>97</v>
      </c>
      <c r="C242">
        <v>83</v>
      </c>
      <c r="D242">
        <v>5.2450000000000001</v>
      </c>
      <c r="E242">
        <f>(Master[[#This Row],[Happiness_Score]]*100)/10</f>
        <v>52.45</v>
      </c>
      <c r="F242">
        <v>1.0278</v>
      </c>
      <c r="G242">
        <f>(Master[[#This Row],[Economy_GDP_per_Capita]]*100)/2</f>
        <v>51.39</v>
      </c>
      <c r="H242">
        <v>0.79381000000000002</v>
      </c>
      <c r="I242">
        <f>(Master[[#This Row],[Family]]*100)/2</f>
        <v>39.6905</v>
      </c>
      <c r="J242">
        <v>0.73560999999999999</v>
      </c>
      <c r="K242">
        <f>(Master[[#This Row],[Health_Life_Expectancy]]*100)/2</f>
        <v>36.780499999999996</v>
      </c>
      <c r="L242" s="3">
        <v>0.44012000000000001</v>
      </c>
      <c r="M242" s="3">
        <v>2.7449999999999999E-2</v>
      </c>
      <c r="N242" s="3">
        <v>4.9590000000000002E-2</v>
      </c>
    </row>
    <row r="243" spans="1:14" x14ac:dyDescent="0.25">
      <c r="A243">
        <v>2016</v>
      </c>
      <c r="B243" t="s">
        <v>91</v>
      </c>
      <c r="C243">
        <v>84</v>
      </c>
      <c r="D243">
        <v>5.1959999999999997</v>
      </c>
      <c r="E243">
        <f>(Master[[#This Row],[Happiness_Score]]*100)/10</f>
        <v>51.96</v>
      </c>
      <c r="F243">
        <v>0.85270000000000001</v>
      </c>
      <c r="G243">
        <f>(Master[[#This Row],[Economy_GDP_per_Capita]]*100)/2</f>
        <v>42.634999999999998</v>
      </c>
      <c r="H243">
        <v>0.90835999999999995</v>
      </c>
      <c r="I243">
        <f>(Master[[#This Row],[Family]]*100)/2</f>
        <v>45.417999999999999</v>
      </c>
      <c r="J243">
        <v>0.49758999999999998</v>
      </c>
      <c r="K243">
        <f>(Master[[#This Row],[Health_Life_Expectancy]]*100)/2</f>
        <v>24.8795</v>
      </c>
      <c r="L243" s="3">
        <v>0.46073999999999998</v>
      </c>
      <c r="M243" s="3">
        <v>0.16159999999999999</v>
      </c>
      <c r="N243" s="3">
        <v>0.48546</v>
      </c>
    </row>
    <row r="244" spans="1:14" x14ac:dyDescent="0.25">
      <c r="A244">
        <v>2016</v>
      </c>
      <c r="B244" t="s">
        <v>89</v>
      </c>
      <c r="C244">
        <v>85</v>
      </c>
      <c r="D244">
        <v>5.1849999999999996</v>
      </c>
      <c r="E244">
        <f>(Master[[#This Row],[Happiness_Score]]*100)/10</f>
        <v>51.85</v>
      </c>
      <c r="F244">
        <v>0.56044000000000005</v>
      </c>
      <c r="G244">
        <f>(Master[[#This Row],[Economy_GDP_per_Capita]]*100)/2</f>
        <v>28.022000000000002</v>
      </c>
      <c r="H244">
        <v>0.95433999999999997</v>
      </c>
      <c r="I244">
        <f>(Master[[#This Row],[Family]]*100)/2</f>
        <v>47.716999999999999</v>
      </c>
      <c r="J244">
        <v>0.55449000000000004</v>
      </c>
      <c r="K244">
        <f>(Master[[#This Row],[Health_Life_Expectancy]]*100)/2</f>
        <v>27.724500000000003</v>
      </c>
      <c r="L244" s="3">
        <v>0.40211999999999998</v>
      </c>
      <c r="M244" s="3">
        <v>4.7620000000000003E-2</v>
      </c>
      <c r="N244" s="3">
        <v>0.38431999999999999</v>
      </c>
    </row>
    <row r="245" spans="1:14" x14ac:dyDescent="0.25">
      <c r="A245">
        <v>2016</v>
      </c>
      <c r="B245" t="s">
        <v>100</v>
      </c>
      <c r="C245">
        <v>86</v>
      </c>
      <c r="D245">
        <v>5.1769999999999996</v>
      </c>
      <c r="E245">
        <f>(Master[[#This Row],[Happiness_Score]]*100)/10</f>
        <v>51.769999999999996</v>
      </c>
      <c r="F245">
        <v>1.03437</v>
      </c>
      <c r="G245">
        <f>(Master[[#This Row],[Economy_GDP_per_Capita]]*100)/2</f>
        <v>51.718499999999999</v>
      </c>
      <c r="H245">
        <v>0.81328999999999996</v>
      </c>
      <c r="I245">
        <f>(Master[[#This Row],[Family]]*100)/2</f>
        <v>40.664499999999997</v>
      </c>
      <c r="J245">
        <v>0.64580000000000004</v>
      </c>
      <c r="K245">
        <f>(Master[[#This Row],[Health_Life_Expectancy]]*100)/2</f>
        <v>32.29</v>
      </c>
      <c r="L245" s="3">
        <v>0.15717999999999999</v>
      </c>
      <c r="M245" s="3">
        <v>4.3389999999999998E-2</v>
      </c>
      <c r="N245" s="3">
        <v>0.20737</v>
      </c>
    </row>
    <row r="246" spans="1:14" x14ac:dyDescent="0.25">
      <c r="A246">
        <v>2016</v>
      </c>
      <c r="B246" t="s">
        <v>109</v>
      </c>
      <c r="C246">
        <v>87</v>
      </c>
      <c r="D246">
        <v>5.1630000000000003</v>
      </c>
      <c r="E246">
        <f>(Master[[#This Row],[Happiness_Score]]*100)/10</f>
        <v>51.63000000000001</v>
      </c>
      <c r="F246">
        <v>0.93383000000000005</v>
      </c>
      <c r="G246">
        <f>(Master[[#This Row],[Economy_GDP_per_Capita]]*100)/2</f>
        <v>46.691500000000005</v>
      </c>
      <c r="H246">
        <v>0.64366999999999996</v>
      </c>
      <c r="I246">
        <f>(Master[[#This Row],[Family]]*100)/2</f>
        <v>32.183499999999995</v>
      </c>
      <c r="J246">
        <v>0.70765999999999996</v>
      </c>
      <c r="K246">
        <f>(Master[[#This Row],[Health_Life_Expectancy]]*100)/2</f>
        <v>35.382999999999996</v>
      </c>
      <c r="L246" s="3">
        <v>9.511E-2</v>
      </c>
      <c r="M246" s="3">
        <v>0</v>
      </c>
      <c r="N246" s="3">
        <v>0.29888999999999999</v>
      </c>
    </row>
    <row r="247" spans="1:14" x14ac:dyDescent="0.25">
      <c r="A247">
        <v>2016</v>
      </c>
      <c r="B247" t="s">
        <v>96</v>
      </c>
      <c r="C247">
        <v>88</v>
      </c>
      <c r="D247">
        <v>5.1609999999999996</v>
      </c>
      <c r="E247">
        <f>(Master[[#This Row],[Happiness_Score]]*100)/10</f>
        <v>51.609999999999992</v>
      </c>
      <c r="F247">
        <v>1.0783799999999999</v>
      </c>
      <c r="G247">
        <f>(Master[[#This Row],[Economy_GDP_per_Capita]]*100)/2</f>
        <v>53.918999999999997</v>
      </c>
      <c r="H247">
        <v>0.74173</v>
      </c>
      <c r="I247">
        <f>(Master[[#This Row],[Family]]*100)/2</f>
        <v>37.086500000000001</v>
      </c>
      <c r="J247">
        <v>0.63532999999999995</v>
      </c>
      <c r="K247">
        <f>(Master[[#This Row],[Health_Life_Expectancy]]*100)/2</f>
        <v>31.766499999999997</v>
      </c>
      <c r="L247" s="3">
        <v>0.15110999999999999</v>
      </c>
      <c r="M247" s="3">
        <v>0.12720999999999999</v>
      </c>
      <c r="N247" s="3">
        <v>0.17191000000000001</v>
      </c>
    </row>
    <row r="248" spans="1:14" x14ac:dyDescent="0.25">
      <c r="A248">
        <v>2016</v>
      </c>
      <c r="B248" t="s">
        <v>111</v>
      </c>
      <c r="C248">
        <v>89</v>
      </c>
      <c r="D248">
        <v>5.1550000000000002</v>
      </c>
      <c r="E248">
        <f>(Master[[#This Row],[Happiness_Score]]*100)/10</f>
        <v>51.55</v>
      </c>
      <c r="F248">
        <v>1.0278700000000001</v>
      </c>
      <c r="G248">
        <f>(Master[[#This Row],[Economy_GDP_per_Capita]]*100)/2</f>
        <v>51.393500000000003</v>
      </c>
      <c r="H248">
        <v>0.99495999999999996</v>
      </c>
      <c r="I248">
        <f>(Master[[#This Row],[Family]]*100)/2</f>
        <v>49.747999999999998</v>
      </c>
      <c r="J248">
        <v>0.57669000000000004</v>
      </c>
      <c r="K248">
        <f>(Master[[#This Row],[Health_Life_Expectancy]]*100)/2</f>
        <v>28.834500000000002</v>
      </c>
      <c r="L248" s="3">
        <v>0.52259</v>
      </c>
      <c r="M248" s="3">
        <v>0.12372</v>
      </c>
      <c r="N248" s="3">
        <v>0.21285999999999999</v>
      </c>
    </row>
    <row r="249" spans="1:14" x14ac:dyDescent="0.25">
      <c r="A249">
        <v>2016</v>
      </c>
      <c r="B249" t="s">
        <v>105</v>
      </c>
      <c r="C249">
        <v>90</v>
      </c>
      <c r="D249">
        <v>5.1509999999999998</v>
      </c>
      <c r="E249">
        <f>(Master[[#This Row],[Happiness_Score]]*100)/10</f>
        <v>51.510000000000005</v>
      </c>
      <c r="F249">
        <v>0.84057999999999999</v>
      </c>
      <c r="G249">
        <f>(Master[[#This Row],[Economy_GDP_per_Capita]]*100)/2</f>
        <v>42.028999999999996</v>
      </c>
      <c r="H249">
        <v>0.38595000000000002</v>
      </c>
      <c r="I249">
        <f>(Master[[#This Row],[Family]]*100)/2</f>
        <v>19.297499999999999</v>
      </c>
      <c r="J249">
        <v>0.59470999999999996</v>
      </c>
      <c r="K249">
        <f>(Master[[#This Row],[Health_Life_Expectancy]]*100)/2</f>
        <v>29.735499999999998</v>
      </c>
      <c r="L249" s="3">
        <v>0.25646000000000002</v>
      </c>
      <c r="M249" s="3">
        <v>8.4040000000000004E-2</v>
      </c>
      <c r="N249" s="3">
        <v>4.0529999999999997E-2</v>
      </c>
    </row>
    <row r="250" spans="1:14" x14ac:dyDescent="0.25">
      <c r="A250">
        <v>2016</v>
      </c>
      <c r="B250" t="s">
        <v>117</v>
      </c>
      <c r="C250">
        <v>91</v>
      </c>
      <c r="D250">
        <v>5.1449999999999996</v>
      </c>
      <c r="E250">
        <f>(Master[[#This Row],[Happiness_Score]]*100)/10</f>
        <v>51.45</v>
      </c>
      <c r="F250">
        <v>1.24142</v>
      </c>
      <c r="G250">
        <f>(Master[[#This Row],[Economy_GDP_per_Capita]]*100)/2</f>
        <v>62.070999999999998</v>
      </c>
      <c r="H250">
        <v>0.93164000000000002</v>
      </c>
      <c r="I250">
        <f>(Master[[#This Row],[Family]]*100)/2</f>
        <v>46.582000000000001</v>
      </c>
      <c r="J250">
        <v>0.67608000000000001</v>
      </c>
      <c r="K250">
        <f>(Master[[#This Row],[Health_Life_Expectancy]]*100)/2</f>
        <v>33.804000000000002</v>
      </c>
      <c r="L250" s="3">
        <v>0.19769999999999999</v>
      </c>
      <c r="M250" s="3">
        <v>4.4720000000000003E-2</v>
      </c>
      <c r="N250" s="3">
        <v>9.9000000000000005E-2</v>
      </c>
    </row>
    <row r="251" spans="1:14" x14ac:dyDescent="0.25">
      <c r="A251">
        <v>2016</v>
      </c>
      <c r="B251" t="s">
        <v>94</v>
      </c>
      <c r="C251">
        <v>92</v>
      </c>
      <c r="D251">
        <v>5.1319999999999997</v>
      </c>
      <c r="E251">
        <f>(Master[[#This Row],[Happiness_Score]]*100)/10</f>
        <v>51.319999999999993</v>
      </c>
      <c r="F251">
        <v>0.68815999999999999</v>
      </c>
      <c r="G251">
        <f>(Master[[#This Row],[Economy_GDP_per_Capita]]*100)/2</f>
        <v>34.408000000000001</v>
      </c>
      <c r="H251">
        <v>0.26135000000000003</v>
      </c>
      <c r="I251">
        <f>(Master[[#This Row],[Family]]*100)/2</f>
        <v>13.067500000000001</v>
      </c>
      <c r="J251">
        <v>0.40305999999999997</v>
      </c>
      <c r="K251">
        <f>(Master[[#This Row],[Health_Life_Expectancy]]*100)/2</f>
        <v>20.152999999999999</v>
      </c>
      <c r="L251" s="3">
        <v>0.14621999999999999</v>
      </c>
      <c r="M251" s="3">
        <v>0.13880000000000001</v>
      </c>
      <c r="N251" s="3">
        <v>0.31185000000000002</v>
      </c>
    </row>
    <row r="252" spans="1:14" x14ac:dyDescent="0.25">
      <c r="A252">
        <v>2016</v>
      </c>
      <c r="B252" t="s">
        <v>116</v>
      </c>
      <c r="C252">
        <v>93</v>
      </c>
      <c r="D252">
        <v>5.1289999999999996</v>
      </c>
      <c r="E252">
        <f>(Master[[#This Row],[Happiness_Score]]*100)/10</f>
        <v>51.29</v>
      </c>
      <c r="F252">
        <v>1.1226799999999999</v>
      </c>
      <c r="G252">
        <f>(Master[[#This Row],[Economy_GDP_per_Capita]]*100)/2</f>
        <v>56.133999999999993</v>
      </c>
      <c r="H252">
        <v>0.64183999999999997</v>
      </c>
      <c r="I252">
        <f>(Master[[#This Row],[Family]]*100)/2</f>
        <v>32.091999999999999</v>
      </c>
      <c r="J252">
        <v>0.76171</v>
      </c>
      <c r="K252">
        <f>(Master[[#This Row],[Health_Life_Expectancy]]*100)/2</f>
        <v>38.085500000000003</v>
      </c>
      <c r="L252" s="3">
        <v>0.26228000000000001</v>
      </c>
      <c r="M252" s="3">
        <v>3.0609999999999998E-2</v>
      </c>
      <c r="N252" s="3">
        <v>0.23693</v>
      </c>
    </row>
    <row r="253" spans="1:14" x14ac:dyDescent="0.25">
      <c r="A253">
        <v>2016</v>
      </c>
      <c r="B253" t="s">
        <v>101</v>
      </c>
      <c r="C253">
        <v>94</v>
      </c>
      <c r="D253">
        <v>5.1230000000000002</v>
      </c>
      <c r="E253">
        <f>(Master[[#This Row],[Happiness_Score]]*100)/10</f>
        <v>51.230000000000004</v>
      </c>
      <c r="F253">
        <v>1.27607</v>
      </c>
      <c r="G253">
        <f>(Master[[#This Row],[Economy_GDP_per_Capita]]*100)/2</f>
        <v>63.8035</v>
      </c>
      <c r="H253">
        <v>0.94367000000000001</v>
      </c>
      <c r="I253">
        <f>(Master[[#This Row],[Family]]*100)/2</f>
        <v>47.183500000000002</v>
      </c>
      <c r="J253">
        <v>0.79362999999999995</v>
      </c>
      <c r="K253">
        <f>(Master[[#This Row],[Health_Life_Expectancy]]*100)/2</f>
        <v>39.6815</v>
      </c>
      <c r="L253" s="3">
        <v>0.44727</v>
      </c>
      <c r="M253" s="3">
        <v>1.521E-2</v>
      </c>
      <c r="N253" s="3">
        <v>0.11691</v>
      </c>
    </row>
    <row r="254" spans="1:14" x14ac:dyDescent="0.25">
      <c r="A254">
        <v>2016</v>
      </c>
      <c r="B254" t="s">
        <v>106</v>
      </c>
      <c r="C254">
        <v>95</v>
      </c>
      <c r="D254">
        <v>5.1210000000000004</v>
      </c>
      <c r="E254">
        <f>(Master[[#This Row],[Happiness_Score]]*100)/10</f>
        <v>51.21</v>
      </c>
      <c r="F254">
        <v>1.0193000000000001</v>
      </c>
      <c r="G254">
        <f>(Master[[#This Row],[Economy_GDP_per_Capita]]*100)/2</f>
        <v>50.965000000000003</v>
      </c>
      <c r="H254">
        <v>0.78236000000000006</v>
      </c>
      <c r="I254">
        <f>(Master[[#This Row],[Family]]*100)/2</f>
        <v>39.118000000000002</v>
      </c>
      <c r="J254">
        <v>0.64737999999999996</v>
      </c>
      <c r="K254">
        <f>(Master[[#This Row],[Health_Life_Expectancy]]*100)/2</f>
        <v>32.369</v>
      </c>
      <c r="L254" s="3">
        <v>0.27667999999999998</v>
      </c>
      <c r="M254" s="3">
        <v>7.0470000000000005E-2</v>
      </c>
      <c r="N254" s="3">
        <v>0.23507</v>
      </c>
    </row>
    <row r="255" spans="1:14" x14ac:dyDescent="0.25">
      <c r="A255">
        <v>2016</v>
      </c>
      <c r="B255" t="s">
        <v>87</v>
      </c>
      <c r="C255">
        <v>96</v>
      </c>
      <c r="D255">
        <v>5.0609999999999999</v>
      </c>
      <c r="E255">
        <f>(Master[[#This Row],[Happiness_Score]]*100)/10</f>
        <v>50.61</v>
      </c>
      <c r="F255">
        <v>0.74036999999999997</v>
      </c>
      <c r="G255">
        <f>(Master[[#This Row],[Economy_GDP_per_Capita]]*100)/2</f>
        <v>37.018499999999996</v>
      </c>
      <c r="H255">
        <v>0.79117000000000004</v>
      </c>
      <c r="I255">
        <f>(Master[[#This Row],[Family]]*100)/2</f>
        <v>39.558500000000002</v>
      </c>
      <c r="J255">
        <v>0.66156999999999999</v>
      </c>
      <c r="K255">
        <f>(Master[[#This Row],[Health_Life_Expectancy]]*100)/2</f>
        <v>33.078499999999998</v>
      </c>
      <c r="L255" s="3">
        <v>0.55954000000000004</v>
      </c>
      <c r="M255" s="3">
        <v>0.11556</v>
      </c>
      <c r="N255" s="3">
        <v>0.25074999999999997</v>
      </c>
    </row>
    <row r="256" spans="1:14" x14ac:dyDescent="0.25">
      <c r="A256">
        <v>2016</v>
      </c>
      <c r="B256" t="s">
        <v>176</v>
      </c>
      <c r="C256">
        <v>97</v>
      </c>
      <c r="D256">
        <v>5.0570000000000004</v>
      </c>
      <c r="E256">
        <f>(Master[[#This Row],[Happiness_Score]]*100)/10</f>
        <v>50.570000000000007</v>
      </c>
      <c r="F256">
        <v>0.25557999999999997</v>
      </c>
      <c r="G256">
        <f>(Master[[#This Row],[Economy_GDP_per_Capita]]*100)/2</f>
        <v>12.778999999999998</v>
      </c>
      <c r="H256">
        <v>0.75861999999999996</v>
      </c>
      <c r="I256">
        <f>(Master[[#This Row],[Family]]*100)/2</f>
        <v>37.930999999999997</v>
      </c>
      <c r="J256">
        <v>0.33107999999999999</v>
      </c>
      <c r="K256">
        <f>(Master[[#This Row],[Health_Life_Expectancy]]*100)/2</f>
        <v>16.553999999999998</v>
      </c>
      <c r="L256" s="3">
        <v>0.39129999999999998</v>
      </c>
      <c r="M256" s="3">
        <v>0.36793999999999999</v>
      </c>
      <c r="N256" s="3">
        <v>0.51478999999999997</v>
      </c>
    </row>
    <row r="257" spans="1:14" x14ac:dyDescent="0.25">
      <c r="A257">
        <v>2016</v>
      </c>
      <c r="B257" t="s">
        <v>120</v>
      </c>
      <c r="C257">
        <v>98</v>
      </c>
      <c r="D257">
        <v>5.0449999999999999</v>
      </c>
      <c r="E257">
        <f>(Master[[#This Row],[Happiness_Score]]*100)/10</f>
        <v>50.45</v>
      </c>
      <c r="F257">
        <v>0.97724</v>
      </c>
      <c r="G257">
        <f>(Master[[#This Row],[Economy_GDP_per_Capita]]*100)/2</f>
        <v>48.862000000000002</v>
      </c>
      <c r="H257">
        <v>0.43164999999999998</v>
      </c>
      <c r="I257">
        <f>(Master[[#This Row],[Family]]*100)/2</f>
        <v>21.5825</v>
      </c>
      <c r="J257">
        <v>0.59577000000000002</v>
      </c>
      <c r="K257">
        <f>(Master[[#This Row],[Health_Life_Expectancy]]*100)/2</f>
        <v>29.788500000000003</v>
      </c>
      <c r="L257" s="3">
        <v>0.23552999999999999</v>
      </c>
      <c r="M257" s="3">
        <v>8.1699999999999995E-2</v>
      </c>
      <c r="N257" s="3">
        <v>3.9359999999999999E-2</v>
      </c>
    </row>
    <row r="258" spans="1:14" x14ac:dyDescent="0.25">
      <c r="A258">
        <v>2016</v>
      </c>
      <c r="B258" t="s">
        <v>115</v>
      </c>
      <c r="C258">
        <v>99</v>
      </c>
      <c r="D258">
        <v>5.0330000000000004</v>
      </c>
      <c r="E258">
        <f>(Master[[#This Row],[Happiness_Score]]*100)/10</f>
        <v>50.33</v>
      </c>
      <c r="F258">
        <v>1.2488600000000001</v>
      </c>
      <c r="G258">
        <f>(Master[[#This Row],[Economy_GDP_per_Capita]]*100)/2</f>
        <v>62.443000000000005</v>
      </c>
      <c r="H258">
        <v>0.75473000000000001</v>
      </c>
      <c r="I258">
        <f>(Master[[#This Row],[Family]]*100)/2</f>
        <v>37.736499999999999</v>
      </c>
      <c r="J258">
        <v>0.80028999999999995</v>
      </c>
      <c r="K258">
        <f>(Master[[#This Row],[Health_Life_Expectancy]]*100)/2</f>
        <v>40.014499999999998</v>
      </c>
      <c r="L258" s="3">
        <v>5.8220000000000001E-2</v>
      </c>
      <c r="M258" s="3">
        <v>4.1270000000000001E-2</v>
      </c>
      <c r="N258" s="3">
        <v>0</v>
      </c>
    </row>
    <row r="259" spans="1:14" x14ac:dyDescent="0.25">
      <c r="A259">
        <v>2016</v>
      </c>
      <c r="B259" t="s">
        <v>119</v>
      </c>
      <c r="C259">
        <v>100</v>
      </c>
      <c r="D259">
        <v>4.9960000000000004</v>
      </c>
      <c r="E259">
        <f>(Master[[#This Row],[Happiness_Score]]*100)/10</f>
        <v>49.96</v>
      </c>
      <c r="F259">
        <v>0.48835000000000001</v>
      </c>
      <c r="G259">
        <f>(Master[[#This Row],[Economy_GDP_per_Capita]]*100)/2</f>
        <v>24.4175</v>
      </c>
      <c r="H259">
        <v>0.75602000000000003</v>
      </c>
      <c r="I259">
        <f>(Master[[#This Row],[Family]]*100)/2</f>
        <v>37.801000000000002</v>
      </c>
      <c r="J259">
        <v>0.53119000000000005</v>
      </c>
      <c r="K259">
        <f>(Master[[#This Row],[Health_Life_Expectancy]]*100)/2</f>
        <v>26.559500000000003</v>
      </c>
      <c r="L259" s="3">
        <v>0.43408000000000002</v>
      </c>
      <c r="M259" s="3">
        <v>0.13508999999999999</v>
      </c>
      <c r="N259" s="3">
        <v>0.25997999999999999</v>
      </c>
    </row>
    <row r="260" spans="1:14" x14ac:dyDescent="0.25">
      <c r="A260">
        <v>2016</v>
      </c>
      <c r="B260" t="s">
        <v>113</v>
      </c>
      <c r="C260">
        <v>101</v>
      </c>
      <c r="D260">
        <v>4.907</v>
      </c>
      <c r="E260">
        <f>(Master[[#This Row],[Happiness_Score]]*100)/10</f>
        <v>49.07</v>
      </c>
      <c r="F260">
        <v>0.98853000000000002</v>
      </c>
      <c r="G260">
        <f>(Master[[#This Row],[Economy_GDP_per_Capita]]*100)/2</f>
        <v>49.426500000000004</v>
      </c>
      <c r="H260">
        <v>1.0898300000000001</v>
      </c>
      <c r="I260">
        <f>(Master[[#This Row],[Family]]*100)/2</f>
        <v>54.491500000000002</v>
      </c>
      <c r="J260">
        <v>0.55469000000000002</v>
      </c>
      <c r="K260">
        <f>(Master[[#This Row],[Health_Life_Expectancy]]*100)/2</f>
        <v>27.734500000000001</v>
      </c>
      <c r="L260" s="3">
        <v>0.35971999999999998</v>
      </c>
      <c r="M260" s="3">
        <v>3.2849999999999997E-2</v>
      </c>
      <c r="N260" s="3">
        <v>0.34538999999999997</v>
      </c>
    </row>
    <row r="261" spans="1:14" x14ac:dyDescent="0.25">
      <c r="A261">
        <v>2016</v>
      </c>
      <c r="B261" t="s">
        <v>112</v>
      </c>
      <c r="C261">
        <v>102</v>
      </c>
      <c r="D261">
        <v>4.8760000000000003</v>
      </c>
      <c r="E261">
        <f>(Master[[#This Row],[Happiness_Score]]*100)/10</f>
        <v>48.760000000000005</v>
      </c>
      <c r="F261">
        <v>0.68042000000000002</v>
      </c>
      <c r="G261">
        <f>(Master[[#This Row],[Economy_GDP_per_Capita]]*100)/2</f>
        <v>34.021000000000001</v>
      </c>
      <c r="H261">
        <v>0.54969999999999997</v>
      </c>
      <c r="I261">
        <f>(Master[[#This Row],[Family]]*100)/2</f>
        <v>27.484999999999999</v>
      </c>
      <c r="J261">
        <v>0.38290999999999997</v>
      </c>
      <c r="K261">
        <f>(Master[[#This Row],[Health_Life_Expectancy]]*100)/2</f>
        <v>19.145499999999998</v>
      </c>
      <c r="L261" s="3">
        <v>0.52168000000000003</v>
      </c>
      <c r="M261" s="3">
        <v>0.22423000000000001</v>
      </c>
      <c r="N261" s="3">
        <v>0.43079000000000001</v>
      </c>
    </row>
    <row r="262" spans="1:14" x14ac:dyDescent="0.25">
      <c r="A262">
        <v>2016</v>
      </c>
      <c r="B262" t="s">
        <v>90</v>
      </c>
      <c r="C262">
        <v>103</v>
      </c>
      <c r="D262">
        <v>4.875</v>
      </c>
      <c r="E262">
        <f>(Master[[#This Row],[Happiness_Score]]*100)/10</f>
        <v>48.75</v>
      </c>
      <c r="F262">
        <v>0.75216000000000005</v>
      </c>
      <c r="G262">
        <f>(Master[[#This Row],[Economy_GDP_per_Capita]]*100)/2</f>
        <v>37.608000000000004</v>
      </c>
      <c r="H262">
        <v>0.64498</v>
      </c>
      <c r="I262">
        <f>(Master[[#This Row],[Family]]*100)/2</f>
        <v>32.249000000000002</v>
      </c>
      <c r="J262">
        <v>5.108E-2</v>
      </c>
      <c r="K262">
        <f>(Master[[#This Row],[Health_Life_Expectancy]]*100)/2</f>
        <v>2.5539999999999998</v>
      </c>
      <c r="L262" s="3">
        <v>0.27854000000000001</v>
      </c>
      <c r="M262" s="3">
        <v>3.0499999999999999E-2</v>
      </c>
      <c r="N262" s="3">
        <v>0.23219000000000001</v>
      </c>
    </row>
    <row r="263" spans="1:14" x14ac:dyDescent="0.25">
      <c r="A263">
        <v>2016</v>
      </c>
      <c r="B263" t="s">
        <v>118</v>
      </c>
      <c r="C263">
        <v>104</v>
      </c>
      <c r="D263">
        <v>4.8710000000000004</v>
      </c>
      <c r="E263">
        <f>(Master[[#This Row],[Happiness_Score]]*100)/10</f>
        <v>48.71</v>
      </c>
      <c r="F263">
        <v>0.69428999999999996</v>
      </c>
      <c r="G263">
        <f>(Master[[#This Row],[Economy_GDP_per_Capita]]*100)/2</f>
        <v>34.714500000000001</v>
      </c>
      <c r="H263">
        <v>0.75595999999999997</v>
      </c>
      <c r="I263">
        <f>(Master[[#This Row],[Family]]*100)/2</f>
        <v>37.798000000000002</v>
      </c>
      <c r="J263">
        <v>0.58382999999999996</v>
      </c>
      <c r="K263">
        <f>(Master[[#This Row],[Health_Life_Expectancy]]*100)/2</f>
        <v>29.191499999999998</v>
      </c>
      <c r="L263" s="3">
        <v>0.26755000000000001</v>
      </c>
      <c r="M263" s="3">
        <v>6.9059999999999996E-2</v>
      </c>
      <c r="N263" s="3">
        <v>0.2044</v>
      </c>
    </row>
    <row r="264" spans="1:14" x14ac:dyDescent="0.25">
      <c r="A264">
        <v>2016</v>
      </c>
      <c r="B264" t="s">
        <v>123</v>
      </c>
      <c r="C264">
        <v>105</v>
      </c>
      <c r="D264">
        <v>4.8129999999999997</v>
      </c>
      <c r="E264">
        <f>(Master[[#This Row],[Happiness_Score]]*100)/10</f>
        <v>48.129999999999995</v>
      </c>
      <c r="F264">
        <v>1.11758</v>
      </c>
      <c r="G264">
        <f>(Master[[#This Row],[Economy_GDP_per_Capita]]*100)/2</f>
        <v>55.878999999999998</v>
      </c>
      <c r="H264">
        <v>0.38857000000000003</v>
      </c>
      <c r="I264">
        <f>(Master[[#This Row],[Family]]*100)/2</f>
        <v>19.4285</v>
      </c>
      <c r="J264">
        <v>0.64232</v>
      </c>
      <c r="K264">
        <f>(Master[[#This Row],[Health_Life_Expectancy]]*100)/2</f>
        <v>32.116</v>
      </c>
      <c r="L264" s="3">
        <v>0.22544</v>
      </c>
      <c r="M264" s="3">
        <v>5.57E-2</v>
      </c>
      <c r="N264" s="3">
        <v>0.38538</v>
      </c>
    </row>
    <row r="265" spans="1:14" x14ac:dyDescent="0.25">
      <c r="A265">
        <v>2016</v>
      </c>
      <c r="B265" t="s">
        <v>98</v>
      </c>
      <c r="C265">
        <v>106</v>
      </c>
      <c r="D265">
        <v>4.7949999999999999</v>
      </c>
      <c r="E265">
        <f>(Master[[#This Row],[Happiness_Score]]*100)/10</f>
        <v>47.95</v>
      </c>
      <c r="F265">
        <v>0.61202000000000001</v>
      </c>
      <c r="G265">
        <f>(Master[[#This Row],[Economy_GDP_per_Capita]]*100)/2</f>
        <v>30.600999999999999</v>
      </c>
      <c r="H265">
        <v>0.63759999999999994</v>
      </c>
      <c r="I265">
        <f>(Master[[#This Row],[Family]]*100)/2</f>
        <v>31.879999999999995</v>
      </c>
      <c r="J265">
        <v>0.23573</v>
      </c>
      <c r="K265">
        <f>(Master[[#This Row],[Health_Life_Expectancy]]*100)/2</f>
        <v>11.7865</v>
      </c>
      <c r="L265" s="3">
        <v>0.42662</v>
      </c>
      <c r="M265" s="3">
        <v>0.11479</v>
      </c>
      <c r="N265" s="3">
        <v>0.17866000000000001</v>
      </c>
    </row>
    <row r="266" spans="1:14" x14ac:dyDescent="0.25">
      <c r="A266">
        <v>2016</v>
      </c>
      <c r="B266" t="s">
        <v>134</v>
      </c>
      <c r="C266">
        <v>107</v>
      </c>
      <c r="D266">
        <v>4.7930000000000001</v>
      </c>
      <c r="E266">
        <f>(Master[[#This Row],[Happiness_Score]]*100)/10</f>
        <v>47.93</v>
      </c>
      <c r="F266">
        <v>0.44625999999999999</v>
      </c>
      <c r="G266">
        <f>(Master[[#This Row],[Economy_GDP_per_Capita]]*100)/2</f>
        <v>22.312999999999999</v>
      </c>
      <c r="H266">
        <v>0.69699</v>
      </c>
      <c r="I266">
        <f>(Master[[#This Row],[Family]]*100)/2</f>
        <v>34.849499999999999</v>
      </c>
      <c r="J266">
        <v>0.50073000000000001</v>
      </c>
      <c r="K266">
        <f>(Master[[#This Row],[Health_Life_Expectancy]]*100)/2</f>
        <v>25.0365</v>
      </c>
      <c r="L266" s="3">
        <v>0.37012</v>
      </c>
      <c r="M266" s="3">
        <v>7.0080000000000003E-2</v>
      </c>
      <c r="N266" s="3">
        <v>0.38159999999999999</v>
      </c>
    </row>
    <row r="267" spans="1:14" x14ac:dyDescent="0.25">
      <c r="A267">
        <v>2016</v>
      </c>
      <c r="B267" t="s">
        <v>121</v>
      </c>
      <c r="C267">
        <v>108</v>
      </c>
      <c r="D267">
        <v>4.7539999999999996</v>
      </c>
      <c r="E267">
        <f>(Master[[#This Row],[Happiness_Score]]*100)/10</f>
        <v>47.54</v>
      </c>
      <c r="F267">
        <v>0.67023999999999995</v>
      </c>
      <c r="G267">
        <f>(Master[[#This Row],[Economy_GDP_per_Capita]]*100)/2</f>
        <v>33.512</v>
      </c>
      <c r="H267">
        <v>0.71628999999999998</v>
      </c>
      <c r="I267">
        <f>(Master[[#This Row],[Family]]*100)/2</f>
        <v>35.814500000000002</v>
      </c>
      <c r="J267">
        <v>0.56843999999999995</v>
      </c>
      <c r="K267">
        <f>(Master[[#This Row],[Health_Life_Expectancy]]*100)/2</f>
        <v>28.421999999999997</v>
      </c>
      <c r="L267" s="3">
        <v>0.17743999999999999</v>
      </c>
      <c r="M267" s="3">
        <v>0.10613</v>
      </c>
      <c r="N267" s="3">
        <v>0.11154</v>
      </c>
    </row>
    <row r="268" spans="1:14" x14ac:dyDescent="0.25">
      <c r="A268">
        <v>2016</v>
      </c>
      <c r="B268" t="s">
        <v>108</v>
      </c>
      <c r="C268">
        <v>109</v>
      </c>
      <c r="D268">
        <v>4.6550000000000002</v>
      </c>
      <c r="E268">
        <f>(Master[[#This Row],[Happiness_Score]]*100)/10</f>
        <v>46.55</v>
      </c>
      <c r="F268">
        <v>0.95530000000000004</v>
      </c>
      <c r="G268">
        <f>(Master[[#This Row],[Economy_GDP_per_Capita]]*100)/2</f>
        <v>47.765000000000001</v>
      </c>
      <c r="H268">
        <v>0.50163000000000002</v>
      </c>
      <c r="I268">
        <f>(Master[[#This Row],[Family]]*100)/2</f>
        <v>25.081500000000002</v>
      </c>
      <c r="J268">
        <v>0.73007</v>
      </c>
      <c r="K268">
        <f>(Master[[#This Row],[Health_Life_Expectancy]]*100)/2</f>
        <v>36.503500000000003</v>
      </c>
      <c r="L268" s="3">
        <v>0.31866</v>
      </c>
      <c r="M268" s="3">
        <v>5.3010000000000002E-2</v>
      </c>
      <c r="N268" s="3">
        <v>0.16839999999999999</v>
      </c>
    </row>
    <row r="269" spans="1:14" x14ac:dyDescent="0.25">
      <c r="A269">
        <v>2016</v>
      </c>
      <c r="B269" t="s">
        <v>122</v>
      </c>
      <c r="C269">
        <v>110</v>
      </c>
      <c r="D269">
        <v>4.6429999999999998</v>
      </c>
      <c r="E269">
        <f>(Master[[#This Row],[Happiness_Score]]*100)/10</f>
        <v>46.429999999999993</v>
      </c>
      <c r="F269">
        <v>0.54176999999999997</v>
      </c>
      <c r="G269">
        <f>(Master[[#This Row],[Economy_GDP_per_Capita]]*100)/2</f>
        <v>27.0885</v>
      </c>
      <c r="H269">
        <v>0.24748999999999999</v>
      </c>
      <c r="I269">
        <f>(Master[[#This Row],[Family]]*100)/2</f>
        <v>12.374499999999999</v>
      </c>
      <c r="J269">
        <v>0.52988999999999997</v>
      </c>
      <c r="K269">
        <f>(Master[[#This Row],[Health_Life_Expectancy]]*100)/2</f>
        <v>26.494499999999999</v>
      </c>
      <c r="L269" s="3">
        <v>0.39778000000000002</v>
      </c>
      <c r="M269" s="3">
        <v>0.12583</v>
      </c>
      <c r="N269" s="3">
        <v>0.19131999999999999</v>
      </c>
    </row>
    <row r="270" spans="1:14" x14ac:dyDescent="0.25">
      <c r="A270">
        <v>2016</v>
      </c>
      <c r="B270" t="s">
        <v>136</v>
      </c>
      <c r="C270">
        <v>111</v>
      </c>
      <c r="D270">
        <v>4.6349999999999998</v>
      </c>
      <c r="E270">
        <f>(Master[[#This Row],[Happiness_Score]]*100)/10</f>
        <v>46.35</v>
      </c>
      <c r="F270">
        <v>0.36485000000000001</v>
      </c>
      <c r="G270">
        <f>(Master[[#This Row],[Economy_GDP_per_Capita]]*100)/2</f>
        <v>18.2425</v>
      </c>
      <c r="H270">
        <v>0.628</v>
      </c>
      <c r="I270">
        <f>(Master[[#This Row],[Family]]*100)/2</f>
        <v>31.4</v>
      </c>
      <c r="J270">
        <v>0</v>
      </c>
      <c r="K270">
        <f>(Master[[#This Row],[Health_Life_Expectancy]]*100)/2</f>
        <v>0</v>
      </c>
      <c r="L270" s="3">
        <v>0.30685000000000001</v>
      </c>
      <c r="M270" s="3">
        <v>8.1960000000000005E-2</v>
      </c>
      <c r="N270" s="3">
        <v>0.23896999999999999</v>
      </c>
    </row>
    <row r="271" spans="1:14" x14ac:dyDescent="0.25">
      <c r="A271">
        <v>2016</v>
      </c>
      <c r="B271" t="s">
        <v>125</v>
      </c>
      <c r="C271">
        <v>112</v>
      </c>
      <c r="D271">
        <v>4.5750000000000002</v>
      </c>
      <c r="E271">
        <f>(Master[[#This Row],[Happiness_Score]]*100)/10</f>
        <v>45.75</v>
      </c>
      <c r="F271">
        <v>1.07474</v>
      </c>
      <c r="G271">
        <f>(Master[[#This Row],[Economy_GDP_per_Capita]]*100)/2</f>
        <v>53.737000000000002</v>
      </c>
      <c r="H271">
        <v>0.59204999999999997</v>
      </c>
      <c r="I271">
        <f>(Master[[#This Row],[Family]]*100)/2</f>
        <v>29.602499999999999</v>
      </c>
      <c r="J271">
        <v>0.51075999999999999</v>
      </c>
      <c r="K271">
        <f>(Master[[#This Row],[Health_Life_Expectancy]]*100)/2</f>
        <v>25.538</v>
      </c>
      <c r="L271" s="3">
        <v>0.24856</v>
      </c>
      <c r="M271" s="3">
        <v>0.13636000000000001</v>
      </c>
      <c r="N271" s="3">
        <v>0.19589000000000001</v>
      </c>
    </row>
    <row r="272" spans="1:14" x14ac:dyDescent="0.25">
      <c r="A272">
        <v>2016</v>
      </c>
      <c r="B272" t="s">
        <v>177</v>
      </c>
      <c r="C272">
        <v>113</v>
      </c>
      <c r="D272">
        <v>4.5739999999999998</v>
      </c>
      <c r="E272">
        <f>(Master[[#This Row],[Happiness_Score]]*100)/10</f>
        <v>45.739999999999995</v>
      </c>
      <c r="F272">
        <v>0.93286999999999998</v>
      </c>
      <c r="G272">
        <f>(Master[[#This Row],[Economy_GDP_per_Capita]]*100)/2</f>
        <v>46.643499999999996</v>
      </c>
      <c r="H272">
        <v>0.70362000000000002</v>
      </c>
      <c r="I272">
        <f>(Master[[#This Row],[Family]]*100)/2</f>
        <v>35.181000000000004</v>
      </c>
      <c r="J272">
        <v>0.34744999999999998</v>
      </c>
      <c r="K272">
        <f>(Master[[#This Row],[Health_Life_Expectancy]]*100)/2</f>
        <v>17.372499999999999</v>
      </c>
      <c r="L272" s="3">
        <v>0.48614000000000002</v>
      </c>
      <c r="M272" s="3">
        <v>0.10398</v>
      </c>
      <c r="N272" s="3">
        <v>7.7950000000000005E-2</v>
      </c>
    </row>
    <row r="273" spans="1:14" x14ac:dyDescent="0.25">
      <c r="A273">
        <v>2016</v>
      </c>
      <c r="B273" t="s">
        <v>146</v>
      </c>
      <c r="C273">
        <v>114</v>
      </c>
      <c r="D273">
        <v>4.5129999999999999</v>
      </c>
      <c r="E273">
        <f>(Master[[#This Row],[Happiness_Score]]*100)/10</f>
        <v>45.13</v>
      </c>
      <c r="F273">
        <v>0.52497000000000005</v>
      </c>
      <c r="G273">
        <f>(Master[[#This Row],[Economy_GDP_per_Capita]]*100)/2</f>
        <v>26.248500000000003</v>
      </c>
      <c r="H273">
        <v>0.62541999999999998</v>
      </c>
      <c r="I273">
        <f>(Master[[#This Row],[Family]]*100)/2</f>
        <v>31.270999999999997</v>
      </c>
      <c r="J273">
        <v>0.12698000000000001</v>
      </c>
      <c r="K273">
        <f>(Master[[#This Row],[Health_Life_Expectancy]]*100)/2</f>
        <v>6.3490000000000002</v>
      </c>
      <c r="L273" s="3">
        <v>0.42736000000000002</v>
      </c>
      <c r="M273" s="3">
        <v>6.1260000000000002E-2</v>
      </c>
      <c r="N273" s="3">
        <v>0.2268</v>
      </c>
    </row>
    <row r="274" spans="1:14" x14ac:dyDescent="0.25">
      <c r="A274">
        <v>2016</v>
      </c>
      <c r="B274" t="s">
        <v>135</v>
      </c>
      <c r="C274">
        <v>115</v>
      </c>
      <c r="D274">
        <v>4.508</v>
      </c>
      <c r="E274">
        <f>(Master[[#This Row],[Happiness_Score]]*100)/10</f>
        <v>45.08</v>
      </c>
      <c r="F274">
        <v>0.29282999999999998</v>
      </c>
      <c r="G274">
        <f>(Master[[#This Row],[Economy_GDP_per_Capita]]*100)/2</f>
        <v>14.641499999999999</v>
      </c>
      <c r="H274">
        <v>0.37931999999999999</v>
      </c>
      <c r="I274">
        <f>(Master[[#This Row],[Family]]*100)/2</f>
        <v>18.966000000000001</v>
      </c>
      <c r="J274">
        <v>0.34577999999999998</v>
      </c>
      <c r="K274">
        <f>(Master[[#This Row],[Health_Life_Expectancy]]*100)/2</f>
        <v>17.288999999999998</v>
      </c>
      <c r="L274" s="3">
        <v>0.36703000000000002</v>
      </c>
      <c r="M274" s="3">
        <v>0.17169999999999999</v>
      </c>
      <c r="N274" s="3">
        <v>0.29521999999999998</v>
      </c>
    </row>
    <row r="275" spans="1:14" x14ac:dyDescent="0.25">
      <c r="A275">
        <v>2016</v>
      </c>
      <c r="B275" t="s">
        <v>126</v>
      </c>
      <c r="C275">
        <v>116</v>
      </c>
      <c r="D275">
        <v>4.4589999999999996</v>
      </c>
      <c r="E275">
        <f>(Master[[#This Row],[Happiness_Score]]*100)/10</f>
        <v>44.589999999999996</v>
      </c>
      <c r="F275">
        <v>1.02416</v>
      </c>
      <c r="G275">
        <f>(Master[[#This Row],[Economy_GDP_per_Capita]]*100)/2</f>
        <v>51.207999999999998</v>
      </c>
      <c r="H275">
        <v>0.96052999999999999</v>
      </c>
      <c r="I275">
        <f>(Master[[#This Row],[Family]]*100)/2</f>
        <v>48.026499999999999</v>
      </c>
      <c r="J275">
        <v>0.18611</v>
      </c>
      <c r="K275">
        <f>(Master[[#This Row],[Health_Life_Expectancy]]*100)/2</f>
        <v>9.3055000000000003</v>
      </c>
      <c r="L275" s="3">
        <v>0.42482999999999999</v>
      </c>
      <c r="M275" s="3">
        <v>8.4150000000000003E-2</v>
      </c>
      <c r="N275" s="3">
        <v>0.13655999999999999</v>
      </c>
    </row>
    <row r="276" spans="1:14" x14ac:dyDescent="0.25">
      <c r="A276">
        <v>2016</v>
      </c>
      <c r="B276" t="s">
        <v>145</v>
      </c>
      <c r="C276">
        <v>117</v>
      </c>
      <c r="D276">
        <v>4.415</v>
      </c>
      <c r="E276">
        <f>(Master[[#This Row],[Happiness_Score]]*100)/10</f>
        <v>44.15</v>
      </c>
      <c r="F276">
        <v>0.97318000000000005</v>
      </c>
      <c r="G276">
        <f>(Master[[#This Row],[Economy_GDP_per_Capita]]*100)/2</f>
        <v>48.658999999999999</v>
      </c>
      <c r="H276">
        <v>0.84782999999999997</v>
      </c>
      <c r="I276">
        <f>(Master[[#This Row],[Family]]*100)/2</f>
        <v>42.391500000000001</v>
      </c>
      <c r="J276">
        <v>0.62007000000000001</v>
      </c>
      <c r="K276">
        <f>(Master[[#This Row],[Health_Life_Expectancy]]*100)/2</f>
        <v>31.003499999999999</v>
      </c>
      <c r="L276" s="3">
        <v>0.50817000000000001</v>
      </c>
      <c r="M276" s="3">
        <v>7.9640000000000002E-2</v>
      </c>
      <c r="N276" s="3">
        <v>0.46977999999999998</v>
      </c>
    </row>
    <row r="277" spans="1:14" x14ac:dyDescent="0.25">
      <c r="A277">
        <v>2016</v>
      </c>
      <c r="B277" t="s">
        <v>130</v>
      </c>
      <c r="C277">
        <v>118</v>
      </c>
      <c r="D277">
        <v>4.4039999999999999</v>
      </c>
      <c r="E277">
        <f>(Master[[#This Row],[Happiness_Score]]*100)/10</f>
        <v>44.04</v>
      </c>
      <c r="F277">
        <v>0.74036000000000002</v>
      </c>
      <c r="G277">
        <f>(Master[[#This Row],[Economy_GDP_per_Capita]]*100)/2</f>
        <v>37.018000000000001</v>
      </c>
      <c r="H277">
        <v>0.29247000000000001</v>
      </c>
      <c r="I277">
        <f>(Master[[#This Row],[Family]]*100)/2</f>
        <v>14.6235</v>
      </c>
      <c r="J277">
        <v>0.45090999999999998</v>
      </c>
      <c r="K277">
        <f>(Master[[#This Row],[Health_Life_Expectancy]]*100)/2</f>
        <v>22.545500000000001</v>
      </c>
      <c r="L277" s="3">
        <v>0.40284999999999999</v>
      </c>
      <c r="M277" s="3">
        <v>8.7220000000000006E-2</v>
      </c>
      <c r="N277" s="3">
        <v>0.25028</v>
      </c>
    </row>
    <row r="278" spans="1:14" x14ac:dyDescent="0.25">
      <c r="A278">
        <v>2016</v>
      </c>
      <c r="B278" t="s">
        <v>142</v>
      </c>
      <c r="C278">
        <v>119</v>
      </c>
      <c r="D278">
        <v>4.3949999999999996</v>
      </c>
      <c r="E278">
        <f>(Master[[#This Row],[Happiness_Score]]*100)/10</f>
        <v>43.949999999999996</v>
      </c>
      <c r="F278">
        <v>0.34111999999999998</v>
      </c>
      <c r="G278">
        <f>(Master[[#This Row],[Economy_GDP_per_Capita]]*100)/2</f>
        <v>17.055999999999997</v>
      </c>
      <c r="H278">
        <v>0.69981000000000004</v>
      </c>
      <c r="I278">
        <f>(Master[[#This Row],[Family]]*100)/2</f>
        <v>34.990500000000004</v>
      </c>
      <c r="J278">
        <v>0.39879999999999999</v>
      </c>
      <c r="K278">
        <f>(Master[[#This Row],[Health_Life_Expectancy]]*100)/2</f>
        <v>19.939999999999998</v>
      </c>
      <c r="L278" s="3">
        <v>0.42692000000000002</v>
      </c>
      <c r="M278" s="3">
        <v>0.20243</v>
      </c>
      <c r="N278" s="3">
        <v>0.81971000000000005</v>
      </c>
    </row>
    <row r="279" spans="1:14" x14ac:dyDescent="0.25">
      <c r="A279">
        <v>2016</v>
      </c>
      <c r="B279" t="s">
        <v>148</v>
      </c>
      <c r="C279">
        <v>120</v>
      </c>
      <c r="D279">
        <v>4.3620000000000001</v>
      </c>
      <c r="E279">
        <f>(Master[[#This Row],[Happiness_Score]]*100)/10</f>
        <v>43.62</v>
      </c>
      <c r="F279">
        <v>0.95394999999999996</v>
      </c>
      <c r="G279">
        <f>(Master[[#This Row],[Economy_GDP_per_Capita]]*100)/2</f>
        <v>47.697499999999998</v>
      </c>
      <c r="H279">
        <v>0.49813000000000002</v>
      </c>
      <c r="I279">
        <f>(Master[[#This Row],[Family]]*100)/2</f>
        <v>24.906500000000001</v>
      </c>
      <c r="J279">
        <v>0.52115999999999996</v>
      </c>
      <c r="K279">
        <f>(Master[[#This Row],[Health_Life_Expectancy]]*100)/2</f>
        <v>26.057999999999996</v>
      </c>
      <c r="L279" s="3">
        <v>0.18847</v>
      </c>
      <c r="M279" s="3">
        <v>0.10392999999999999</v>
      </c>
      <c r="N279" s="3">
        <v>0.12706000000000001</v>
      </c>
    </row>
    <row r="280" spans="1:14" x14ac:dyDescent="0.25">
      <c r="A280">
        <v>2016</v>
      </c>
      <c r="B280" t="s">
        <v>140</v>
      </c>
      <c r="C280">
        <v>121</v>
      </c>
      <c r="D280">
        <v>4.3600000000000003</v>
      </c>
      <c r="E280">
        <f>(Master[[#This Row],[Happiness_Score]]*100)/10</f>
        <v>43.600000000000009</v>
      </c>
      <c r="F280">
        <v>0.86085999999999996</v>
      </c>
      <c r="G280">
        <f>(Master[[#This Row],[Economy_GDP_per_Capita]]*100)/2</f>
        <v>43.042999999999999</v>
      </c>
      <c r="H280">
        <v>0.62477000000000005</v>
      </c>
      <c r="I280">
        <f>(Master[[#This Row],[Family]]*100)/2</f>
        <v>31.238500000000002</v>
      </c>
      <c r="J280">
        <v>0.64083000000000001</v>
      </c>
      <c r="K280">
        <f>(Master[[#This Row],[Health_Life_Expectancy]]*100)/2</f>
        <v>32.041499999999999</v>
      </c>
      <c r="L280" s="3">
        <v>0.14036999999999999</v>
      </c>
      <c r="M280" s="3">
        <v>3.6159999999999998E-2</v>
      </c>
      <c r="N280" s="3">
        <v>7.7929999999999999E-2</v>
      </c>
    </row>
    <row r="281" spans="1:14" x14ac:dyDescent="0.25">
      <c r="A281">
        <v>2016</v>
      </c>
      <c r="B281" t="s">
        <v>138</v>
      </c>
      <c r="C281">
        <v>122</v>
      </c>
      <c r="D281">
        <v>4.3559999999999999</v>
      </c>
      <c r="E281">
        <f>(Master[[#This Row],[Happiness_Score]]*100)/10</f>
        <v>43.559999999999995</v>
      </c>
      <c r="F281">
        <v>0.52266999999999997</v>
      </c>
      <c r="G281">
        <f>(Master[[#This Row],[Economy_GDP_per_Capita]]*100)/2</f>
        <v>26.133499999999998</v>
      </c>
      <c r="H281">
        <v>0.76239999999999997</v>
      </c>
      <c r="I281">
        <f>(Master[[#This Row],[Family]]*100)/2</f>
        <v>38.119999999999997</v>
      </c>
      <c r="J281">
        <v>0.30147000000000002</v>
      </c>
      <c r="K281">
        <f>(Master[[#This Row],[Health_Life_Expectancy]]*100)/2</f>
        <v>15.073500000000001</v>
      </c>
      <c r="L281" s="3">
        <v>0.40576000000000001</v>
      </c>
      <c r="M281" s="3">
        <v>6.6860000000000003E-2</v>
      </c>
      <c r="N281" s="3">
        <v>0.41327999999999998</v>
      </c>
    </row>
    <row r="282" spans="1:14" x14ac:dyDescent="0.25">
      <c r="A282">
        <v>2016</v>
      </c>
      <c r="B282" t="s">
        <v>124</v>
      </c>
      <c r="C282">
        <v>123</v>
      </c>
      <c r="D282">
        <v>4.3239999999999998</v>
      </c>
      <c r="E282">
        <f>(Master[[#This Row],[Happiness_Score]]*100)/10</f>
        <v>43.239999999999995</v>
      </c>
      <c r="F282">
        <v>0.87287000000000003</v>
      </c>
      <c r="G282">
        <f>(Master[[#This Row],[Economy_GDP_per_Capita]]*100)/2</f>
        <v>43.643500000000003</v>
      </c>
      <c r="H282">
        <v>1.01413</v>
      </c>
      <c r="I282">
        <f>(Master[[#This Row],[Family]]*100)/2</f>
        <v>50.706499999999998</v>
      </c>
      <c r="J282">
        <v>0.58628000000000002</v>
      </c>
      <c r="K282">
        <f>(Master[[#This Row],[Health_Life_Expectancy]]*100)/2</f>
        <v>29.314</v>
      </c>
      <c r="L282" s="3">
        <v>0.12859000000000001</v>
      </c>
      <c r="M282" s="3">
        <v>1.8290000000000001E-2</v>
      </c>
      <c r="N282" s="3">
        <v>0.20363000000000001</v>
      </c>
    </row>
    <row r="283" spans="1:14" x14ac:dyDescent="0.25">
      <c r="A283">
        <v>2016</v>
      </c>
      <c r="B283" t="s">
        <v>127</v>
      </c>
      <c r="C283">
        <v>124</v>
      </c>
      <c r="D283">
        <v>4.2759999999999998</v>
      </c>
      <c r="E283">
        <f>(Master[[#This Row],[Happiness_Score]]*100)/10</f>
        <v>42.76</v>
      </c>
      <c r="F283">
        <v>0.63107000000000002</v>
      </c>
      <c r="G283">
        <f>(Master[[#This Row],[Economy_GDP_per_Capita]]*100)/2</f>
        <v>31.5535</v>
      </c>
      <c r="H283">
        <v>0.49353000000000002</v>
      </c>
      <c r="I283">
        <f>(Master[[#This Row],[Family]]*100)/2</f>
        <v>24.676500000000001</v>
      </c>
      <c r="J283">
        <v>0.29681000000000002</v>
      </c>
      <c r="K283">
        <f>(Master[[#This Row],[Health_Life_Expectancy]]*100)/2</f>
        <v>14.8405</v>
      </c>
      <c r="L283" s="3">
        <v>0.40972999999999998</v>
      </c>
      <c r="M283" s="3">
        <v>3.2599999999999997E-2</v>
      </c>
      <c r="N283" s="3">
        <v>0.21203</v>
      </c>
    </row>
    <row r="284" spans="1:14" x14ac:dyDescent="0.25">
      <c r="A284">
        <v>2016</v>
      </c>
      <c r="B284" t="s">
        <v>133</v>
      </c>
      <c r="C284">
        <v>125</v>
      </c>
      <c r="D284">
        <v>4.2720000000000002</v>
      </c>
      <c r="E284">
        <f>(Master[[#This Row],[Happiness_Score]]*100)/10</f>
        <v>42.720000000000006</v>
      </c>
      <c r="F284">
        <v>5.6610000000000001E-2</v>
      </c>
      <c r="G284">
        <f>(Master[[#This Row],[Economy_GDP_per_Capita]]*100)/2</f>
        <v>2.8305000000000002</v>
      </c>
      <c r="H284">
        <v>0.80676000000000003</v>
      </c>
      <c r="I284">
        <f>(Master[[#This Row],[Family]]*100)/2</f>
        <v>40.338000000000001</v>
      </c>
      <c r="J284">
        <v>0.188</v>
      </c>
      <c r="K284">
        <f>(Master[[#This Row],[Health_Life_Expectancy]]*100)/2</f>
        <v>9.4</v>
      </c>
      <c r="L284" s="3">
        <v>0.15601999999999999</v>
      </c>
      <c r="M284" s="3">
        <v>6.0749999999999998E-2</v>
      </c>
      <c r="N284" s="3">
        <v>0.25457999999999997</v>
      </c>
    </row>
    <row r="285" spans="1:14" x14ac:dyDescent="0.25">
      <c r="A285">
        <v>2016</v>
      </c>
      <c r="B285" t="s">
        <v>143</v>
      </c>
      <c r="C285">
        <v>126</v>
      </c>
      <c r="D285">
        <v>4.2519999999999998</v>
      </c>
      <c r="E285">
        <f>(Master[[#This Row],[Happiness_Score]]*100)/10</f>
        <v>42.519999999999996</v>
      </c>
      <c r="F285">
        <v>0.83792</v>
      </c>
      <c r="G285">
        <f>(Master[[#This Row],[Economy_GDP_per_Capita]]*100)/2</f>
        <v>41.896000000000001</v>
      </c>
      <c r="H285">
        <v>0.19248999999999999</v>
      </c>
      <c r="I285">
        <f>(Master[[#This Row],[Family]]*100)/2</f>
        <v>9.6244999999999994</v>
      </c>
      <c r="J285">
        <v>0.64034999999999997</v>
      </c>
      <c r="K285">
        <f>(Master[[#This Row],[Health_Life_Expectancy]]*100)/2</f>
        <v>32.017499999999998</v>
      </c>
      <c r="L285" s="3">
        <v>0.32461000000000001</v>
      </c>
      <c r="M285" s="3">
        <v>0.31879999999999997</v>
      </c>
      <c r="N285" s="3">
        <v>6.7860000000000004E-2</v>
      </c>
    </row>
    <row r="286" spans="1:14" x14ac:dyDescent="0.25">
      <c r="A286">
        <v>2016</v>
      </c>
      <c r="B286" t="s">
        <v>152</v>
      </c>
      <c r="C286">
        <v>127</v>
      </c>
      <c r="D286">
        <v>4.2359999999999998</v>
      </c>
      <c r="E286">
        <f>(Master[[#This Row],[Happiness_Score]]*100)/10</f>
        <v>42.36</v>
      </c>
      <c r="F286">
        <v>0.77109000000000005</v>
      </c>
      <c r="G286">
        <f>(Master[[#This Row],[Economy_GDP_per_Capita]]*100)/2</f>
        <v>38.554500000000004</v>
      </c>
      <c r="H286">
        <v>0.47799000000000003</v>
      </c>
      <c r="I286">
        <f>(Master[[#This Row],[Family]]*100)/2</f>
        <v>23.8995</v>
      </c>
      <c r="J286">
        <v>0.28211999999999998</v>
      </c>
      <c r="K286">
        <f>(Master[[#This Row],[Health_Life_Expectancy]]*100)/2</f>
        <v>14.106</v>
      </c>
      <c r="L286" s="3">
        <v>0.37938</v>
      </c>
      <c r="M286" s="3">
        <v>9.7530000000000006E-2</v>
      </c>
      <c r="N286" s="3">
        <v>0.12077</v>
      </c>
    </row>
    <row r="287" spans="1:14" x14ac:dyDescent="0.25">
      <c r="A287">
        <v>2016</v>
      </c>
      <c r="B287" t="s">
        <v>155</v>
      </c>
      <c r="C287">
        <v>128</v>
      </c>
      <c r="D287">
        <v>4.2190000000000003</v>
      </c>
      <c r="E287">
        <f>(Master[[#This Row],[Happiness_Score]]*100)/10</f>
        <v>42.190000000000005</v>
      </c>
      <c r="F287">
        <v>0.44313999999999998</v>
      </c>
      <c r="G287">
        <f>(Master[[#This Row],[Economy_GDP_per_Capita]]*100)/2</f>
        <v>22.157</v>
      </c>
      <c r="H287">
        <v>0.77415999999999996</v>
      </c>
      <c r="I287">
        <f>(Master[[#This Row],[Family]]*100)/2</f>
        <v>38.707999999999998</v>
      </c>
      <c r="J287">
        <v>0.40456999999999999</v>
      </c>
      <c r="K287">
        <f>(Master[[#This Row],[Health_Life_Expectancy]]*100)/2</f>
        <v>20.2285</v>
      </c>
      <c r="L287" s="3">
        <v>0.31056</v>
      </c>
      <c r="M287" s="3">
        <v>0.11681</v>
      </c>
      <c r="N287" s="3">
        <v>0.19103000000000001</v>
      </c>
    </row>
    <row r="288" spans="1:14" x14ac:dyDescent="0.25">
      <c r="A288">
        <v>2016</v>
      </c>
      <c r="B288" t="s">
        <v>147</v>
      </c>
      <c r="C288">
        <v>129</v>
      </c>
      <c r="D288">
        <v>4.2169999999999996</v>
      </c>
      <c r="E288">
        <f>(Master[[#This Row],[Happiness_Score]]*100)/10</f>
        <v>42.17</v>
      </c>
      <c r="F288">
        <v>1.1130599999999999</v>
      </c>
      <c r="G288">
        <f>(Master[[#This Row],[Economy_GDP_per_Capita]]*100)/2</f>
        <v>55.652999999999999</v>
      </c>
      <c r="H288">
        <v>0.92542000000000002</v>
      </c>
      <c r="I288">
        <f>(Master[[#This Row],[Family]]*100)/2</f>
        <v>46.271000000000001</v>
      </c>
      <c r="J288">
        <v>0.67806</v>
      </c>
      <c r="K288">
        <f>(Master[[#This Row],[Health_Life_Expectancy]]*100)/2</f>
        <v>33.902999999999999</v>
      </c>
      <c r="L288" s="3">
        <v>0.21218999999999999</v>
      </c>
      <c r="M288" s="3">
        <v>6.1500000000000001E-3</v>
      </c>
      <c r="N288" s="3">
        <v>0.12792999999999999</v>
      </c>
    </row>
    <row r="289" spans="1:14" x14ac:dyDescent="0.25">
      <c r="A289">
        <v>2016</v>
      </c>
      <c r="B289" t="s">
        <v>137</v>
      </c>
      <c r="C289">
        <v>130</v>
      </c>
      <c r="D289">
        <v>4.2009999999999996</v>
      </c>
      <c r="E289">
        <f>(Master[[#This Row],[Happiness_Score]]*100)/10</f>
        <v>42.01</v>
      </c>
      <c r="F289">
        <v>0.61390999999999996</v>
      </c>
      <c r="G289">
        <f>(Master[[#This Row],[Economy_GDP_per_Capita]]*100)/2</f>
        <v>30.695499999999999</v>
      </c>
      <c r="H289">
        <v>0.84141999999999995</v>
      </c>
      <c r="I289">
        <f>(Master[[#This Row],[Family]]*100)/2</f>
        <v>42.070999999999998</v>
      </c>
      <c r="J289">
        <v>0.28638999999999998</v>
      </c>
      <c r="K289">
        <f>(Master[[#This Row],[Health_Life_Expectancy]]*100)/2</f>
        <v>14.3195</v>
      </c>
      <c r="L289" s="3">
        <v>0.1268</v>
      </c>
      <c r="M289" s="3">
        <v>0.17954999999999999</v>
      </c>
      <c r="N289" s="3">
        <v>0.22686000000000001</v>
      </c>
    </row>
    <row r="290" spans="1:14" x14ac:dyDescent="0.25">
      <c r="A290">
        <v>2016</v>
      </c>
      <c r="B290" t="s">
        <v>128</v>
      </c>
      <c r="C290">
        <v>131</v>
      </c>
      <c r="D290">
        <v>4.1929999999999996</v>
      </c>
      <c r="E290">
        <f>(Master[[#This Row],[Happiness_Score]]*100)/10</f>
        <v>41.929999999999993</v>
      </c>
      <c r="F290">
        <v>0.35041</v>
      </c>
      <c r="G290">
        <f>(Master[[#This Row],[Economy_GDP_per_Capita]]*100)/2</f>
        <v>17.520499999999998</v>
      </c>
      <c r="H290">
        <v>0.71477999999999997</v>
      </c>
      <c r="I290">
        <f>(Master[[#This Row],[Family]]*100)/2</f>
        <v>35.738999999999997</v>
      </c>
      <c r="J290">
        <v>0.1595</v>
      </c>
      <c r="K290">
        <f>(Master[[#This Row],[Health_Life_Expectancy]]*100)/2</f>
        <v>7.9750000000000005</v>
      </c>
      <c r="L290" s="3">
        <v>0.25429000000000002</v>
      </c>
      <c r="M290" s="3">
        <v>8.5819999999999994E-2</v>
      </c>
      <c r="N290" s="3">
        <v>0.18503</v>
      </c>
    </row>
    <row r="291" spans="1:14" x14ac:dyDescent="0.25">
      <c r="A291">
        <v>2016</v>
      </c>
      <c r="B291" t="s">
        <v>144</v>
      </c>
      <c r="C291">
        <v>132</v>
      </c>
      <c r="D291">
        <v>4.1559999999999997</v>
      </c>
      <c r="E291">
        <f>(Master[[#This Row],[Happiness_Score]]*100)/10</f>
        <v>41.559999999999995</v>
      </c>
      <c r="F291">
        <v>8.7090000000000001E-2</v>
      </c>
      <c r="G291">
        <f>(Master[[#This Row],[Economy_GDP_per_Capita]]*100)/2</f>
        <v>4.3544999999999998</v>
      </c>
      <c r="H291">
        <v>0.14699999999999999</v>
      </c>
      <c r="I291">
        <f>(Master[[#This Row],[Family]]*100)/2</f>
        <v>7.35</v>
      </c>
      <c r="J291">
        <v>0.29364000000000001</v>
      </c>
      <c r="K291">
        <f>(Master[[#This Row],[Health_Life_Expectancy]]*100)/2</f>
        <v>14.682</v>
      </c>
      <c r="L291" s="3">
        <v>0.4143</v>
      </c>
      <c r="M291" s="3">
        <v>7.5639999999999999E-2</v>
      </c>
      <c r="N291" s="3">
        <v>0.30968000000000001</v>
      </c>
    </row>
    <row r="292" spans="1:14" x14ac:dyDescent="0.25">
      <c r="A292">
        <v>2016</v>
      </c>
      <c r="B292" t="s">
        <v>131</v>
      </c>
      <c r="C292">
        <v>133</v>
      </c>
      <c r="D292">
        <v>4.1390000000000002</v>
      </c>
      <c r="E292">
        <f>(Master[[#This Row],[Happiness_Score]]*100)/10</f>
        <v>41.39</v>
      </c>
      <c r="F292">
        <v>0.63068999999999997</v>
      </c>
      <c r="G292">
        <f>(Master[[#This Row],[Economy_GDP_per_Capita]]*100)/2</f>
        <v>31.534499999999998</v>
      </c>
      <c r="H292">
        <v>0.81928000000000001</v>
      </c>
      <c r="I292">
        <f>(Master[[#This Row],[Family]]*100)/2</f>
        <v>40.963999999999999</v>
      </c>
      <c r="J292">
        <v>0.29759000000000002</v>
      </c>
      <c r="K292">
        <f>(Master[[#This Row],[Health_Life_Expectancy]]*100)/2</f>
        <v>14.8795</v>
      </c>
      <c r="L292" s="3">
        <v>0</v>
      </c>
      <c r="M292" s="3">
        <v>0.10038999999999999</v>
      </c>
      <c r="N292" s="3">
        <v>0.18076999999999999</v>
      </c>
    </row>
    <row r="293" spans="1:14" x14ac:dyDescent="0.25">
      <c r="A293">
        <v>2016</v>
      </c>
      <c r="B293" t="s">
        <v>156</v>
      </c>
      <c r="C293">
        <v>134</v>
      </c>
      <c r="D293">
        <v>4.1210000000000004</v>
      </c>
      <c r="E293">
        <f>(Master[[#This Row],[Happiness_Score]]*100)/10</f>
        <v>41.21</v>
      </c>
      <c r="F293">
        <v>1.1585099999999999</v>
      </c>
      <c r="G293">
        <f>(Master[[#This Row],[Economy_GDP_per_Capita]]*100)/2</f>
        <v>57.9255</v>
      </c>
      <c r="H293">
        <v>0.72367999999999999</v>
      </c>
      <c r="I293">
        <f>(Master[[#This Row],[Family]]*100)/2</f>
        <v>36.183999999999997</v>
      </c>
      <c r="J293">
        <v>0.34939999999999999</v>
      </c>
      <c r="K293">
        <f>(Master[[#This Row],[Health_Life_Expectancy]]*100)/2</f>
        <v>17.47</v>
      </c>
      <c r="L293" s="3">
        <v>0.28098000000000001</v>
      </c>
      <c r="M293" s="3">
        <v>9.3140000000000001E-2</v>
      </c>
      <c r="N293" s="3">
        <v>6.2440000000000002E-2</v>
      </c>
    </row>
    <row r="294" spans="1:14" x14ac:dyDescent="0.25">
      <c r="A294">
        <v>2016</v>
      </c>
      <c r="B294" t="s">
        <v>151</v>
      </c>
      <c r="C294">
        <v>135</v>
      </c>
      <c r="D294">
        <v>4.0730000000000004</v>
      </c>
      <c r="E294">
        <f>(Master[[#This Row],[Happiness_Score]]*100)/10</f>
        <v>40.730000000000004</v>
      </c>
      <c r="F294">
        <v>0.31291999999999998</v>
      </c>
      <c r="G294">
        <f>(Master[[#This Row],[Economy_GDP_per_Capita]]*100)/2</f>
        <v>15.645999999999999</v>
      </c>
      <c r="H294">
        <v>0.86333000000000004</v>
      </c>
      <c r="I294">
        <f>(Master[[#This Row],[Family]]*100)/2</f>
        <v>43.166499999999999</v>
      </c>
      <c r="J294">
        <v>0.16347</v>
      </c>
      <c r="K294">
        <f>(Master[[#This Row],[Health_Life_Expectancy]]*100)/2</f>
        <v>8.1735000000000007</v>
      </c>
      <c r="L294" s="3">
        <v>0.27544000000000002</v>
      </c>
      <c r="M294" s="3">
        <v>0.13647000000000001</v>
      </c>
      <c r="N294" s="3">
        <v>0.21063999999999999</v>
      </c>
    </row>
    <row r="295" spans="1:14" x14ac:dyDescent="0.25">
      <c r="A295">
        <v>2016</v>
      </c>
      <c r="B295" t="s">
        <v>132</v>
      </c>
      <c r="C295">
        <v>136</v>
      </c>
      <c r="D295">
        <v>4.0279999999999996</v>
      </c>
      <c r="E295">
        <f>(Master[[#This Row],[Happiness_Score]]*100)/10</f>
        <v>40.279999999999994</v>
      </c>
      <c r="F295">
        <v>0.34097</v>
      </c>
      <c r="G295">
        <f>(Master[[#This Row],[Economy_GDP_per_Capita]]*100)/2</f>
        <v>17.048500000000001</v>
      </c>
      <c r="H295">
        <v>0.29560999999999998</v>
      </c>
      <c r="I295">
        <f>(Master[[#This Row],[Family]]*100)/2</f>
        <v>14.7805</v>
      </c>
      <c r="J295">
        <v>0.27494000000000002</v>
      </c>
      <c r="K295">
        <f>(Master[[#This Row],[Health_Life_Expectancy]]*100)/2</f>
        <v>13.747000000000002</v>
      </c>
      <c r="L295" s="3">
        <v>0.12071999999999999</v>
      </c>
      <c r="M295" s="3">
        <v>0.14476</v>
      </c>
      <c r="N295" s="3">
        <v>0.47958000000000001</v>
      </c>
    </row>
    <row r="296" spans="1:14" x14ac:dyDescent="0.25">
      <c r="A296">
        <v>2016</v>
      </c>
      <c r="B296" t="s">
        <v>141</v>
      </c>
      <c r="C296">
        <v>137</v>
      </c>
      <c r="D296">
        <v>3.9740000000000002</v>
      </c>
      <c r="E296">
        <f>(Master[[#This Row],[Happiness_Score]]*100)/10</f>
        <v>39.74</v>
      </c>
      <c r="F296">
        <v>1.09426</v>
      </c>
      <c r="G296">
        <f>(Master[[#This Row],[Economy_GDP_per_Capita]]*100)/2</f>
        <v>54.713000000000001</v>
      </c>
      <c r="H296">
        <v>0.89185999999999999</v>
      </c>
      <c r="I296">
        <f>(Master[[#This Row],[Family]]*100)/2</f>
        <v>44.592999999999996</v>
      </c>
      <c r="J296">
        <v>0.34752</v>
      </c>
      <c r="K296">
        <f>(Master[[#This Row],[Health_Life_Expectancy]]*100)/2</f>
        <v>17.376000000000001</v>
      </c>
      <c r="L296" s="3">
        <v>0.44089</v>
      </c>
      <c r="M296" s="3">
        <v>0.10768999999999999</v>
      </c>
      <c r="N296" s="3">
        <v>0.12425</v>
      </c>
    </row>
    <row r="297" spans="1:14" x14ac:dyDescent="0.25">
      <c r="A297">
        <v>2016</v>
      </c>
      <c r="B297" t="s">
        <v>153</v>
      </c>
      <c r="C297">
        <v>138</v>
      </c>
      <c r="D297">
        <v>3.956</v>
      </c>
      <c r="E297">
        <f>(Master[[#This Row],[Happiness_Score]]*100)/10</f>
        <v>39.56</v>
      </c>
      <c r="F297">
        <v>0.27509</v>
      </c>
      <c r="G297">
        <f>(Master[[#This Row],[Economy_GDP_per_Capita]]*100)/2</f>
        <v>13.7545</v>
      </c>
      <c r="H297">
        <v>0.60323000000000004</v>
      </c>
      <c r="I297">
        <f>(Master[[#This Row],[Family]]*100)/2</f>
        <v>30.161500000000004</v>
      </c>
      <c r="J297">
        <v>0.29981000000000002</v>
      </c>
      <c r="K297">
        <f>(Master[[#This Row],[Health_Life_Expectancy]]*100)/2</f>
        <v>14.990500000000001</v>
      </c>
      <c r="L297" s="3">
        <v>0.15412000000000001</v>
      </c>
      <c r="M297" s="3">
        <v>0.18437000000000001</v>
      </c>
      <c r="N297" s="3">
        <v>0.1827</v>
      </c>
    </row>
    <row r="298" spans="1:14" x14ac:dyDescent="0.25">
      <c r="A298">
        <v>2016</v>
      </c>
      <c r="B298" t="s">
        <v>164</v>
      </c>
      <c r="C298">
        <v>139</v>
      </c>
      <c r="D298">
        <v>3.9159999999999999</v>
      </c>
      <c r="E298">
        <f>(Master[[#This Row],[Happiness_Score]]*100)/10</f>
        <v>39.159999999999997</v>
      </c>
      <c r="F298">
        <v>0.55506999999999995</v>
      </c>
      <c r="G298">
        <f>(Master[[#This Row],[Economy_GDP_per_Capita]]*100)/2</f>
        <v>27.753499999999999</v>
      </c>
      <c r="H298">
        <v>0.57576000000000005</v>
      </c>
      <c r="I298">
        <f>(Master[[#This Row],[Family]]*100)/2</f>
        <v>28.788000000000004</v>
      </c>
      <c r="J298">
        <v>4.4760000000000001E-2</v>
      </c>
      <c r="K298">
        <f>(Master[[#This Row],[Health_Life_Expectancy]]*100)/2</f>
        <v>2.238</v>
      </c>
      <c r="L298" s="3">
        <v>0.40662999999999999</v>
      </c>
      <c r="M298" s="3">
        <v>0.15529999999999999</v>
      </c>
      <c r="N298" s="3">
        <v>0.20338000000000001</v>
      </c>
    </row>
    <row r="299" spans="1:14" x14ac:dyDescent="0.25">
      <c r="A299">
        <v>2016</v>
      </c>
      <c r="B299" t="s">
        <v>158</v>
      </c>
      <c r="C299">
        <v>140</v>
      </c>
      <c r="D299">
        <v>3.907</v>
      </c>
      <c r="E299">
        <f>(Master[[#This Row],[Happiness_Score]]*100)/10</f>
        <v>39.07</v>
      </c>
      <c r="F299">
        <v>0.55603999999999998</v>
      </c>
      <c r="G299">
        <f>(Master[[#This Row],[Economy_GDP_per_Capita]]*100)/2</f>
        <v>27.802</v>
      </c>
      <c r="H299">
        <v>0.53749999999999998</v>
      </c>
      <c r="I299">
        <f>(Master[[#This Row],[Family]]*100)/2</f>
        <v>26.875</v>
      </c>
      <c r="J299">
        <v>0.42493999999999998</v>
      </c>
      <c r="K299">
        <f>(Master[[#This Row],[Health_Life_Expectancy]]*100)/2</f>
        <v>21.247</v>
      </c>
      <c r="L299" s="3">
        <v>0.58852000000000004</v>
      </c>
      <c r="M299" s="3">
        <v>8.0920000000000006E-2</v>
      </c>
      <c r="N299" s="3">
        <v>0.40339000000000003</v>
      </c>
    </row>
    <row r="300" spans="1:14" x14ac:dyDescent="0.25">
      <c r="A300">
        <v>2016</v>
      </c>
      <c r="B300" t="s">
        <v>150</v>
      </c>
      <c r="C300">
        <v>141</v>
      </c>
      <c r="D300">
        <v>3.8660000000000001</v>
      </c>
      <c r="E300">
        <f>(Master[[#This Row],[Happiness_Score]]*100)/10</f>
        <v>38.660000000000004</v>
      </c>
      <c r="F300">
        <v>0.84731000000000001</v>
      </c>
      <c r="G300">
        <f>(Master[[#This Row],[Economy_GDP_per_Capita]]*100)/2</f>
        <v>42.365499999999997</v>
      </c>
      <c r="H300">
        <v>0.66366000000000003</v>
      </c>
      <c r="I300">
        <f>(Master[[#This Row],[Family]]*100)/2</f>
        <v>33.183</v>
      </c>
      <c r="J300">
        <v>4.9910000000000003E-2</v>
      </c>
      <c r="K300">
        <f>(Master[[#This Row],[Health_Life_Expectancy]]*100)/2</f>
        <v>2.4955000000000003</v>
      </c>
      <c r="L300" s="3">
        <v>5.8900000000000003E-3</v>
      </c>
      <c r="M300" s="3">
        <v>8.4339999999999998E-2</v>
      </c>
      <c r="N300" s="3">
        <v>0.12071</v>
      </c>
    </row>
    <row r="301" spans="1:14" x14ac:dyDescent="0.25">
      <c r="A301">
        <v>2016</v>
      </c>
      <c r="B301" t="s">
        <v>157</v>
      </c>
      <c r="C301">
        <v>142</v>
      </c>
      <c r="D301">
        <v>3.8559999999999999</v>
      </c>
      <c r="E301">
        <f>(Master[[#This Row],[Happiness_Score]]*100)/10</f>
        <v>38.559999999999995</v>
      </c>
      <c r="F301">
        <v>0.13270000000000001</v>
      </c>
      <c r="G301">
        <f>(Master[[#This Row],[Economy_GDP_per_Capita]]*100)/2</f>
        <v>6.6350000000000007</v>
      </c>
      <c r="H301">
        <v>0.60529999999999995</v>
      </c>
      <c r="I301">
        <f>(Master[[#This Row],[Family]]*100)/2</f>
        <v>30.264999999999997</v>
      </c>
      <c r="J301">
        <v>0.26162000000000002</v>
      </c>
      <c r="K301">
        <f>(Master[[#This Row],[Health_Life_Expectancy]]*100)/2</f>
        <v>13.081000000000001</v>
      </c>
      <c r="L301" s="3">
        <v>0.38041000000000003</v>
      </c>
      <c r="M301" s="3">
        <v>0.17176</v>
      </c>
      <c r="N301" s="3">
        <v>0.2097</v>
      </c>
    </row>
    <row r="302" spans="1:14" x14ac:dyDescent="0.25">
      <c r="A302">
        <v>2016</v>
      </c>
      <c r="B302" t="s">
        <v>178</v>
      </c>
      <c r="C302">
        <v>143</v>
      </c>
      <c r="D302">
        <v>3.8319999999999999</v>
      </c>
      <c r="E302">
        <f>(Master[[#This Row],[Happiness_Score]]*100)/10</f>
        <v>38.32</v>
      </c>
      <c r="F302">
        <v>0.39394000000000001</v>
      </c>
      <c r="G302">
        <f>(Master[[#This Row],[Economy_GDP_per_Capita]]*100)/2</f>
        <v>19.696999999999999</v>
      </c>
      <c r="H302">
        <v>0.18518999999999999</v>
      </c>
      <c r="I302">
        <f>(Master[[#This Row],[Family]]*100)/2</f>
        <v>9.2594999999999992</v>
      </c>
      <c r="J302">
        <v>0.15781000000000001</v>
      </c>
      <c r="K302">
        <f>(Master[[#This Row],[Health_Life_Expectancy]]*100)/2</f>
        <v>7.8905000000000003</v>
      </c>
      <c r="L302" s="3">
        <v>0.19661999999999999</v>
      </c>
      <c r="M302" s="3">
        <v>0.13014999999999999</v>
      </c>
      <c r="N302" s="3">
        <v>0.25899</v>
      </c>
    </row>
    <row r="303" spans="1:14" x14ac:dyDescent="0.25">
      <c r="A303">
        <v>2016</v>
      </c>
      <c r="B303" t="s">
        <v>162</v>
      </c>
      <c r="C303">
        <v>144</v>
      </c>
      <c r="D303">
        <v>3.7629999999999999</v>
      </c>
      <c r="E303">
        <f>(Master[[#This Row],[Happiness_Score]]*100)/10</f>
        <v>37.630000000000003</v>
      </c>
      <c r="F303">
        <v>0.42214000000000002</v>
      </c>
      <c r="G303">
        <f>(Master[[#This Row],[Economy_GDP_per_Capita]]*100)/2</f>
        <v>21.106999999999999</v>
      </c>
      <c r="H303">
        <v>0.63178000000000001</v>
      </c>
      <c r="I303">
        <f>(Master[[#This Row],[Family]]*100)/2</f>
        <v>31.588999999999999</v>
      </c>
      <c r="J303">
        <v>3.8240000000000003E-2</v>
      </c>
      <c r="K303">
        <f>(Master[[#This Row],[Health_Life_Expectancy]]*100)/2</f>
        <v>1.9120000000000001</v>
      </c>
      <c r="L303" s="3">
        <v>0.12806999999999999</v>
      </c>
      <c r="M303" s="3">
        <v>4.9520000000000002E-2</v>
      </c>
      <c r="N303" s="3">
        <v>0.18667</v>
      </c>
    </row>
    <row r="304" spans="1:14" x14ac:dyDescent="0.25">
      <c r="A304">
        <v>2016</v>
      </c>
      <c r="B304" t="s">
        <v>165</v>
      </c>
      <c r="C304">
        <v>145</v>
      </c>
      <c r="D304">
        <v>3.7389999999999999</v>
      </c>
      <c r="E304">
        <f>(Master[[#This Row],[Happiness_Score]]*100)/10</f>
        <v>37.39</v>
      </c>
      <c r="F304">
        <v>0.31995000000000001</v>
      </c>
      <c r="G304">
        <f>(Master[[#This Row],[Economy_GDP_per_Capita]]*100)/2</f>
        <v>15.9975</v>
      </c>
      <c r="H304">
        <v>0.63053999999999999</v>
      </c>
      <c r="I304">
        <f>(Master[[#This Row],[Family]]*100)/2</f>
        <v>31.527000000000001</v>
      </c>
      <c r="J304">
        <v>0.21296999999999999</v>
      </c>
      <c r="K304">
        <f>(Master[[#This Row],[Health_Life_Expectancy]]*100)/2</f>
        <v>10.6485</v>
      </c>
      <c r="L304" s="3">
        <v>0.3337</v>
      </c>
      <c r="M304" s="3">
        <v>0.12533</v>
      </c>
      <c r="N304" s="3">
        <v>0.24353</v>
      </c>
    </row>
    <row r="305" spans="1:14" x14ac:dyDescent="0.25">
      <c r="A305">
        <v>2016</v>
      </c>
      <c r="B305" t="s">
        <v>154</v>
      </c>
      <c r="C305">
        <v>145</v>
      </c>
      <c r="D305">
        <v>3.7389999999999999</v>
      </c>
      <c r="E305">
        <f>(Master[[#This Row],[Happiness_Score]]*100)/10</f>
        <v>37.39</v>
      </c>
      <c r="F305">
        <v>0.34719</v>
      </c>
      <c r="G305">
        <f>(Master[[#This Row],[Economy_GDP_per_Capita]]*100)/2</f>
        <v>17.359500000000001</v>
      </c>
      <c r="H305">
        <v>0.90981000000000001</v>
      </c>
      <c r="I305">
        <f>(Master[[#This Row],[Family]]*100)/2</f>
        <v>45.490499999999997</v>
      </c>
      <c r="J305">
        <v>0.19625000000000001</v>
      </c>
      <c r="K305">
        <f>(Master[[#This Row],[Health_Life_Expectancy]]*100)/2</f>
        <v>9.8125</v>
      </c>
      <c r="L305" s="3">
        <v>0.43652999999999997</v>
      </c>
      <c r="M305" s="3">
        <v>6.4420000000000005E-2</v>
      </c>
      <c r="N305" s="3">
        <v>0.27101999999999998</v>
      </c>
    </row>
    <row r="306" spans="1:14" x14ac:dyDescent="0.25">
      <c r="A306">
        <v>2016</v>
      </c>
      <c r="B306" t="s">
        <v>149</v>
      </c>
      <c r="C306">
        <v>147</v>
      </c>
      <c r="D306">
        <v>3.7240000000000002</v>
      </c>
      <c r="E306">
        <f>(Master[[#This Row],[Happiness_Score]]*100)/10</f>
        <v>37.24</v>
      </c>
      <c r="F306">
        <v>0.57938999999999996</v>
      </c>
      <c r="G306">
        <f>(Master[[#This Row],[Economy_GDP_per_Capita]]*100)/2</f>
        <v>28.969499999999996</v>
      </c>
      <c r="H306">
        <v>0.47493000000000002</v>
      </c>
      <c r="I306">
        <f>(Master[[#This Row],[Family]]*100)/2</f>
        <v>23.746500000000001</v>
      </c>
      <c r="J306">
        <v>0.31047999999999998</v>
      </c>
      <c r="K306">
        <f>(Master[[#This Row],[Health_Life_Expectancy]]*100)/2</f>
        <v>15.523999999999999</v>
      </c>
      <c r="L306" s="3">
        <v>0.22869999999999999</v>
      </c>
      <c r="M306" s="3">
        <v>5.892E-2</v>
      </c>
      <c r="N306" s="3">
        <v>9.8210000000000006E-2</v>
      </c>
    </row>
    <row r="307" spans="1:14" x14ac:dyDescent="0.25">
      <c r="A307">
        <v>2016</v>
      </c>
      <c r="B307" t="s">
        <v>160</v>
      </c>
      <c r="C307">
        <v>148</v>
      </c>
      <c r="D307">
        <v>3.6949999999999998</v>
      </c>
      <c r="E307">
        <f>(Master[[#This Row],[Happiness_Score]]*100)/10</f>
        <v>36.950000000000003</v>
      </c>
      <c r="F307">
        <v>0.27954000000000001</v>
      </c>
      <c r="G307">
        <f>(Master[[#This Row],[Economy_GDP_per_Capita]]*100)/2</f>
        <v>13.977</v>
      </c>
      <c r="H307">
        <v>0.46115</v>
      </c>
      <c r="I307">
        <f>(Master[[#This Row],[Family]]*100)/2</f>
        <v>23.057500000000001</v>
      </c>
      <c r="J307">
        <v>0.37108999999999998</v>
      </c>
      <c r="K307">
        <f>(Master[[#This Row],[Health_Life_Expectancy]]*100)/2</f>
        <v>18.554499999999997</v>
      </c>
      <c r="L307" s="3">
        <v>0.13683999999999999</v>
      </c>
      <c r="M307" s="3">
        <v>7.5060000000000002E-2</v>
      </c>
      <c r="N307" s="3">
        <v>0.22040000000000001</v>
      </c>
    </row>
    <row r="308" spans="1:14" x14ac:dyDescent="0.25">
      <c r="A308">
        <v>2016</v>
      </c>
      <c r="B308" t="s">
        <v>159</v>
      </c>
      <c r="C308">
        <v>149</v>
      </c>
      <c r="D308">
        <v>3.6659999999999999</v>
      </c>
      <c r="E308">
        <f>(Master[[#This Row],[Happiness_Score]]*100)/10</f>
        <v>36.659999999999997</v>
      </c>
      <c r="F308">
        <v>0.47155000000000002</v>
      </c>
      <c r="G308">
        <f>(Master[[#This Row],[Economy_GDP_per_Capita]]*100)/2</f>
        <v>23.577500000000001</v>
      </c>
      <c r="H308">
        <v>0.77622999999999998</v>
      </c>
      <c r="I308">
        <f>(Master[[#This Row],[Family]]*100)/2</f>
        <v>38.811499999999995</v>
      </c>
      <c r="J308">
        <v>0.35699999999999998</v>
      </c>
      <c r="K308">
        <f>(Master[[#This Row],[Health_Life_Expectancy]]*100)/2</f>
        <v>17.849999999999998</v>
      </c>
      <c r="L308" s="3">
        <v>0.31759999999999999</v>
      </c>
      <c r="M308" s="3">
        <v>5.0990000000000001E-2</v>
      </c>
      <c r="N308" s="3">
        <v>0.31472</v>
      </c>
    </row>
    <row r="309" spans="1:14" x14ac:dyDescent="0.25">
      <c r="A309">
        <v>2016</v>
      </c>
      <c r="B309" t="s">
        <v>129</v>
      </c>
      <c r="C309">
        <v>150</v>
      </c>
      <c r="D309">
        <v>3.6219999999999999</v>
      </c>
      <c r="E309">
        <f>(Master[[#This Row],[Happiness_Score]]*100)/10</f>
        <v>36.22</v>
      </c>
      <c r="F309">
        <v>0.10706</v>
      </c>
      <c r="G309">
        <f>(Master[[#This Row],[Economy_GDP_per_Capita]]*100)/2</f>
        <v>5.3529999999999998</v>
      </c>
      <c r="H309">
        <v>0.50353000000000003</v>
      </c>
      <c r="I309">
        <f>(Master[[#This Row],[Family]]*100)/2</f>
        <v>25.176500000000001</v>
      </c>
      <c r="J309">
        <v>0.23164999999999999</v>
      </c>
      <c r="K309">
        <f>(Master[[#This Row],[Health_Life_Expectancy]]*100)/2</f>
        <v>11.5825</v>
      </c>
      <c r="L309" s="3">
        <v>0.25747999999999999</v>
      </c>
      <c r="M309" s="3">
        <v>4.8520000000000001E-2</v>
      </c>
      <c r="N309" s="3">
        <v>0.24063000000000001</v>
      </c>
    </row>
    <row r="310" spans="1:14" x14ac:dyDescent="0.25">
      <c r="A310">
        <v>2016</v>
      </c>
      <c r="B310" t="s">
        <v>163</v>
      </c>
      <c r="C310">
        <v>151</v>
      </c>
      <c r="D310">
        <v>3.6070000000000002</v>
      </c>
      <c r="E310">
        <f>(Master[[#This Row],[Happiness_Score]]*100)/10</f>
        <v>36.070000000000007</v>
      </c>
      <c r="F310">
        <v>0.22414999999999999</v>
      </c>
      <c r="G310">
        <f>(Master[[#This Row],[Economy_GDP_per_Capita]]*100)/2</f>
        <v>11.2075</v>
      </c>
      <c r="H310">
        <v>0.31090000000000001</v>
      </c>
      <c r="I310">
        <f>(Master[[#This Row],[Family]]*100)/2</f>
        <v>15.545</v>
      </c>
      <c r="J310">
        <v>0.18829000000000001</v>
      </c>
      <c r="K310">
        <f>(Master[[#This Row],[Health_Life_Expectancy]]*100)/2</f>
        <v>9.4145000000000003</v>
      </c>
      <c r="L310" s="3">
        <v>0.30953000000000003</v>
      </c>
      <c r="M310" s="3">
        <v>0.1192</v>
      </c>
      <c r="N310" s="3">
        <v>0.29914000000000002</v>
      </c>
    </row>
    <row r="311" spans="1:14" x14ac:dyDescent="0.25">
      <c r="A311">
        <v>2016</v>
      </c>
      <c r="B311" t="s">
        <v>167</v>
      </c>
      <c r="C311">
        <v>152</v>
      </c>
      <c r="D311">
        <v>3.5150000000000001</v>
      </c>
      <c r="E311">
        <f>(Master[[#This Row],[Happiness_Score]]*100)/10</f>
        <v>35.15</v>
      </c>
      <c r="F311">
        <v>0.32845999999999997</v>
      </c>
      <c r="G311">
        <f>(Master[[#This Row],[Economy_GDP_per_Capita]]*100)/2</f>
        <v>16.422999999999998</v>
      </c>
      <c r="H311">
        <v>0.61585999999999996</v>
      </c>
      <c r="I311">
        <f>(Master[[#This Row],[Family]]*100)/2</f>
        <v>30.792999999999999</v>
      </c>
      <c r="J311">
        <v>0.31864999999999999</v>
      </c>
      <c r="K311">
        <f>(Master[[#This Row],[Health_Life_Expectancy]]*100)/2</f>
        <v>15.932499999999999</v>
      </c>
      <c r="L311" s="3">
        <v>0.54320000000000002</v>
      </c>
      <c r="M311" s="3">
        <v>0.50521000000000005</v>
      </c>
      <c r="N311" s="3">
        <v>0.23552000000000001</v>
      </c>
    </row>
    <row r="312" spans="1:14" x14ac:dyDescent="0.25">
      <c r="A312">
        <v>2016</v>
      </c>
      <c r="B312" t="s">
        <v>168</v>
      </c>
      <c r="C312">
        <v>153</v>
      </c>
      <c r="D312">
        <v>3.484</v>
      </c>
      <c r="E312">
        <f>(Master[[#This Row],[Happiness_Score]]*100)/10</f>
        <v>34.839999999999996</v>
      </c>
      <c r="F312">
        <v>0.39499000000000001</v>
      </c>
      <c r="G312">
        <f>(Master[[#This Row],[Economy_GDP_per_Capita]]*100)/2</f>
        <v>19.749500000000001</v>
      </c>
      <c r="H312">
        <v>0.10419</v>
      </c>
      <c r="I312">
        <f>(Master[[#This Row],[Family]]*100)/2</f>
        <v>5.2095000000000002</v>
      </c>
      <c r="J312">
        <v>0.21027999999999999</v>
      </c>
      <c r="K312">
        <f>(Master[[#This Row],[Health_Life_Expectancy]]*100)/2</f>
        <v>10.513999999999999</v>
      </c>
      <c r="L312" s="3">
        <v>0.39746999999999999</v>
      </c>
      <c r="M312" s="3">
        <v>6.6809999999999994E-2</v>
      </c>
      <c r="N312" s="3">
        <v>0.20180000000000001</v>
      </c>
    </row>
    <row r="313" spans="1:14" x14ac:dyDescent="0.25">
      <c r="A313">
        <v>2016</v>
      </c>
      <c r="B313" t="s">
        <v>166</v>
      </c>
      <c r="C313">
        <v>154</v>
      </c>
      <c r="D313">
        <v>3.36</v>
      </c>
      <c r="E313">
        <f>(Master[[#This Row],[Happiness_Score]]*100)/10</f>
        <v>33.6</v>
      </c>
      <c r="F313">
        <v>0.38227</v>
      </c>
      <c r="G313">
        <f>(Master[[#This Row],[Economy_GDP_per_Capita]]*100)/2</f>
        <v>19.113499999999998</v>
      </c>
      <c r="H313">
        <v>0.11037</v>
      </c>
      <c r="I313">
        <f>(Master[[#This Row],[Family]]*100)/2</f>
        <v>5.5184999999999995</v>
      </c>
      <c r="J313">
        <v>0.17344000000000001</v>
      </c>
      <c r="K313">
        <f>(Master[[#This Row],[Health_Life_Expectancy]]*100)/2</f>
        <v>8.6720000000000006</v>
      </c>
      <c r="L313" s="3">
        <v>0.1643</v>
      </c>
      <c r="M313" s="3">
        <v>7.1120000000000003E-2</v>
      </c>
      <c r="N313" s="3">
        <v>0.31268000000000001</v>
      </c>
    </row>
    <row r="314" spans="1:14" x14ac:dyDescent="0.25">
      <c r="A314">
        <v>2016</v>
      </c>
      <c r="B314" t="s">
        <v>171</v>
      </c>
      <c r="C314">
        <v>155</v>
      </c>
      <c r="D314">
        <v>3.3029999999999999</v>
      </c>
      <c r="E314">
        <f>(Master[[#This Row],[Happiness_Score]]*100)/10</f>
        <v>33.03</v>
      </c>
      <c r="F314">
        <v>0.28122999999999998</v>
      </c>
      <c r="G314">
        <f>(Master[[#This Row],[Economy_GDP_per_Capita]]*100)/2</f>
        <v>14.061499999999999</v>
      </c>
      <c r="H314">
        <v>0</v>
      </c>
      <c r="I314">
        <f>(Master[[#This Row],[Family]]*100)/2</f>
        <v>0</v>
      </c>
      <c r="J314">
        <v>0.24811</v>
      </c>
      <c r="K314">
        <f>(Master[[#This Row],[Health_Life_Expectancy]]*100)/2</f>
        <v>12.4055</v>
      </c>
      <c r="L314" s="3">
        <v>0.34677999999999998</v>
      </c>
      <c r="M314" s="3">
        <v>0.11587</v>
      </c>
      <c r="N314" s="3">
        <v>0.17516999999999999</v>
      </c>
    </row>
    <row r="315" spans="1:14" x14ac:dyDescent="0.25">
      <c r="A315">
        <v>2016</v>
      </c>
      <c r="B315" t="s">
        <v>169</v>
      </c>
      <c r="C315">
        <v>156</v>
      </c>
      <c r="D315">
        <v>3.069</v>
      </c>
      <c r="E315">
        <f>(Master[[#This Row],[Happiness_Score]]*100)/10</f>
        <v>30.689999999999998</v>
      </c>
      <c r="F315">
        <v>0.74719000000000002</v>
      </c>
      <c r="G315">
        <f>(Master[[#This Row],[Economy_GDP_per_Capita]]*100)/2</f>
        <v>37.359500000000004</v>
      </c>
      <c r="H315">
        <v>0.14865999999999999</v>
      </c>
      <c r="I315">
        <f>(Master[[#This Row],[Family]]*100)/2</f>
        <v>7.4329999999999989</v>
      </c>
      <c r="J315">
        <v>0.62994000000000006</v>
      </c>
      <c r="K315">
        <f>(Master[[#This Row],[Health_Life_Expectancy]]*100)/2</f>
        <v>31.497000000000003</v>
      </c>
      <c r="L315" s="3">
        <v>6.9120000000000001E-2</v>
      </c>
      <c r="M315" s="3">
        <v>0.17233000000000001</v>
      </c>
      <c r="N315" s="3">
        <v>0.48397000000000001</v>
      </c>
    </row>
    <row r="316" spans="1:14" x14ac:dyDescent="0.25">
      <c r="A316">
        <v>2016</v>
      </c>
      <c r="B316" t="s">
        <v>170</v>
      </c>
      <c r="C316">
        <v>157</v>
      </c>
      <c r="D316">
        <v>2.9049999999999998</v>
      </c>
      <c r="E316">
        <f>(Master[[#This Row],[Happiness_Score]]*100)/10</f>
        <v>29.05</v>
      </c>
      <c r="F316">
        <v>6.8309999999999996E-2</v>
      </c>
      <c r="G316">
        <f>(Master[[#This Row],[Economy_GDP_per_Capita]]*100)/2</f>
        <v>3.4154999999999998</v>
      </c>
      <c r="H316">
        <v>0.23441999999999999</v>
      </c>
      <c r="I316">
        <f>(Master[[#This Row],[Family]]*100)/2</f>
        <v>11.721</v>
      </c>
      <c r="J316">
        <v>0.15747</v>
      </c>
      <c r="K316">
        <f>(Master[[#This Row],[Health_Life_Expectancy]]*100)/2</f>
        <v>7.8734999999999999</v>
      </c>
      <c r="L316" s="3">
        <v>4.3200000000000002E-2</v>
      </c>
      <c r="M316" s="3">
        <v>9.4189999999999996E-2</v>
      </c>
      <c r="N316" s="3">
        <v>0.2029</v>
      </c>
    </row>
    <row r="317" spans="1:14" x14ac:dyDescent="0.25">
      <c r="A317">
        <v>2017</v>
      </c>
      <c r="B317" t="s">
        <v>8</v>
      </c>
      <c r="C317">
        <v>1</v>
      </c>
      <c r="D317">
        <v>7.5370001792907697</v>
      </c>
      <c r="E317">
        <f>(Master[[#This Row],[Happiness_Score]]*100)/10</f>
        <v>75.370001792907686</v>
      </c>
      <c r="F317">
        <v>1.6164631843566899</v>
      </c>
      <c r="G317">
        <f>(Master[[#This Row],[Economy_GDP_per_Capita]]*100)/2</f>
        <v>80.823159217834501</v>
      </c>
      <c r="H317">
        <v>1.5335235595703101</v>
      </c>
      <c r="I317">
        <f>(Master[[#This Row],[Family]]*100)/2</f>
        <v>76.676177978515497</v>
      </c>
      <c r="J317">
        <v>0.79666650295257602</v>
      </c>
      <c r="K317">
        <f>(Master[[#This Row],[Health_Life_Expectancy]]*100)/2</f>
        <v>39.833325147628798</v>
      </c>
      <c r="L317" s="3">
        <v>0.63542258739471402</v>
      </c>
      <c r="M317" s="3">
        <v>0.315963834524155</v>
      </c>
      <c r="N317" s="3">
        <v>0.36201223731040999</v>
      </c>
    </row>
    <row r="318" spans="1:14" x14ac:dyDescent="0.25">
      <c r="A318">
        <v>2017</v>
      </c>
      <c r="B318" t="s">
        <v>7</v>
      </c>
      <c r="C318">
        <v>2</v>
      </c>
      <c r="D318">
        <v>7.5219998359680202</v>
      </c>
      <c r="E318">
        <f>(Master[[#This Row],[Happiness_Score]]*100)/10</f>
        <v>75.219998359680204</v>
      </c>
      <c r="F318">
        <v>1.48238301277161</v>
      </c>
      <c r="G318">
        <f>(Master[[#This Row],[Economy_GDP_per_Capita]]*100)/2</f>
        <v>74.119150638580493</v>
      </c>
      <c r="H318">
        <v>1.5511215925216699</v>
      </c>
      <c r="I318">
        <f>(Master[[#This Row],[Family]]*100)/2</f>
        <v>77.556079626083502</v>
      </c>
      <c r="J318">
        <v>0.79256552457809404</v>
      </c>
      <c r="K318">
        <f>(Master[[#This Row],[Health_Life_Expectancy]]*100)/2</f>
        <v>39.628276228904703</v>
      </c>
      <c r="L318" s="3">
        <v>0.62600672245025601</v>
      </c>
      <c r="M318" s="3">
        <v>0.40077006816864003</v>
      </c>
      <c r="N318" s="3">
        <v>0.35528048872947698</v>
      </c>
    </row>
    <row r="319" spans="1:14" x14ac:dyDescent="0.25">
      <c r="A319">
        <v>2017</v>
      </c>
      <c r="B319" t="s">
        <v>6</v>
      </c>
      <c r="C319">
        <v>3</v>
      </c>
      <c r="D319">
        <v>7.5040001869201696</v>
      </c>
      <c r="E319">
        <f>(Master[[#This Row],[Happiness_Score]]*100)/10</f>
        <v>75.040001869201689</v>
      </c>
      <c r="F319">
        <v>1.4806330204010001</v>
      </c>
      <c r="G319">
        <f>(Master[[#This Row],[Economy_GDP_per_Capita]]*100)/2</f>
        <v>74.031651020050006</v>
      </c>
      <c r="H319">
        <v>1.6105740070343</v>
      </c>
      <c r="I319">
        <f>(Master[[#This Row],[Family]]*100)/2</f>
        <v>80.528700351715003</v>
      </c>
      <c r="J319">
        <v>0.83355212211608898</v>
      </c>
      <c r="K319">
        <f>(Master[[#This Row],[Health_Life_Expectancy]]*100)/2</f>
        <v>41.67760610580445</v>
      </c>
      <c r="L319" s="3">
        <v>0.62716263532638505</v>
      </c>
      <c r="M319" s="3">
        <v>0.15352655947208399</v>
      </c>
      <c r="N319" s="3">
        <v>0.475540220737457</v>
      </c>
    </row>
    <row r="320" spans="1:14" x14ac:dyDescent="0.25">
      <c r="A320">
        <v>2017</v>
      </c>
      <c r="B320" t="s">
        <v>4</v>
      </c>
      <c r="C320">
        <v>4</v>
      </c>
      <c r="D320">
        <v>7.4939999580383301</v>
      </c>
      <c r="E320">
        <f>(Master[[#This Row],[Happiness_Score]]*100)/10</f>
        <v>74.939999580383301</v>
      </c>
      <c r="F320">
        <v>1.56497955322266</v>
      </c>
      <c r="G320">
        <f>(Master[[#This Row],[Economy_GDP_per_Capita]]*100)/2</f>
        <v>78.248977661132997</v>
      </c>
      <c r="H320">
        <v>1.51691174507141</v>
      </c>
      <c r="I320">
        <f>(Master[[#This Row],[Family]]*100)/2</f>
        <v>75.8455872535705</v>
      </c>
      <c r="J320">
        <v>0.85813128948211703</v>
      </c>
      <c r="K320">
        <f>(Master[[#This Row],[Health_Life_Expectancy]]*100)/2</f>
        <v>42.906564474105849</v>
      </c>
      <c r="L320" s="3">
        <v>0.62007057666778598</v>
      </c>
      <c r="M320" s="3">
        <v>0.367007285356522</v>
      </c>
      <c r="N320" s="3">
        <v>0.29054927825927701</v>
      </c>
    </row>
    <row r="321" spans="1:14" x14ac:dyDescent="0.25">
      <c r="A321">
        <v>2017</v>
      </c>
      <c r="B321" t="s">
        <v>11</v>
      </c>
      <c r="C321">
        <v>5</v>
      </c>
      <c r="D321">
        <v>7.4689998626709002</v>
      </c>
      <c r="E321">
        <f>(Master[[#This Row],[Happiness_Score]]*100)/10</f>
        <v>74.689998626709013</v>
      </c>
      <c r="F321">
        <v>1.4435719251632699</v>
      </c>
      <c r="G321">
        <f>(Master[[#This Row],[Economy_GDP_per_Capita]]*100)/2</f>
        <v>72.178596258163495</v>
      </c>
      <c r="H321">
        <v>1.5402467250823999</v>
      </c>
      <c r="I321">
        <f>(Master[[#This Row],[Family]]*100)/2</f>
        <v>77.012336254120001</v>
      </c>
      <c r="J321">
        <v>0.80915766954421997</v>
      </c>
      <c r="K321">
        <f>(Master[[#This Row],[Health_Life_Expectancy]]*100)/2</f>
        <v>40.457883477210999</v>
      </c>
      <c r="L321" s="3">
        <v>0.61795085668563798</v>
      </c>
      <c r="M321" s="3">
        <v>0.38261154294013999</v>
      </c>
      <c r="N321" s="3">
        <v>0.24548277258873</v>
      </c>
    </row>
    <row r="322" spans="1:14" x14ac:dyDescent="0.25">
      <c r="A322">
        <v>2017</v>
      </c>
      <c r="B322" t="s">
        <v>12</v>
      </c>
      <c r="C322">
        <v>6</v>
      </c>
      <c r="D322">
        <v>7.3769998550415004</v>
      </c>
      <c r="E322">
        <f>(Master[[#This Row],[Happiness_Score]]*100)/10</f>
        <v>73.769998550415011</v>
      </c>
      <c r="F322">
        <v>1.50394463539124</v>
      </c>
      <c r="G322">
        <f>(Master[[#This Row],[Economy_GDP_per_Capita]]*100)/2</f>
        <v>75.197231769561995</v>
      </c>
      <c r="H322">
        <v>1.42893922328949</v>
      </c>
      <c r="I322">
        <f>(Master[[#This Row],[Family]]*100)/2</f>
        <v>71.446961164474502</v>
      </c>
      <c r="J322">
        <v>0.81069612503051802</v>
      </c>
      <c r="K322">
        <f>(Master[[#This Row],[Health_Life_Expectancy]]*100)/2</f>
        <v>40.5348062515259</v>
      </c>
      <c r="L322" s="3">
        <v>0.58538448810577404</v>
      </c>
      <c r="M322" s="3">
        <v>0.28266182541847201</v>
      </c>
      <c r="N322" s="3">
        <v>0.47048982977867099</v>
      </c>
    </row>
    <row r="323" spans="1:14" x14ac:dyDescent="0.25">
      <c r="A323">
        <v>2017</v>
      </c>
      <c r="B323" t="s">
        <v>9</v>
      </c>
      <c r="C323">
        <v>7</v>
      </c>
      <c r="D323">
        <v>7.31599998474121</v>
      </c>
      <c r="E323">
        <f>(Master[[#This Row],[Happiness_Score]]*100)/10</f>
        <v>73.159999847412095</v>
      </c>
      <c r="F323">
        <v>1.47920441627502</v>
      </c>
      <c r="G323">
        <f>(Master[[#This Row],[Economy_GDP_per_Capita]]*100)/2</f>
        <v>73.960220813750993</v>
      </c>
      <c r="H323">
        <v>1.4813489913940401</v>
      </c>
      <c r="I323">
        <f>(Master[[#This Row],[Family]]*100)/2</f>
        <v>74.067449569702006</v>
      </c>
      <c r="J323">
        <v>0.83455765247345004</v>
      </c>
      <c r="K323">
        <f>(Master[[#This Row],[Health_Life_Expectancy]]*100)/2</f>
        <v>41.7278826236725</v>
      </c>
      <c r="L323" s="3">
        <v>0.61110091209411599</v>
      </c>
      <c r="M323" s="3">
        <v>0.287371516227722</v>
      </c>
      <c r="N323" s="3">
        <v>0.43553972244262701</v>
      </c>
    </row>
    <row r="324" spans="1:14" x14ac:dyDescent="0.25">
      <c r="A324">
        <v>2017</v>
      </c>
      <c r="B324" t="s">
        <v>14</v>
      </c>
      <c r="C324">
        <v>8</v>
      </c>
      <c r="D324">
        <v>7.3140001296997097</v>
      </c>
      <c r="E324">
        <f>(Master[[#This Row],[Happiness_Score]]*100)/10</f>
        <v>73.140001296997099</v>
      </c>
      <c r="F324">
        <v>1.40570604801178</v>
      </c>
      <c r="G324">
        <f>(Master[[#This Row],[Economy_GDP_per_Capita]]*100)/2</f>
        <v>70.285302400589003</v>
      </c>
      <c r="H324">
        <v>1.54819512367249</v>
      </c>
      <c r="I324">
        <f>(Master[[#This Row],[Family]]*100)/2</f>
        <v>77.409756183624495</v>
      </c>
      <c r="J324">
        <v>0.81675970554351796</v>
      </c>
      <c r="K324">
        <f>(Master[[#This Row],[Health_Life_Expectancy]]*100)/2</f>
        <v>40.837985277175896</v>
      </c>
      <c r="L324" s="3">
        <v>0.61406213045120195</v>
      </c>
      <c r="M324" s="3">
        <v>0.382816702127457</v>
      </c>
      <c r="N324" s="3">
        <v>0.50000512599945102</v>
      </c>
    </row>
    <row r="325" spans="1:14" x14ac:dyDescent="0.25">
      <c r="A325">
        <v>2017</v>
      </c>
      <c r="B325" t="s">
        <v>13</v>
      </c>
      <c r="C325">
        <v>9</v>
      </c>
      <c r="D325">
        <v>7.2839999198913601</v>
      </c>
      <c r="E325">
        <f>(Master[[#This Row],[Happiness_Score]]*100)/10</f>
        <v>72.839999198913603</v>
      </c>
      <c r="F325">
        <v>1.4943872690200799</v>
      </c>
      <c r="G325">
        <f>(Master[[#This Row],[Economy_GDP_per_Capita]]*100)/2</f>
        <v>74.719363451004</v>
      </c>
      <c r="H325">
        <v>1.4781621694564799</v>
      </c>
      <c r="I325">
        <f>(Master[[#This Row],[Family]]*100)/2</f>
        <v>73.908108472823997</v>
      </c>
      <c r="J325">
        <v>0.83087515830993697</v>
      </c>
      <c r="K325">
        <f>(Master[[#This Row],[Health_Life_Expectancy]]*100)/2</f>
        <v>41.543757915496847</v>
      </c>
      <c r="L325" s="3">
        <v>0.61292409896850597</v>
      </c>
      <c r="M325" s="3">
        <v>0.38439872860908503</v>
      </c>
      <c r="N325" s="3">
        <v>0.38539925217628501</v>
      </c>
    </row>
    <row r="326" spans="1:14" x14ac:dyDescent="0.25">
      <c r="A326">
        <v>2017</v>
      </c>
      <c r="B326" t="s">
        <v>16</v>
      </c>
      <c r="C326">
        <v>10</v>
      </c>
      <c r="D326">
        <v>7.2839999198913601</v>
      </c>
      <c r="E326">
        <f>(Master[[#This Row],[Happiness_Score]]*100)/10</f>
        <v>72.839999198913603</v>
      </c>
      <c r="F326">
        <v>1.484414935112</v>
      </c>
      <c r="G326">
        <f>(Master[[#This Row],[Economy_GDP_per_Capita]]*100)/2</f>
        <v>74.220746755600004</v>
      </c>
      <c r="H326">
        <v>1.51004195213318</v>
      </c>
      <c r="I326">
        <f>(Master[[#This Row],[Family]]*100)/2</f>
        <v>75.502097606659007</v>
      </c>
      <c r="J326">
        <v>0.84388679265975997</v>
      </c>
      <c r="K326">
        <f>(Master[[#This Row],[Health_Life_Expectancy]]*100)/2</f>
        <v>42.194339632987997</v>
      </c>
      <c r="L326" s="3">
        <v>0.60160738229751598</v>
      </c>
      <c r="M326" s="3">
        <v>0.30118373036384599</v>
      </c>
      <c r="N326" s="3">
        <v>0.47769924998283397</v>
      </c>
    </row>
    <row r="327" spans="1:14" x14ac:dyDescent="0.25">
      <c r="A327">
        <v>2017</v>
      </c>
      <c r="B327" t="s">
        <v>17</v>
      </c>
      <c r="C327">
        <v>11</v>
      </c>
      <c r="D327">
        <v>7.2129998207092303</v>
      </c>
      <c r="E327">
        <f>(Master[[#This Row],[Happiness_Score]]*100)/10</f>
        <v>72.129998207092314</v>
      </c>
      <c r="F327">
        <v>1.37538242340088</v>
      </c>
      <c r="G327">
        <f>(Master[[#This Row],[Economy_GDP_per_Capita]]*100)/2</f>
        <v>68.769121170044002</v>
      </c>
      <c r="H327">
        <v>1.3762899637222299</v>
      </c>
      <c r="I327">
        <f>(Master[[#This Row],[Family]]*100)/2</f>
        <v>68.814498186111493</v>
      </c>
      <c r="J327">
        <v>0.83840399980545</v>
      </c>
      <c r="K327">
        <f>(Master[[#This Row],[Health_Life_Expectancy]]*100)/2</f>
        <v>41.920199990272501</v>
      </c>
      <c r="L327" s="3">
        <v>0.40598860383033802</v>
      </c>
      <c r="M327" s="3">
        <v>8.5242100059986101E-2</v>
      </c>
      <c r="N327" s="3">
        <v>0.33008265495300299</v>
      </c>
    </row>
    <row r="328" spans="1:14" x14ac:dyDescent="0.25">
      <c r="A328">
        <v>2017</v>
      </c>
      <c r="B328" t="s">
        <v>19</v>
      </c>
      <c r="C328">
        <v>12</v>
      </c>
      <c r="D328">
        <v>7.0789999961853001</v>
      </c>
      <c r="E328">
        <f>(Master[[#This Row],[Happiness_Score]]*100)/10</f>
        <v>70.789999961852999</v>
      </c>
      <c r="F328">
        <v>1.1097062826156601</v>
      </c>
      <c r="G328">
        <f>(Master[[#This Row],[Economy_GDP_per_Capita]]*100)/2</f>
        <v>55.485314130783003</v>
      </c>
      <c r="H328">
        <v>1.41640365123749</v>
      </c>
      <c r="I328">
        <f>(Master[[#This Row],[Family]]*100)/2</f>
        <v>70.820182561874503</v>
      </c>
      <c r="J328">
        <v>0.75950926542282104</v>
      </c>
      <c r="K328">
        <f>(Master[[#This Row],[Health_Life_Expectancy]]*100)/2</f>
        <v>37.975463271141052</v>
      </c>
      <c r="L328" s="3">
        <v>0.58013164997100797</v>
      </c>
      <c r="M328" s="3">
        <v>0.100106589496136</v>
      </c>
      <c r="N328" s="3">
        <v>0.21461322903633101</v>
      </c>
    </row>
    <row r="329" spans="1:14" x14ac:dyDescent="0.25">
      <c r="A329">
        <v>2017</v>
      </c>
      <c r="B329" t="s">
        <v>21</v>
      </c>
      <c r="C329">
        <v>13</v>
      </c>
      <c r="D329">
        <v>7.0060000419616699</v>
      </c>
      <c r="E329">
        <f>(Master[[#This Row],[Happiness_Score]]*100)/10</f>
        <v>70.060000419616699</v>
      </c>
      <c r="F329">
        <v>1.4870972633361801</v>
      </c>
      <c r="G329">
        <f>(Master[[#This Row],[Economy_GDP_per_Capita]]*100)/2</f>
        <v>74.354863166809011</v>
      </c>
      <c r="H329">
        <v>1.4599449634552</v>
      </c>
      <c r="I329">
        <f>(Master[[#This Row],[Family]]*100)/2</f>
        <v>72.997248172759996</v>
      </c>
      <c r="J329">
        <v>0.81532841920852706</v>
      </c>
      <c r="K329">
        <f>(Master[[#This Row],[Health_Life_Expectancy]]*100)/2</f>
        <v>40.766420960426352</v>
      </c>
      <c r="L329" s="3">
        <v>0.56776618957519498</v>
      </c>
      <c r="M329" s="3">
        <v>0.221060365438461</v>
      </c>
      <c r="N329" s="3">
        <v>0.31647232174873402</v>
      </c>
    </row>
    <row r="330" spans="1:14" x14ac:dyDescent="0.25">
      <c r="A330">
        <v>2017</v>
      </c>
      <c r="B330" t="s">
        <v>23</v>
      </c>
      <c r="C330">
        <v>14</v>
      </c>
      <c r="D330">
        <v>6.9930000305175799</v>
      </c>
      <c r="E330">
        <f>(Master[[#This Row],[Happiness_Score]]*100)/10</f>
        <v>69.93000030517581</v>
      </c>
      <c r="F330">
        <v>1.54625928401947</v>
      </c>
      <c r="G330">
        <f>(Master[[#This Row],[Economy_GDP_per_Capita]]*100)/2</f>
        <v>77.312964200973497</v>
      </c>
      <c r="H330">
        <v>1.4199205636978101</v>
      </c>
      <c r="I330">
        <f>(Master[[#This Row],[Family]]*100)/2</f>
        <v>70.996028184890505</v>
      </c>
      <c r="J330">
        <v>0.77428662776946999</v>
      </c>
      <c r="K330">
        <f>(Master[[#This Row],[Health_Life_Expectancy]]*100)/2</f>
        <v>38.714331388473497</v>
      </c>
      <c r="L330" s="3">
        <v>0.50574052333831798</v>
      </c>
      <c r="M330" s="3">
        <v>0.135638788342476</v>
      </c>
      <c r="N330" s="3">
        <v>0.39257878065109297</v>
      </c>
    </row>
    <row r="331" spans="1:14" x14ac:dyDescent="0.25">
      <c r="A331">
        <v>2017</v>
      </c>
      <c r="B331" t="s">
        <v>26</v>
      </c>
      <c r="C331">
        <v>15</v>
      </c>
      <c r="D331">
        <v>6.9770002365112296</v>
      </c>
      <c r="E331">
        <f>(Master[[#This Row],[Happiness_Score]]*100)/10</f>
        <v>69.77000236511229</v>
      </c>
      <c r="F331">
        <v>1.53570663928986</v>
      </c>
      <c r="G331">
        <f>(Master[[#This Row],[Economy_GDP_per_Capita]]*100)/2</f>
        <v>76.785331964492997</v>
      </c>
      <c r="H331">
        <v>1.5582311153411901</v>
      </c>
      <c r="I331">
        <f>(Master[[#This Row],[Family]]*100)/2</f>
        <v>77.911555767059497</v>
      </c>
      <c r="J331">
        <v>0.80978262424469005</v>
      </c>
      <c r="K331">
        <f>(Master[[#This Row],[Health_Life_Expectancy]]*100)/2</f>
        <v>40.489131212234504</v>
      </c>
      <c r="L331" s="3">
        <v>0.57311034202575695</v>
      </c>
      <c r="M331" s="3">
        <v>0.29838815331459001</v>
      </c>
      <c r="N331" s="3">
        <v>0.42785832285880998</v>
      </c>
    </row>
    <row r="332" spans="1:14" x14ac:dyDescent="0.25">
      <c r="A332">
        <v>2017</v>
      </c>
      <c r="B332" t="s">
        <v>35</v>
      </c>
      <c r="C332">
        <v>16</v>
      </c>
      <c r="D332">
        <v>6.9510002136230504</v>
      </c>
      <c r="E332">
        <f>(Master[[#This Row],[Happiness_Score]]*100)/10</f>
        <v>69.510002136230497</v>
      </c>
      <c r="F332">
        <v>1.4879233837127701</v>
      </c>
      <c r="G332">
        <f>(Master[[#This Row],[Economy_GDP_per_Capita]]*100)/2</f>
        <v>74.396169185638499</v>
      </c>
      <c r="H332">
        <v>1.4725203514099101</v>
      </c>
      <c r="I332">
        <f>(Master[[#This Row],[Family]]*100)/2</f>
        <v>73.626017570495506</v>
      </c>
      <c r="J332">
        <v>0.79895073175430298</v>
      </c>
      <c r="K332">
        <f>(Master[[#This Row],[Health_Life_Expectancy]]*100)/2</f>
        <v>39.947536587715149</v>
      </c>
      <c r="L332" s="3">
        <v>0.56251138448715199</v>
      </c>
      <c r="M332" s="3">
        <v>0.276731938123703</v>
      </c>
      <c r="N332" s="3">
        <v>0.33626917004585299</v>
      </c>
    </row>
    <row r="333" spans="1:14" x14ac:dyDescent="0.25">
      <c r="A333">
        <v>2017</v>
      </c>
      <c r="B333" t="s">
        <v>27</v>
      </c>
      <c r="C333">
        <v>17</v>
      </c>
      <c r="D333">
        <v>6.8909997940063503</v>
      </c>
      <c r="E333">
        <f>(Master[[#This Row],[Happiness_Score]]*100)/10</f>
        <v>68.909997940063505</v>
      </c>
      <c r="F333">
        <v>1.4637807607650799</v>
      </c>
      <c r="G333">
        <f>(Master[[#This Row],[Economy_GDP_per_Capita]]*100)/2</f>
        <v>73.189038038253997</v>
      </c>
      <c r="H333">
        <v>1.46231269836426</v>
      </c>
      <c r="I333">
        <f>(Master[[#This Row],[Family]]*100)/2</f>
        <v>73.115634918213004</v>
      </c>
      <c r="J333">
        <v>0.81809186935424805</v>
      </c>
      <c r="K333">
        <f>(Master[[#This Row],[Health_Life_Expectancy]]*100)/2</f>
        <v>40.904593467712402</v>
      </c>
      <c r="L333" s="3">
        <v>0.53977072238922097</v>
      </c>
      <c r="M333" s="3">
        <v>0.25134313106536899</v>
      </c>
      <c r="N333" s="3">
        <v>0.23150333762168901</v>
      </c>
    </row>
    <row r="334" spans="1:14" x14ac:dyDescent="0.25">
      <c r="A334">
        <v>2017</v>
      </c>
      <c r="B334" t="s">
        <v>25</v>
      </c>
      <c r="C334">
        <v>18</v>
      </c>
      <c r="D334">
        <v>6.8629999160766602</v>
      </c>
      <c r="E334">
        <f>(Master[[#This Row],[Happiness_Score]]*100)/10</f>
        <v>68.629999160766602</v>
      </c>
      <c r="F334">
        <v>1.74194359779358</v>
      </c>
      <c r="G334">
        <f>(Master[[#This Row],[Economy_GDP_per_Capita]]*100)/2</f>
        <v>87.097179889678998</v>
      </c>
      <c r="H334">
        <v>1.4575836658477801</v>
      </c>
      <c r="I334">
        <f>(Master[[#This Row],[Family]]*100)/2</f>
        <v>72.879183292389001</v>
      </c>
      <c r="J334">
        <v>0.84508949518203702</v>
      </c>
      <c r="K334">
        <f>(Master[[#This Row],[Health_Life_Expectancy]]*100)/2</f>
        <v>42.254474759101853</v>
      </c>
      <c r="L334" s="3">
        <v>0.59662789106368996</v>
      </c>
      <c r="M334" s="3">
        <v>0.31883442401885997</v>
      </c>
      <c r="N334" s="3">
        <v>0.283180981874466</v>
      </c>
    </row>
    <row r="335" spans="1:14" x14ac:dyDescent="0.25">
      <c r="A335">
        <v>2017</v>
      </c>
      <c r="B335" t="s">
        <v>29</v>
      </c>
      <c r="C335">
        <v>19</v>
      </c>
      <c r="D335">
        <v>6.7140002250671396</v>
      </c>
      <c r="E335">
        <f>(Master[[#This Row],[Happiness_Score]]*100)/10</f>
        <v>67.140002250671401</v>
      </c>
      <c r="F335">
        <v>1.44163393974304</v>
      </c>
      <c r="G335">
        <f>(Master[[#This Row],[Economy_GDP_per_Capita]]*100)/2</f>
        <v>72.081696987152</v>
      </c>
      <c r="H335">
        <v>1.49646008014679</v>
      </c>
      <c r="I335">
        <f>(Master[[#This Row],[Family]]*100)/2</f>
        <v>74.823004007339506</v>
      </c>
      <c r="J335">
        <v>0.80533593893051103</v>
      </c>
      <c r="K335">
        <f>(Master[[#This Row],[Health_Life_Expectancy]]*100)/2</f>
        <v>40.266796946525552</v>
      </c>
      <c r="L335" s="3">
        <v>0.50819003582000699</v>
      </c>
      <c r="M335" s="3">
        <v>0.265428066253662</v>
      </c>
      <c r="N335" s="3">
        <v>0.492774158716202</v>
      </c>
    </row>
    <row r="336" spans="1:14" x14ac:dyDescent="0.25">
      <c r="A336">
        <v>2017</v>
      </c>
      <c r="B336" t="s">
        <v>36</v>
      </c>
      <c r="C336">
        <v>20</v>
      </c>
      <c r="D336">
        <v>6.65199995040894</v>
      </c>
      <c r="E336">
        <f>(Master[[#This Row],[Happiness_Score]]*100)/10</f>
        <v>66.519999504089398</v>
      </c>
      <c r="F336">
        <v>1.25278460979462</v>
      </c>
      <c r="G336">
        <f>(Master[[#This Row],[Economy_GDP_per_Capita]]*100)/2</f>
        <v>62.639230489730998</v>
      </c>
      <c r="H336">
        <v>1.28402495384216</v>
      </c>
      <c r="I336">
        <f>(Master[[#This Row],[Family]]*100)/2</f>
        <v>64.201247692107998</v>
      </c>
      <c r="J336">
        <v>0.81947970390319802</v>
      </c>
      <c r="K336">
        <f>(Master[[#This Row],[Health_Life_Expectancy]]*100)/2</f>
        <v>40.973985195159898</v>
      </c>
      <c r="L336" s="3">
        <v>0.37689527869224498</v>
      </c>
      <c r="M336" s="3">
        <v>8.2287982106208801E-2</v>
      </c>
      <c r="N336" s="3">
        <v>0.32666242122650102</v>
      </c>
    </row>
    <row r="337" spans="1:14" x14ac:dyDescent="0.25">
      <c r="A337">
        <v>2017</v>
      </c>
      <c r="B337" t="s">
        <v>28</v>
      </c>
      <c r="C337">
        <v>21</v>
      </c>
      <c r="D337">
        <v>6.6479997634887704</v>
      </c>
      <c r="E337">
        <f>(Master[[#This Row],[Happiness_Score]]*100)/10</f>
        <v>66.47999763488771</v>
      </c>
      <c r="F337">
        <v>1.62634336948395</v>
      </c>
      <c r="G337">
        <f>(Master[[#This Row],[Economy_GDP_per_Capita]]*100)/2</f>
        <v>81.317168474197501</v>
      </c>
      <c r="H337">
        <v>1.2664102315902701</v>
      </c>
      <c r="I337">
        <f>(Master[[#This Row],[Family]]*100)/2</f>
        <v>63.320511579513507</v>
      </c>
      <c r="J337">
        <v>0.726798236370087</v>
      </c>
      <c r="K337">
        <f>(Master[[#This Row],[Health_Life_Expectancy]]*100)/2</f>
        <v>36.339911818504348</v>
      </c>
      <c r="L337" s="3">
        <v>0.60834527015686002</v>
      </c>
      <c r="M337" s="3">
        <v>0.32448956370353699</v>
      </c>
      <c r="N337" s="3">
        <v>0.36094194650650002</v>
      </c>
    </row>
    <row r="338" spans="1:14" x14ac:dyDescent="0.25">
      <c r="A338">
        <v>2017</v>
      </c>
      <c r="B338" t="s">
        <v>24</v>
      </c>
      <c r="C338">
        <v>22</v>
      </c>
      <c r="D338">
        <v>6.6350002288818404</v>
      </c>
      <c r="E338">
        <f>(Master[[#This Row],[Happiness_Score]]*100)/10</f>
        <v>66.350002288818402</v>
      </c>
      <c r="F338">
        <v>1.1073532104492201</v>
      </c>
      <c r="G338">
        <f>(Master[[#This Row],[Economy_GDP_per_Capita]]*100)/2</f>
        <v>55.367660522461001</v>
      </c>
      <c r="H338">
        <v>1.4313060045242301</v>
      </c>
      <c r="I338">
        <f>(Master[[#This Row],[Family]]*100)/2</f>
        <v>71.565300226211505</v>
      </c>
      <c r="J338">
        <v>0.61655235290527299</v>
      </c>
      <c r="K338">
        <f>(Master[[#This Row],[Health_Life_Expectancy]]*100)/2</f>
        <v>30.827617645263651</v>
      </c>
      <c r="L338" s="3">
        <v>0.43745374679565402</v>
      </c>
      <c r="M338" s="3">
        <v>0.111092761158943</v>
      </c>
      <c r="N338" s="3">
        <v>0.16234989464283001</v>
      </c>
    </row>
    <row r="339" spans="1:14" x14ac:dyDescent="0.25">
      <c r="A339">
        <v>2017</v>
      </c>
      <c r="B339" t="s">
        <v>40</v>
      </c>
      <c r="C339">
        <v>23</v>
      </c>
      <c r="D339">
        <v>6.6090002059936497</v>
      </c>
      <c r="E339">
        <f>(Master[[#This Row],[Happiness_Score]]*100)/10</f>
        <v>66.090002059936495</v>
      </c>
      <c r="F339">
        <v>1.35268235206604</v>
      </c>
      <c r="G339">
        <f>(Master[[#This Row],[Economy_GDP_per_Capita]]*100)/2</f>
        <v>67.634117603302002</v>
      </c>
      <c r="H339">
        <v>1.4338852167129501</v>
      </c>
      <c r="I339">
        <f>(Master[[#This Row],[Family]]*100)/2</f>
        <v>71.694260835647512</v>
      </c>
      <c r="J339">
        <v>0.75444400310516402</v>
      </c>
      <c r="K339">
        <f>(Master[[#This Row],[Health_Life_Expectancy]]*100)/2</f>
        <v>37.7222001552582</v>
      </c>
      <c r="L339" s="3">
        <v>0.49094617366790799</v>
      </c>
      <c r="M339" s="3">
        <v>3.6872927099466303E-2</v>
      </c>
      <c r="N339" s="3">
        <v>8.8106758892536205E-2</v>
      </c>
    </row>
    <row r="340" spans="1:14" x14ac:dyDescent="0.25">
      <c r="A340">
        <v>2017</v>
      </c>
      <c r="B340" t="s">
        <v>39</v>
      </c>
      <c r="C340">
        <v>24</v>
      </c>
      <c r="D340">
        <v>6.59899997711182</v>
      </c>
      <c r="E340">
        <f>(Master[[#This Row],[Happiness_Score]]*100)/10</f>
        <v>65.989999771118192</v>
      </c>
      <c r="F340">
        <v>1.1852954626083401</v>
      </c>
      <c r="G340">
        <f>(Master[[#This Row],[Economy_GDP_per_Capita]]*100)/2</f>
        <v>59.264773130417005</v>
      </c>
      <c r="H340">
        <v>1.44045114517212</v>
      </c>
      <c r="I340">
        <f>(Master[[#This Row],[Family]]*100)/2</f>
        <v>72.022557258606</v>
      </c>
      <c r="J340">
        <v>0.69513708353042603</v>
      </c>
      <c r="K340">
        <f>(Master[[#This Row],[Health_Life_Expectancy]]*100)/2</f>
        <v>34.756854176521301</v>
      </c>
      <c r="L340" s="3">
        <v>0.494519203901291</v>
      </c>
      <c r="M340" s="3">
        <v>5.9739887714386E-2</v>
      </c>
      <c r="N340" s="3">
        <v>0.109457060694695</v>
      </c>
    </row>
    <row r="341" spans="1:14" x14ac:dyDescent="0.25">
      <c r="A341">
        <v>2017</v>
      </c>
      <c r="B341" t="s">
        <v>22</v>
      </c>
      <c r="C341">
        <v>25</v>
      </c>
      <c r="D341">
        <v>6.5780000686645499</v>
      </c>
      <c r="E341">
        <f>(Master[[#This Row],[Happiness_Score]]*100)/10</f>
        <v>65.780000686645494</v>
      </c>
      <c r="F341">
        <v>1.1531838178634599</v>
      </c>
      <c r="G341">
        <f>(Master[[#This Row],[Economy_GDP_per_Capita]]*100)/2</f>
        <v>57.659190893172998</v>
      </c>
      <c r="H341">
        <v>1.2108621597289999</v>
      </c>
      <c r="I341">
        <f>(Master[[#This Row],[Family]]*100)/2</f>
        <v>60.543107986449996</v>
      </c>
      <c r="J341">
        <v>0.70997899770736705</v>
      </c>
      <c r="K341">
        <f>(Master[[#This Row],[Health_Life_Expectancy]]*100)/2</f>
        <v>35.498949885368354</v>
      </c>
      <c r="L341" s="3">
        <v>0.41273000836372398</v>
      </c>
      <c r="M341" s="3">
        <v>0.13277411460876501</v>
      </c>
      <c r="N341" s="3">
        <v>0.120990432798862</v>
      </c>
    </row>
    <row r="342" spans="1:14" x14ac:dyDescent="0.25">
      <c r="A342">
        <v>2017</v>
      </c>
      <c r="B342" t="s">
        <v>32</v>
      </c>
      <c r="C342">
        <v>26</v>
      </c>
      <c r="D342">
        <v>6.57200002670288</v>
      </c>
      <c r="E342">
        <f>(Master[[#This Row],[Happiness_Score]]*100)/10</f>
        <v>65.720000267028794</v>
      </c>
      <c r="F342">
        <v>1.69227766990662</v>
      </c>
      <c r="G342">
        <f>(Master[[#This Row],[Economy_GDP_per_Capita]]*100)/2</f>
        <v>84.613883495330995</v>
      </c>
      <c r="H342">
        <v>1.35381436347961</v>
      </c>
      <c r="I342">
        <f>(Master[[#This Row],[Family]]*100)/2</f>
        <v>67.6907181739805</v>
      </c>
      <c r="J342">
        <v>0.94949239492416404</v>
      </c>
      <c r="K342">
        <f>(Master[[#This Row],[Health_Life_Expectancy]]*100)/2</f>
        <v>47.474619746208205</v>
      </c>
      <c r="L342" s="3">
        <v>0.54984056949615501</v>
      </c>
      <c r="M342" s="3">
        <v>0.46430778503418002</v>
      </c>
      <c r="N342" s="3">
        <v>0.34596598148345897</v>
      </c>
    </row>
    <row r="343" spans="1:14" x14ac:dyDescent="0.25">
      <c r="A343">
        <v>2017</v>
      </c>
      <c r="B343" t="s">
        <v>47</v>
      </c>
      <c r="C343">
        <v>27</v>
      </c>
      <c r="D343">
        <v>6.52699995040894</v>
      </c>
      <c r="E343">
        <f>(Master[[#This Row],[Happiness_Score]]*100)/10</f>
        <v>65.269999504089398</v>
      </c>
      <c r="F343">
        <v>1.3432798385620099</v>
      </c>
      <c r="G343">
        <f>(Master[[#This Row],[Economy_GDP_per_Capita]]*100)/2</f>
        <v>67.163991928100501</v>
      </c>
      <c r="H343">
        <v>1.4884116649627701</v>
      </c>
      <c r="I343">
        <f>(Master[[#This Row],[Family]]*100)/2</f>
        <v>74.420583248138499</v>
      </c>
      <c r="J343">
        <v>0.82194423675537098</v>
      </c>
      <c r="K343">
        <f>(Master[[#This Row],[Health_Life_Expectancy]]*100)/2</f>
        <v>41.097211837768548</v>
      </c>
      <c r="L343" s="3">
        <v>0.58876705169677701</v>
      </c>
      <c r="M343" s="3">
        <v>0.15306606888771099</v>
      </c>
      <c r="N343" s="3">
        <v>0.57473057508468595</v>
      </c>
    </row>
    <row r="344" spans="1:14" x14ac:dyDescent="0.25">
      <c r="A344">
        <v>2017</v>
      </c>
      <c r="B344" t="s">
        <v>42</v>
      </c>
      <c r="C344">
        <v>28</v>
      </c>
      <c r="D344">
        <v>6.4539999961853001</v>
      </c>
      <c r="E344">
        <f>(Master[[#This Row],[Happiness_Score]]*100)/10</f>
        <v>64.539999961852999</v>
      </c>
      <c r="F344">
        <v>1.2175596952438399</v>
      </c>
      <c r="G344">
        <f>(Master[[#This Row],[Economy_GDP_per_Capita]]*100)/2</f>
        <v>60.877984762191993</v>
      </c>
      <c r="H344">
        <v>1.4122278690338099</v>
      </c>
      <c r="I344">
        <f>(Master[[#This Row],[Family]]*100)/2</f>
        <v>70.611393451690503</v>
      </c>
      <c r="J344">
        <v>0.71921682357788097</v>
      </c>
      <c r="K344">
        <f>(Master[[#This Row],[Health_Life_Expectancy]]*100)/2</f>
        <v>35.96084117889405</v>
      </c>
      <c r="L344" s="3">
        <v>0.57939225435257002</v>
      </c>
      <c r="M344" s="3">
        <v>0.178061872720718</v>
      </c>
      <c r="N344" s="3">
        <v>0.17509692907333399</v>
      </c>
    </row>
    <row r="345" spans="1:14" x14ac:dyDescent="0.25">
      <c r="A345">
        <v>2017</v>
      </c>
      <c r="B345" t="s">
        <v>54</v>
      </c>
      <c r="C345">
        <v>29</v>
      </c>
      <c r="D345">
        <v>6.4539999961853001</v>
      </c>
      <c r="E345">
        <f>(Master[[#This Row],[Happiness_Score]]*100)/10</f>
        <v>64.539999961852999</v>
      </c>
      <c r="F345">
        <v>0.87200194597244296</v>
      </c>
      <c r="G345">
        <f>(Master[[#This Row],[Economy_GDP_per_Capita]]*100)/2</f>
        <v>43.600097298622146</v>
      </c>
      <c r="H345">
        <v>1.2555851936340301</v>
      </c>
      <c r="I345">
        <f>(Master[[#This Row],[Family]]*100)/2</f>
        <v>62.779259681701504</v>
      </c>
      <c r="J345">
        <v>0.54023998975753795</v>
      </c>
      <c r="K345">
        <f>(Master[[#This Row],[Health_Life_Expectancy]]*100)/2</f>
        <v>27.011999487876899</v>
      </c>
      <c r="L345" s="3">
        <v>0.53131061792373702</v>
      </c>
      <c r="M345" s="3">
        <v>7.72232785820961E-2</v>
      </c>
      <c r="N345" s="3">
        <v>0.28348839282989502</v>
      </c>
    </row>
    <row r="346" spans="1:14" x14ac:dyDescent="0.25">
      <c r="A346">
        <v>2017</v>
      </c>
      <c r="B346" t="s">
        <v>34</v>
      </c>
      <c r="C346">
        <v>30</v>
      </c>
      <c r="D346">
        <v>6.4520001411437997</v>
      </c>
      <c r="E346">
        <f>(Master[[#This Row],[Happiness_Score]]*100)/10</f>
        <v>64.520001411438002</v>
      </c>
      <c r="F346">
        <v>1.23374843597412</v>
      </c>
      <c r="G346">
        <f>(Master[[#This Row],[Economy_GDP_per_Capita]]*100)/2</f>
        <v>61.687421798705998</v>
      </c>
      <c r="H346">
        <v>1.3731925487518299</v>
      </c>
      <c r="I346">
        <f>(Master[[#This Row],[Family]]*100)/2</f>
        <v>68.659627437591496</v>
      </c>
      <c r="J346">
        <v>0.70615613460540805</v>
      </c>
      <c r="K346">
        <f>(Master[[#This Row],[Health_Life_Expectancy]]*100)/2</f>
        <v>35.3078067302704</v>
      </c>
      <c r="L346" s="3">
        <v>0.55002683401107799</v>
      </c>
      <c r="M346" s="3">
        <v>7.0983923971652998E-2</v>
      </c>
      <c r="N346" s="3">
        <v>0.21055693924426999</v>
      </c>
    </row>
    <row r="347" spans="1:14" x14ac:dyDescent="0.25">
      <c r="A347">
        <v>2017</v>
      </c>
      <c r="B347" t="s">
        <v>38</v>
      </c>
      <c r="C347">
        <v>31</v>
      </c>
      <c r="D347">
        <v>6.4419999122619602</v>
      </c>
      <c r="E347">
        <f>(Master[[#This Row],[Happiness_Score]]*100)/10</f>
        <v>64.4199991226196</v>
      </c>
      <c r="F347">
        <v>1.4309234619140601</v>
      </c>
      <c r="G347">
        <f>(Master[[#This Row],[Economy_GDP_per_Capita]]*100)/2</f>
        <v>71.546173095702997</v>
      </c>
      <c r="H347">
        <v>1.3877768516540501</v>
      </c>
      <c r="I347">
        <f>(Master[[#This Row],[Family]]*100)/2</f>
        <v>69.388842582702509</v>
      </c>
      <c r="J347">
        <v>0.844465851783752</v>
      </c>
      <c r="K347">
        <f>(Master[[#This Row],[Health_Life_Expectancy]]*100)/2</f>
        <v>42.223292589187601</v>
      </c>
      <c r="L347" s="3">
        <v>0.47022211551666299</v>
      </c>
      <c r="M347" s="3">
        <v>0.17250242829322801</v>
      </c>
      <c r="N347" s="3">
        <v>0.12976230680942499</v>
      </c>
    </row>
    <row r="348" spans="1:14" x14ac:dyDescent="0.25">
      <c r="A348">
        <v>2017</v>
      </c>
      <c r="B348" t="s">
        <v>44</v>
      </c>
      <c r="C348">
        <v>32</v>
      </c>
      <c r="D348">
        <v>6.4239997863769496</v>
      </c>
      <c r="E348">
        <f>(Master[[#This Row],[Happiness_Score]]*100)/10</f>
        <v>64.239997863769503</v>
      </c>
      <c r="F348">
        <v>1.12786877155304</v>
      </c>
      <c r="G348">
        <f>(Master[[#This Row],[Economy_GDP_per_Capita]]*100)/2</f>
        <v>56.393438577651999</v>
      </c>
      <c r="H348">
        <v>1.42579245567322</v>
      </c>
      <c r="I348">
        <f>(Master[[#This Row],[Family]]*100)/2</f>
        <v>71.289622783661002</v>
      </c>
      <c r="J348">
        <v>0.647239029407501</v>
      </c>
      <c r="K348">
        <f>(Master[[#This Row],[Health_Life_Expectancy]]*100)/2</f>
        <v>32.361951470375047</v>
      </c>
      <c r="L348" s="3">
        <v>0.58020073175430298</v>
      </c>
      <c r="M348" s="3">
        <v>3.16127352416515E-2</v>
      </c>
      <c r="N348" s="3">
        <v>0.57212311029434204</v>
      </c>
    </row>
    <row r="349" spans="1:14" x14ac:dyDescent="0.25">
      <c r="A349">
        <v>2017</v>
      </c>
      <c r="B349" t="s">
        <v>179</v>
      </c>
      <c r="C349">
        <v>33</v>
      </c>
      <c r="D349">
        <v>6.4219999313354501</v>
      </c>
      <c r="E349">
        <f>(Master[[#This Row],[Happiness_Score]]*100)/10</f>
        <v>64.219999313354506</v>
      </c>
      <c r="F349">
        <v>1.43362653255463</v>
      </c>
      <c r="G349">
        <f>(Master[[#This Row],[Economy_GDP_per_Capita]]*100)/2</f>
        <v>71.681326627731494</v>
      </c>
      <c r="H349">
        <v>1.38456535339355</v>
      </c>
      <c r="I349">
        <f>(Master[[#This Row],[Family]]*100)/2</f>
        <v>69.228267669677507</v>
      </c>
      <c r="J349">
        <v>0.793984234333038</v>
      </c>
      <c r="K349">
        <f>(Master[[#This Row],[Health_Life_Expectancy]]*100)/2</f>
        <v>39.699211716651902</v>
      </c>
      <c r="L349" s="3">
        <v>0.36146658658981301</v>
      </c>
      <c r="M349" s="3">
        <v>6.3829235732555403E-2</v>
      </c>
      <c r="N349" s="3">
        <v>0.258360475301743</v>
      </c>
    </row>
    <row r="350" spans="1:14" x14ac:dyDescent="0.25">
      <c r="A350">
        <v>2017</v>
      </c>
      <c r="B350" t="s">
        <v>46</v>
      </c>
      <c r="C350">
        <v>34</v>
      </c>
      <c r="D350">
        <v>6.4029998779296902</v>
      </c>
      <c r="E350">
        <f>(Master[[#This Row],[Happiness_Score]]*100)/10</f>
        <v>64.029998779296903</v>
      </c>
      <c r="F350">
        <v>1.3843978643417401</v>
      </c>
      <c r="G350">
        <f>(Master[[#This Row],[Economy_GDP_per_Capita]]*100)/2</f>
        <v>69.219893217087005</v>
      </c>
      <c r="H350">
        <v>1.5320909023284901</v>
      </c>
      <c r="I350">
        <f>(Master[[#This Row],[Family]]*100)/2</f>
        <v>76.604545116424504</v>
      </c>
      <c r="J350">
        <v>0.88896059989929199</v>
      </c>
      <c r="K350">
        <f>(Master[[#This Row],[Health_Life_Expectancy]]*100)/2</f>
        <v>44.4480299949646</v>
      </c>
      <c r="L350" s="3">
        <v>0.40878123044967701</v>
      </c>
      <c r="M350" s="3">
        <v>7.0914097130298601E-2</v>
      </c>
      <c r="N350" s="3">
        <v>0.190133571624756</v>
      </c>
    </row>
    <row r="351" spans="1:14" x14ac:dyDescent="0.25">
      <c r="A351">
        <v>2017</v>
      </c>
      <c r="B351" t="s">
        <v>37</v>
      </c>
      <c r="C351">
        <v>35</v>
      </c>
      <c r="D351">
        <v>6.375</v>
      </c>
      <c r="E351">
        <f>(Master[[#This Row],[Happiness_Score]]*100)/10</f>
        <v>63.75</v>
      </c>
      <c r="F351">
        <v>1.87076568603516</v>
      </c>
      <c r="G351">
        <f>(Master[[#This Row],[Economy_GDP_per_Capita]]*100)/2</f>
        <v>93.538284301757997</v>
      </c>
      <c r="H351">
        <v>1.27429687976837</v>
      </c>
      <c r="I351">
        <f>(Master[[#This Row],[Family]]*100)/2</f>
        <v>63.714843988418501</v>
      </c>
      <c r="J351">
        <v>0.71009808778762795</v>
      </c>
      <c r="K351">
        <f>(Master[[#This Row],[Health_Life_Expectancy]]*100)/2</f>
        <v>35.504904389381394</v>
      </c>
      <c r="L351" s="3">
        <v>0.60413098335266102</v>
      </c>
      <c r="M351" s="3">
        <v>0.439299255609512</v>
      </c>
      <c r="N351" s="3">
        <v>0.33047387003898598</v>
      </c>
    </row>
    <row r="352" spans="1:14" x14ac:dyDescent="0.25">
      <c r="A352">
        <v>2017</v>
      </c>
      <c r="B352" t="s">
        <v>43</v>
      </c>
      <c r="C352">
        <v>36</v>
      </c>
      <c r="D352">
        <v>6.3569998741149902</v>
      </c>
      <c r="E352">
        <f>(Master[[#This Row],[Happiness_Score]]*100)/10</f>
        <v>63.569998741149902</v>
      </c>
      <c r="F352">
        <v>1.07062232494354</v>
      </c>
      <c r="G352">
        <f>(Master[[#This Row],[Economy_GDP_per_Capita]]*100)/2</f>
        <v>53.531116247177003</v>
      </c>
      <c r="H352">
        <v>1.4021829366684</v>
      </c>
      <c r="I352">
        <f>(Master[[#This Row],[Family]]*100)/2</f>
        <v>70.109146833419999</v>
      </c>
      <c r="J352">
        <v>0.59502792358398404</v>
      </c>
      <c r="K352">
        <f>(Master[[#This Row],[Health_Life_Expectancy]]*100)/2</f>
        <v>29.751396179199201</v>
      </c>
      <c r="L352" s="3">
        <v>0.47748741507530201</v>
      </c>
      <c r="M352" s="3">
        <v>4.6668741852045101E-2</v>
      </c>
      <c r="N352" s="3">
        <v>0.149014472961426</v>
      </c>
    </row>
    <row r="353" spans="1:14" x14ac:dyDescent="0.25">
      <c r="A353">
        <v>2017</v>
      </c>
      <c r="B353" t="s">
        <v>45</v>
      </c>
      <c r="C353">
        <v>37</v>
      </c>
      <c r="D353">
        <v>6.3439998626709002</v>
      </c>
      <c r="E353">
        <f>(Master[[#This Row],[Happiness_Score]]*100)/10</f>
        <v>63.439998626709006</v>
      </c>
      <c r="F353">
        <v>1.53062355518341</v>
      </c>
      <c r="G353">
        <f>(Master[[#This Row],[Economy_GDP_per_Capita]]*100)/2</f>
        <v>76.531177759170504</v>
      </c>
      <c r="H353">
        <v>1.28667759895325</v>
      </c>
      <c r="I353">
        <f>(Master[[#This Row],[Family]]*100)/2</f>
        <v>64.333879947662496</v>
      </c>
      <c r="J353">
        <v>0.59014832973480202</v>
      </c>
      <c r="K353">
        <f>(Master[[#This Row],[Health_Life_Expectancy]]*100)/2</f>
        <v>29.507416486740102</v>
      </c>
      <c r="L353" s="3">
        <v>0.44975057244300798</v>
      </c>
      <c r="M353" s="3">
        <v>0.27343225479125999</v>
      </c>
      <c r="N353" s="3">
        <v>0.14761601388454401</v>
      </c>
    </row>
    <row r="354" spans="1:14" x14ac:dyDescent="0.25">
      <c r="A354">
        <v>2017</v>
      </c>
      <c r="B354" t="s">
        <v>52</v>
      </c>
      <c r="C354">
        <v>38</v>
      </c>
      <c r="D354">
        <v>6.1680002212524396</v>
      </c>
      <c r="E354">
        <f>(Master[[#This Row],[Happiness_Score]]*100)/10</f>
        <v>61.680002212524393</v>
      </c>
      <c r="F354">
        <v>1.36135590076447</v>
      </c>
      <c r="G354">
        <f>(Master[[#This Row],[Economy_GDP_per_Capita]]*100)/2</f>
        <v>68.067795038223494</v>
      </c>
      <c r="H354">
        <v>1.3802285194396999</v>
      </c>
      <c r="I354">
        <f>(Master[[#This Row],[Family]]*100)/2</f>
        <v>69.011425971984991</v>
      </c>
      <c r="J354">
        <v>0.51998329162597701</v>
      </c>
      <c r="K354">
        <f>(Master[[#This Row],[Health_Life_Expectancy]]*100)/2</f>
        <v>25.999164581298849</v>
      </c>
      <c r="L354" s="3">
        <v>0.51863074302673295</v>
      </c>
      <c r="M354" s="3">
        <v>8.9648161083459906E-3</v>
      </c>
      <c r="N354" s="3">
        <v>0.325296461582184</v>
      </c>
    </row>
    <row r="355" spans="1:14" x14ac:dyDescent="0.25">
      <c r="A355">
        <v>2017</v>
      </c>
      <c r="B355" t="s">
        <v>50</v>
      </c>
      <c r="C355">
        <v>39</v>
      </c>
      <c r="D355">
        <v>6.1050000190734899</v>
      </c>
      <c r="E355">
        <f>(Master[[#This Row],[Happiness_Score]]*100)/10</f>
        <v>61.050000190734899</v>
      </c>
      <c r="F355">
        <v>1.63295245170593</v>
      </c>
      <c r="G355">
        <f>(Master[[#This Row],[Economy_GDP_per_Capita]]*100)/2</f>
        <v>81.647622585296503</v>
      </c>
      <c r="H355">
        <v>1.25969874858856</v>
      </c>
      <c r="I355">
        <f>(Master[[#This Row],[Family]]*100)/2</f>
        <v>62.984937429428001</v>
      </c>
      <c r="J355">
        <v>0.63210570812225297</v>
      </c>
      <c r="K355">
        <f>(Master[[#This Row],[Health_Life_Expectancy]]*100)/2</f>
        <v>31.60528540611265</v>
      </c>
      <c r="L355" s="3">
        <v>0.49633759260177601</v>
      </c>
      <c r="M355" s="3">
        <v>0.21515955030918099</v>
      </c>
      <c r="N355" s="3">
        <v>0.22828979790210699</v>
      </c>
    </row>
    <row r="356" spans="1:14" x14ac:dyDescent="0.25">
      <c r="A356">
        <v>2017</v>
      </c>
      <c r="B356" t="s">
        <v>56</v>
      </c>
      <c r="C356">
        <v>40</v>
      </c>
      <c r="D356">
        <v>6.09800004959106</v>
      </c>
      <c r="E356">
        <f>(Master[[#This Row],[Happiness_Score]]*100)/10</f>
        <v>60.980000495910602</v>
      </c>
      <c r="F356">
        <v>1.3253935575485201</v>
      </c>
      <c r="G356">
        <f>(Master[[#This Row],[Economy_GDP_per_Capita]]*100)/2</f>
        <v>66.269677877426005</v>
      </c>
      <c r="H356">
        <v>1.50505924224854</v>
      </c>
      <c r="I356">
        <f>(Master[[#This Row],[Family]]*100)/2</f>
        <v>75.252962112426999</v>
      </c>
      <c r="J356">
        <v>0.71273291110992398</v>
      </c>
      <c r="K356">
        <f>(Master[[#This Row],[Health_Life_Expectancy]]*100)/2</f>
        <v>35.636645555496202</v>
      </c>
      <c r="L356" s="3">
        <v>0.29581746459007302</v>
      </c>
      <c r="M356" s="3">
        <v>2.4210851639509201E-2</v>
      </c>
      <c r="N356" s="3">
        <v>0.13654448091983801</v>
      </c>
    </row>
    <row r="357" spans="1:14" x14ac:dyDescent="0.25">
      <c r="A357">
        <v>2017</v>
      </c>
      <c r="B357" t="s">
        <v>60</v>
      </c>
      <c r="C357">
        <v>41</v>
      </c>
      <c r="D357">
        <v>6.0869998931884801</v>
      </c>
      <c r="E357">
        <f>(Master[[#This Row],[Happiness_Score]]*100)/10</f>
        <v>60.869998931884801</v>
      </c>
      <c r="F357">
        <v>1.4884122610092201</v>
      </c>
      <c r="G357">
        <f>(Master[[#This Row],[Economy_GDP_per_Capita]]*100)/2</f>
        <v>74.420613050461</v>
      </c>
      <c r="H357">
        <v>1.3231104612350499</v>
      </c>
      <c r="I357">
        <f>(Master[[#This Row],[Family]]*100)/2</f>
        <v>66.15552306175249</v>
      </c>
      <c r="J357">
        <v>0.65313303470611594</v>
      </c>
      <c r="K357">
        <f>(Master[[#This Row],[Health_Life_Expectancy]]*100)/2</f>
        <v>32.6566517353058</v>
      </c>
      <c r="L357" s="3">
        <v>0.53674691915512096</v>
      </c>
      <c r="M357" s="3">
        <v>0.25704216957092302</v>
      </c>
      <c r="N357" s="3">
        <v>0.172668486833572</v>
      </c>
    </row>
    <row r="358" spans="1:14" x14ac:dyDescent="0.25">
      <c r="A358">
        <v>2017</v>
      </c>
      <c r="B358" t="s">
        <v>72</v>
      </c>
      <c r="C358">
        <v>42</v>
      </c>
      <c r="D358">
        <v>6.0840001106262198</v>
      </c>
      <c r="E358">
        <f>(Master[[#This Row],[Happiness_Score]]*100)/10</f>
        <v>60.840001106262193</v>
      </c>
      <c r="F358">
        <v>1.29121541976929</v>
      </c>
      <c r="G358">
        <f>(Master[[#This Row],[Economy_GDP_per_Capita]]*100)/2</f>
        <v>64.560770988464498</v>
      </c>
      <c r="H358">
        <v>1.28464603424072</v>
      </c>
      <c r="I358">
        <f>(Master[[#This Row],[Family]]*100)/2</f>
        <v>64.232301712036005</v>
      </c>
      <c r="J358">
        <v>0.61878442764282204</v>
      </c>
      <c r="K358">
        <f>(Master[[#This Row],[Health_Life_Expectancy]]*100)/2</f>
        <v>30.939221382141103</v>
      </c>
      <c r="L358" s="3">
        <v>0.40226498246192899</v>
      </c>
      <c r="M358" s="3">
        <v>6.5600708127021803E-2</v>
      </c>
      <c r="N358" s="3">
        <v>0.41660892963409402</v>
      </c>
    </row>
    <row r="359" spans="1:14" x14ac:dyDescent="0.25">
      <c r="A359">
        <v>2017</v>
      </c>
      <c r="B359" t="s">
        <v>68</v>
      </c>
      <c r="C359">
        <v>43</v>
      </c>
      <c r="D359">
        <v>6.0710000991821298</v>
      </c>
      <c r="E359">
        <f>(Master[[#This Row],[Happiness_Score]]*100)/10</f>
        <v>60.710000991821303</v>
      </c>
      <c r="F359">
        <v>0.737299203872681</v>
      </c>
      <c r="G359">
        <f>(Master[[#This Row],[Economy_GDP_per_Capita]]*100)/2</f>
        <v>36.864960193634047</v>
      </c>
      <c r="H359">
        <v>1.28721570968628</v>
      </c>
      <c r="I359">
        <f>(Master[[#This Row],[Family]]*100)/2</f>
        <v>64.360785484313993</v>
      </c>
      <c r="J359">
        <v>0.65309596061706499</v>
      </c>
      <c r="K359">
        <f>(Master[[#This Row],[Health_Life_Expectancy]]*100)/2</f>
        <v>32.65479803085325</v>
      </c>
      <c r="L359" s="3">
        <v>0.44755184650421098</v>
      </c>
      <c r="M359" s="3">
        <v>0.130687981843948</v>
      </c>
      <c r="N359" s="3">
        <v>0.30167421698570301</v>
      </c>
    </row>
    <row r="360" spans="1:14" x14ac:dyDescent="0.25">
      <c r="A360">
        <v>2017</v>
      </c>
      <c r="B360" t="s">
        <v>59</v>
      </c>
      <c r="C360">
        <v>44</v>
      </c>
      <c r="D360">
        <v>6.0079998970031703</v>
      </c>
      <c r="E360">
        <f>(Master[[#This Row],[Happiness_Score]]*100)/10</f>
        <v>60.079998970031703</v>
      </c>
      <c r="F360">
        <v>1.00082039833069</v>
      </c>
      <c r="G360">
        <f>(Master[[#This Row],[Economy_GDP_per_Capita]]*100)/2</f>
        <v>50.041019916534502</v>
      </c>
      <c r="H360">
        <v>1.2861688137054399</v>
      </c>
      <c r="I360">
        <f>(Master[[#This Row],[Family]]*100)/2</f>
        <v>64.308440685271989</v>
      </c>
      <c r="J360">
        <v>0.68563622236251798</v>
      </c>
      <c r="K360">
        <f>(Master[[#This Row],[Health_Life_Expectancy]]*100)/2</f>
        <v>34.281811118125901</v>
      </c>
      <c r="L360" s="3">
        <v>0.45519819855690002</v>
      </c>
      <c r="M360" s="3">
        <v>0.140134647488594</v>
      </c>
      <c r="N360" s="3">
        <v>0.150112465023994</v>
      </c>
    </row>
    <row r="361" spans="1:14" x14ac:dyDescent="0.25">
      <c r="A361">
        <v>2017</v>
      </c>
      <c r="B361" t="s">
        <v>53</v>
      </c>
      <c r="C361">
        <v>45</v>
      </c>
      <c r="D361">
        <v>6.0029997825622603</v>
      </c>
      <c r="E361">
        <f>(Master[[#This Row],[Happiness_Score]]*100)/10</f>
        <v>60.029997825622601</v>
      </c>
      <c r="F361">
        <v>0.909784495830536</v>
      </c>
      <c r="G361">
        <f>(Master[[#This Row],[Economy_GDP_per_Capita]]*100)/2</f>
        <v>45.489224791526802</v>
      </c>
      <c r="H361">
        <v>1.1821250915527299</v>
      </c>
      <c r="I361">
        <f>(Master[[#This Row],[Family]]*100)/2</f>
        <v>59.106254577636498</v>
      </c>
      <c r="J361">
        <v>0.59601855278015103</v>
      </c>
      <c r="K361">
        <f>(Master[[#This Row],[Health_Life_Expectancy]]*100)/2</f>
        <v>29.800927639007551</v>
      </c>
      <c r="L361" s="3">
        <v>0.43245252966880798</v>
      </c>
      <c r="M361" s="3">
        <v>8.9980959892272894E-2</v>
      </c>
      <c r="N361" s="3">
        <v>7.8257985413074493E-2</v>
      </c>
    </row>
    <row r="362" spans="1:14" x14ac:dyDescent="0.25">
      <c r="A362">
        <v>2017</v>
      </c>
      <c r="B362" t="s">
        <v>71</v>
      </c>
      <c r="C362">
        <v>46</v>
      </c>
      <c r="D362">
        <v>5.97300004959106</v>
      </c>
      <c r="E362">
        <f>(Master[[#This Row],[Happiness_Score]]*100)/10</f>
        <v>59.730000495910602</v>
      </c>
      <c r="F362">
        <v>1.29178786277771</v>
      </c>
      <c r="G362">
        <f>(Master[[#This Row],[Economy_GDP_per_Capita]]*100)/2</f>
        <v>64.589393138885498</v>
      </c>
      <c r="H362">
        <v>1.44571197032928</v>
      </c>
      <c r="I362">
        <f>(Master[[#This Row],[Family]]*100)/2</f>
        <v>72.285598516464006</v>
      </c>
      <c r="J362">
        <v>0.69947534799575795</v>
      </c>
      <c r="K362">
        <f>(Master[[#This Row],[Health_Life_Expectancy]]*100)/2</f>
        <v>34.973767399787896</v>
      </c>
      <c r="L362" s="3">
        <v>0.52034211158752397</v>
      </c>
      <c r="M362" s="3">
        <v>5.9307806193828597E-2</v>
      </c>
      <c r="N362" s="3">
        <v>0.158465966582298</v>
      </c>
    </row>
    <row r="363" spans="1:14" x14ac:dyDescent="0.25">
      <c r="A363">
        <v>2017</v>
      </c>
      <c r="B363" t="s">
        <v>55</v>
      </c>
      <c r="C363">
        <v>47</v>
      </c>
      <c r="D363">
        <v>5.9710001945495597</v>
      </c>
      <c r="E363">
        <f>(Master[[#This Row],[Happiness_Score]]*100)/10</f>
        <v>59.710001945495591</v>
      </c>
      <c r="F363">
        <v>0.78644108772277799</v>
      </c>
      <c r="G363">
        <f>(Master[[#This Row],[Economy_GDP_per_Capita]]*100)/2</f>
        <v>39.322054386138902</v>
      </c>
      <c r="H363">
        <v>1.5489691495895399</v>
      </c>
      <c r="I363">
        <f>(Master[[#This Row],[Family]]*100)/2</f>
        <v>77.448457479477</v>
      </c>
      <c r="J363">
        <v>0.49827262759208701</v>
      </c>
      <c r="K363">
        <f>(Master[[#This Row],[Health_Life_Expectancy]]*100)/2</f>
        <v>24.91363137960435</v>
      </c>
      <c r="L363" s="3">
        <v>0.65824866294860795</v>
      </c>
      <c r="M363" s="3">
        <v>0.24652822315692899</v>
      </c>
      <c r="N363" s="3">
        <v>0.415983647108078</v>
      </c>
    </row>
    <row r="364" spans="1:14" x14ac:dyDescent="0.25">
      <c r="A364">
        <v>2017</v>
      </c>
      <c r="B364" t="s">
        <v>61</v>
      </c>
      <c r="C364">
        <v>48</v>
      </c>
      <c r="D364">
        <v>5.9640002250671396</v>
      </c>
      <c r="E364">
        <f>(Master[[#This Row],[Happiness_Score]]*100)/10</f>
        <v>59.640002250671401</v>
      </c>
      <c r="F364">
        <v>1.3950666189193699</v>
      </c>
      <c r="G364">
        <f>(Master[[#This Row],[Economy_GDP_per_Capita]]*100)/2</f>
        <v>69.7533309459685</v>
      </c>
      <c r="H364">
        <v>1.44492328166962</v>
      </c>
      <c r="I364">
        <f>(Master[[#This Row],[Family]]*100)/2</f>
        <v>72.246164083481005</v>
      </c>
      <c r="J364">
        <v>0.85314434766769398</v>
      </c>
      <c r="K364">
        <f>(Master[[#This Row],[Health_Life_Expectancy]]*100)/2</f>
        <v>42.657217383384697</v>
      </c>
      <c r="L364" s="3">
        <v>0.25645071268081698</v>
      </c>
      <c r="M364" s="3">
        <v>2.8028091415762901E-2</v>
      </c>
      <c r="N364" s="3">
        <v>0.17278964817524001</v>
      </c>
    </row>
    <row r="365" spans="1:14" x14ac:dyDescent="0.25">
      <c r="A365">
        <v>2017</v>
      </c>
      <c r="B365" t="s">
        <v>75</v>
      </c>
      <c r="C365">
        <v>49</v>
      </c>
      <c r="D365">
        <v>5.9629998207092303</v>
      </c>
      <c r="E365">
        <f>(Master[[#This Row],[Happiness_Score]]*100)/10</f>
        <v>59.629998207092306</v>
      </c>
      <c r="F365">
        <v>1.28177809715271</v>
      </c>
      <c r="G365">
        <f>(Master[[#This Row],[Economy_GDP_per_Capita]]*100)/2</f>
        <v>64.088904857635498</v>
      </c>
      <c r="H365">
        <v>1.46928238868713</v>
      </c>
      <c r="I365">
        <f>(Master[[#This Row],[Family]]*100)/2</f>
        <v>73.464119434356505</v>
      </c>
      <c r="J365">
        <v>0.547349333763123</v>
      </c>
      <c r="K365">
        <f>(Master[[#This Row],[Health_Life_Expectancy]]*100)/2</f>
        <v>27.367466688156149</v>
      </c>
      <c r="L365" s="3">
        <v>0.37378311157226601</v>
      </c>
      <c r="M365" s="3">
        <v>3.2962881028652198E-2</v>
      </c>
      <c r="N365" s="3">
        <v>5.2263822406530401E-2</v>
      </c>
    </row>
    <row r="366" spans="1:14" x14ac:dyDescent="0.25">
      <c r="A366">
        <v>2017</v>
      </c>
      <c r="B366" t="s">
        <v>174</v>
      </c>
      <c r="C366">
        <v>50</v>
      </c>
      <c r="D366">
        <v>5.9559998512268102</v>
      </c>
      <c r="E366">
        <f>(Master[[#This Row],[Happiness_Score]]*100)/10</f>
        <v>59.559998512268102</v>
      </c>
      <c r="F366">
        <v>0.90797531604766801</v>
      </c>
      <c r="G366">
        <f>(Master[[#This Row],[Economy_GDP_per_Capita]]*100)/2</f>
        <v>45.398765802383402</v>
      </c>
      <c r="H366">
        <v>1.0814177989959699</v>
      </c>
      <c r="I366">
        <f>(Master[[#This Row],[Family]]*100)/2</f>
        <v>54.070889949798499</v>
      </c>
      <c r="J366">
        <v>0.45019176602363598</v>
      </c>
      <c r="K366">
        <f>(Master[[#This Row],[Health_Life_Expectancy]]*100)/2</f>
        <v>22.5095883011818</v>
      </c>
      <c r="L366" s="3">
        <v>0.54750937223434404</v>
      </c>
      <c r="M366" s="3">
        <v>9.6581071615219102E-2</v>
      </c>
      <c r="N366" s="3">
        <v>0.24001564085483601</v>
      </c>
    </row>
    <row r="367" spans="1:14" x14ac:dyDescent="0.25">
      <c r="A367">
        <v>2017</v>
      </c>
      <c r="B367" t="s">
        <v>57</v>
      </c>
      <c r="C367">
        <v>51</v>
      </c>
      <c r="D367">
        <v>5.9200000762939498</v>
      </c>
      <c r="E367">
        <f>(Master[[#This Row],[Happiness_Score]]*100)/10</f>
        <v>59.200000762939496</v>
      </c>
      <c r="F367">
        <v>1.41691517829895</v>
      </c>
      <c r="G367">
        <f>(Master[[#This Row],[Economy_GDP_per_Capita]]*100)/2</f>
        <v>70.845758914947496</v>
      </c>
      <c r="H367">
        <v>1.4363378286361701</v>
      </c>
      <c r="I367">
        <f>(Master[[#This Row],[Family]]*100)/2</f>
        <v>71.8168914318085</v>
      </c>
      <c r="J367">
        <v>0.91347587108612105</v>
      </c>
      <c r="K367">
        <f>(Master[[#This Row],[Health_Life_Expectancy]]*100)/2</f>
        <v>45.673793554306052</v>
      </c>
      <c r="L367" s="3">
        <v>0.50562554597854603</v>
      </c>
      <c r="M367" s="3">
        <v>0.163760736584663</v>
      </c>
      <c r="N367" s="3">
        <v>0.12057276815176</v>
      </c>
    </row>
    <row r="368" spans="1:14" x14ac:dyDescent="0.25">
      <c r="A368">
        <v>2017</v>
      </c>
      <c r="B368" t="s">
        <v>67</v>
      </c>
      <c r="C368">
        <v>52</v>
      </c>
      <c r="D368">
        <v>5.90199995040894</v>
      </c>
      <c r="E368">
        <f>(Master[[#This Row],[Happiness_Score]]*100)/10</f>
        <v>59.019999504089398</v>
      </c>
      <c r="F368">
        <v>1.3145823478698699</v>
      </c>
      <c r="G368">
        <f>(Master[[#This Row],[Economy_GDP_per_Capita]]*100)/2</f>
        <v>65.729117393493496</v>
      </c>
      <c r="H368">
        <v>1.47351610660553</v>
      </c>
      <c r="I368">
        <f>(Master[[#This Row],[Family]]*100)/2</f>
        <v>73.675805330276503</v>
      </c>
      <c r="J368">
        <v>0.62894994020462003</v>
      </c>
      <c r="K368">
        <f>(Master[[#This Row],[Health_Life_Expectancy]]*100)/2</f>
        <v>31.447497010231</v>
      </c>
      <c r="L368" s="3">
        <v>0.23423178493976601</v>
      </c>
      <c r="M368" s="3">
        <v>1.18656428530812E-2</v>
      </c>
      <c r="N368" s="3">
        <v>1.0164656676352E-2</v>
      </c>
    </row>
    <row r="369" spans="1:14" x14ac:dyDescent="0.25">
      <c r="A369">
        <v>2017</v>
      </c>
      <c r="B369" t="s">
        <v>79</v>
      </c>
      <c r="C369">
        <v>53</v>
      </c>
      <c r="D369">
        <v>5.8720002174377397</v>
      </c>
      <c r="E369">
        <f>(Master[[#This Row],[Happiness_Score]]*100)/10</f>
        <v>58.720002174377399</v>
      </c>
      <c r="F369">
        <v>1.09186446666718</v>
      </c>
      <c r="G369">
        <f>(Master[[#This Row],[Economy_GDP_per_Capita]]*100)/2</f>
        <v>54.593223333358999</v>
      </c>
      <c r="H369">
        <v>1.1462174654007</v>
      </c>
      <c r="I369">
        <f>(Master[[#This Row],[Family]]*100)/2</f>
        <v>57.310873270035003</v>
      </c>
      <c r="J369">
        <v>0.61758464574813798</v>
      </c>
      <c r="K369">
        <f>(Master[[#This Row],[Health_Life_Expectancy]]*100)/2</f>
        <v>30.8792322874069</v>
      </c>
      <c r="L369" s="3">
        <v>0.23333580791950201</v>
      </c>
      <c r="M369" s="3">
        <v>0.14609611034393299</v>
      </c>
      <c r="N369" s="3">
        <v>6.9436646997928606E-2</v>
      </c>
    </row>
    <row r="370" spans="1:14" x14ac:dyDescent="0.25">
      <c r="A370">
        <v>2017</v>
      </c>
      <c r="B370" t="s">
        <v>102</v>
      </c>
      <c r="C370">
        <v>54</v>
      </c>
      <c r="D370">
        <v>5.8499999046325701</v>
      </c>
      <c r="E370">
        <f>(Master[[#This Row],[Happiness_Score]]*100)/10</f>
        <v>58.499999046325705</v>
      </c>
      <c r="F370">
        <v>1.26074862480164</v>
      </c>
      <c r="G370">
        <f>(Master[[#This Row],[Economy_GDP_per_Capita]]*100)/2</f>
        <v>63.037431240082</v>
      </c>
      <c r="H370">
        <v>1.4047149419784499</v>
      </c>
      <c r="I370">
        <f>(Master[[#This Row],[Family]]*100)/2</f>
        <v>70.235747098922502</v>
      </c>
      <c r="J370">
        <v>0.63856697082519498</v>
      </c>
      <c r="K370">
        <f>(Master[[#This Row],[Health_Life_Expectancy]]*100)/2</f>
        <v>31.928348541259748</v>
      </c>
      <c r="L370" s="3">
        <v>0.32570791244506803</v>
      </c>
      <c r="M370" s="3">
        <v>7.3842726647853907E-2</v>
      </c>
      <c r="N370" s="3">
        <v>0.153074786067009</v>
      </c>
    </row>
    <row r="371" spans="1:14" x14ac:dyDescent="0.25">
      <c r="A371">
        <v>2017</v>
      </c>
      <c r="B371" t="s">
        <v>58</v>
      </c>
      <c r="C371">
        <v>55</v>
      </c>
      <c r="D371">
        <v>5.8379998207092303</v>
      </c>
      <c r="E371">
        <f>(Master[[#This Row],[Happiness_Score]]*100)/10</f>
        <v>58.379998207092306</v>
      </c>
      <c r="F371">
        <v>1.40167844295502</v>
      </c>
      <c r="G371">
        <f>(Master[[#This Row],[Economy_GDP_per_Capita]]*100)/2</f>
        <v>70.083922147750997</v>
      </c>
      <c r="H371">
        <v>1.12827444076538</v>
      </c>
      <c r="I371">
        <f>(Master[[#This Row],[Family]]*100)/2</f>
        <v>56.413722038269</v>
      </c>
      <c r="J371">
        <v>0.90021407604217496</v>
      </c>
      <c r="K371">
        <f>(Master[[#This Row],[Health_Life_Expectancy]]*100)/2</f>
        <v>45.01070380210875</v>
      </c>
      <c r="L371" s="3">
        <v>0.25792166590690602</v>
      </c>
      <c r="M371" s="3">
        <v>6.3282668590545696E-2</v>
      </c>
      <c r="N371" s="3">
        <v>0.20667436718940699</v>
      </c>
    </row>
    <row r="372" spans="1:14" x14ac:dyDescent="0.25">
      <c r="A372">
        <v>2017</v>
      </c>
      <c r="B372" t="s">
        <v>63</v>
      </c>
      <c r="C372">
        <v>56</v>
      </c>
      <c r="D372">
        <v>5.8379998207092303</v>
      </c>
      <c r="E372">
        <f>(Master[[#This Row],[Happiness_Score]]*100)/10</f>
        <v>58.379998207092306</v>
      </c>
      <c r="F372">
        <v>0.728870630264282</v>
      </c>
      <c r="G372">
        <f>(Master[[#This Row],[Economy_GDP_per_Capita]]*100)/2</f>
        <v>36.443531513214097</v>
      </c>
      <c r="H372">
        <v>1.25182557106018</v>
      </c>
      <c r="I372">
        <f>(Master[[#This Row],[Family]]*100)/2</f>
        <v>62.591278553008998</v>
      </c>
      <c r="J372">
        <v>0.58946520090103105</v>
      </c>
      <c r="K372">
        <f>(Master[[#This Row],[Health_Life_Expectancy]]*100)/2</f>
        <v>29.473260045051553</v>
      </c>
      <c r="L372" s="3">
        <v>0.24072904884815199</v>
      </c>
      <c r="M372" s="3">
        <v>1.00912861526012E-2</v>
      </c>
      <c r="N372" s="3">
        <v>0.208779126405716</v>
      </c>
    </row>
    <row r="373" spans="1:14" x14ac:dyDescent="0.25">
      <c r="A373">
        <v>2017</v>
      </c>
      <c r="B373" t="s">
        <v>99</v>
      </c>
      <c r="C373">
        <v>57</v>
      </c>
      <c r="D373">
        <v>5.8249998092651403</v>
      </c>
      <c r="E373">
        <f>(Master[[#This Row],[Happiness_Score]]*100)/10</f>
        <v>58.249998092651403</v>
      </c>
      <c r="F373">
        <v>1.21768391132355</v>
      </c>
      <c r="G373">
        <f>(Master[[#This Row],[Economy_GDP_per_Capita]]*100)/2</f>
        <v>60.884195566177503</v>
      </c>
      <c r="H373">
        <v>1.15009129047394</v>
      </c>
      <c r="I373">
        <f>(Master[[#This Row],[Family]]*100)/2</f>
        <v>57.504564523696999</v>
      </c>
      <c r="J373">
        <v>0.68515831232070901</v>
      </c>
      <c r="K373">
        <f>(Master[[#This Row],[Health_Life_Expectancy]]*100)/2</f>
        <v>34.257915616035447</v>
      </c>
      <c r="L373" s="3">
        <v>0.45700374245643599</v>
      </c>
      <c r="M373" s="3">
        <v>4.3879006989300303E-3</v>
      </c>
      <c r="N373" s="3">
        <v>0.133519917726517</v>
      </c>
    </row>
    <row r="374" spans="1:14" x14ac:dyDescent="0.25">
      <c r="A374">
        <v>2017</v>
      </c>
      <c r="B374" t="s">
        <v>62</v>
      </c>
      <c r="C374">
        <v>58</v>
      </c>
      <c r="D374">
        <v>5.8229999542236301</v>
      </c>
      <c r="E374">
        <f>(Master[[#This Row],[Happiness_Score]]*100)/10</f>
        <v>58.229999542236307</v>
      </c>
      <c r="F374">
        <v>0.83375656604766801</v>
      </c>
      <c r="G374">
        <f>(Master[[#This Row],[Economy_GDP_per_Capita]]*100)/2</f>
        <v>41.687828302383402</v>
      </c>
      <c r="H374">
        <v>1.2276190519332899</v>
      </c>
      <c r="I374">
        <f>(Master[[#This Row],[Family]]*100)/2</f>
        <v>61.380952596664493</v>
      </c>
      <c r="J374">
        <v>0.47363024950027499</v>
      </c>
      <c r="K374">
        <f>(Master[[#This Row],[Health_Life_Expectancy]]*100)/2</f>
        <v>23.681512475013751</v>
      </c>
      <c r="L374" s="3">
        <v>0.55873292684555098</v>
      </c>
      <c r="M374" s="3">
        <v>6.0477726161479901E-2</v>
      </c>
      <c r="N374" s="3">
        <v>0.22556072473526001</v>
      </c>
    </row>
    <row r="375" spans="1:14" x14ac:dyDescent="0.25">
      <c r="A375">
        <v>2017</v>
      </c>
      <c r="B375" t="s">
        <v>81</v>
      </c>
      <c r="C375">
        <v>59</v>
      </c>
      <c r="D375">
        <v>5.82200002670288</v>
      </c>
      <c r="E375">
        <f>(Master[[#This Row],[Happiness_Score]]*100)/10</f>
        <v>58.220000267028794</v>
      </c>
      <c r="F375">
        <v>1.13077676296234</v>
      </c>
      <c r="G375">
        <f>(Master[[#This Row],[Economy_GDP_per_Capita]]*100)/2</f>
        <v>56.538838148117001</v>
      </c>
      <c r="H375">
        <v>1.4931491613388099</v>
      </c>
      <c r="I375">
        <f>(Master[[#This Row],[Family]]*100)/2</f>
        <v>74.657458066940492</v>
      </c>
      <c r="J375">
        <v>0.437726080417633</v>
      </c>
      <c r="K375">
        <f>(Master[[#This Row],[Health_Life_Expectancy]]*100)/2</f>
        <v>21.886304020881649</v>
      </c>
      <c r="L375" s="3">
        <v>0.41827192902565002</v>
      </c>
      <c r="M375" s="3">
        <v>0.259270340204239</v>
      </c>
      <c r="N375" s="3">
        <v>0.24992498755455</v>
      </c>
    </row>
    <row r="376" spans="1:14" x14ac:dyDescent="0.25">
      <c r="A376">
        <v>2017</v>
      </c>
      <c r="B376" t="s">
        <v>65</v>
      </c>
      <c r="C376">
        <v>60</v>
      </c>
      <c r="D376">
        <v>5.8189997673034703</v>
      </c>
      <c r="E376">
        <f>(Master[[#This Row],[Happiness_Score]]*100)/10</f>
        <v>58.189997673034703</v>
      </c>
      <c r="F376">
        <v>1.28455626964569</v>
      </c>
      <c r="G376">
        <f>(Master[[#This Row],[Economy_GDP_per_Capita]]*100)/2</f>
        <v>64.227813482284503</v>
      </c>
      <c r="H376">
        <v>1.3843690156936601</v>
      </c>
      <c r="I376">
        <f>(Master[[#This Row],[Family]]*100)/2</f>
        <v>69.218450784683</v>
      </c>
      <c r="J376">
        <v>0.60604155063629195</v>
      </c>
      <c r="K376">
        <f>(Master[[#This Row],[Health_Life_Expectancy]]*100)/2</f>
        <v>30.302077531814597</v>
      </c>
      <c r="L376" s="3">
        <v>0.437454283237457</v>
      </c>
      <c r="M376" s="3">
        <v>0.119282886385918</v>
      </c>
      <c r="N376" s="3">
        <v>0.20196442306041701</v>
      </c>
    </row>
    <row r="377" spans="1:14" x14ac:dyDescent="0.25">
      <c r="A377">
        <v>2017</v>
      </c>
      <c r="B377" t="s">
        <v>77</v>
      </c>
      <c r="C377">
        <v>61</v>
      </c>
      <c r="D377">
        <v>5.8099999427795401</v>
      </c>
      <c r="E377">
        <f>(Master[[#This Row],[Happiness_Score]]*100)/10</f>
        <v>58.099999427795396</v>
      </c>
      <c r="F377">
        <v>1.3469113111496001</v>
      </c>
      <c r="G377">
        <f>(Master[[#This Row],[Economy_GDP_per_Capita]]*100)/2</f>
        <v>67.345565557480001</v>
      </c>
      <c r="H377">
        <v>1.1863033771514899</v>
      </c>
      <c r="I377">
        <f>(Master[[#This Row],[Family]]*100)/2</f>
        <v>59.315168857574498</v>
      </c>
      <c r="J377">
        <v>0.83464723825454701</v>
      </c>
      <c r="K377">
        <f>(Master[[#This Row],[Health_Life_Expectancy]]*100)/2</f>
        <v>41.732361912727349</v>
      </c>
      <c r="L377" s="3">
        <v>0.47120362520217901</v>
      </c>
      <c r="M377" s="3">
        <v>0.15535335242748299</v>
      </c>
      <c r="N377" s="3">
        <v>0.266845703125</v>
      </c>
    </row>
    <row r="378" spans="1:14" x14ac:dyDescent="0.25">
      <c r="A378">
        <v>2017</v>
      </c>
      <c r="B378" t="s">
        <v>66</v>
      </c>
      <c r="C378">
        <v>62</v>
      </c>
      <c r="D378">
        <v>5.7579998970031703</v>
      </c>
      <c r="E378">
        <f>(Master[[#This Row],[Happiness_Score]]*100)/10</f>
        <v>57.579998970031703</v>
      </c>
      <c r="F378">
        <v>1.3412059545517001</v>
      </c>
      <c r="G378">
        <f>(Master[[#This Row],[Economy_GDP_per_Capita]]*100)/2</f>
        <v>67.060297727585009</v>
      </c>
      <c r="H378">
        <v>1.4525188207626301</v>
      </c>
      <c r="I378">
        <f>(Master[[#This Row],[Family]]*100)/2</f>
        <v>72.625941038131501</v>
      </c>
      <c r="J378">
        <v>0.79082822799682595</v>
      </c>
      <c r="K378">
        <f>(Master[[#This Row],[Health_Life_Expectancy]]*100)/2</f>
        <v>39.541411399841294</v>
      </c>
      <c r="L378" s="3">
        <v>0.57257580757141102</v>
      </c>
      <c r="M378" s="3">
        <v>4.5128978788852699E-2</v>
      </c>
      <c r="N378" s="3">
        <v>0.24264909327030201</v>
      </c>
    </row>
    <row r="379" spans="1:14" x14ac:dyDescent="0.25">
      <c r="A379">
        <v>2017</v>
      </c>
      <c r="B379" t="s">
        <v>69</v>
      </c>
      <c r="C379">
        <v>63</v>
      </c>
      <c r="D379">
        <v>5.7150001525878897</v>
      </c>
      <c r="E379">
        <f>(Master[[#This Row],[Happiness_Score]]*100)/10</f>
        <v>57.150001525878892</v>
      </c>
      <c r="F379">
        <v>1.0352252721786499</v>
      </c>
      <c r="G379">
        <f>(Master[[#This Row],[Economy_GDP_per_Capita]]*100)/2</f>
        <v>51.761263608932495</v>
      </c>
      <c r="H379">
        <v>1.2187703847885101</v>
      </c>
      <c r="I379">
        <f>(Master[[#This Row],[Family]]*100)/2</f>
        <v>60.938519239425503</v>
      </c>
      <c r="J379">
        <v>0.63016611337661699</v>
      </c>
      <c r="K379">
        <f>(Master[[#This Row],[Health_Life_Expectancy]]*100)/2</f>
        <v>31.50830566883085</v>
      </c>
      <c r="L379" s="3">
        <v>0.45000287890434298</v>
      </c>
      <c r="M379" s="3">
        <v>4.7049086540937403E-2</v>
      </c>
      <c r="N379" s="3">
        <v>0.12681971490383101</v>
      </c>
    </row>
    <row r="380" spans="1:14" x14ac:dyDescent="0.25">
      <c r="A380">
        <v>2017</v>
      </c>
      <c r="B380" t="s">
        <v>82</v>
      </c>
      <c r="C380">
        <v>64</v>
      </c>
      <c r="D380">
        <v>5.6290001869201696</v>
      </c>
      <c r="E380">
        <f>(Master[[#This Row],[Happiness_Score]]*100)/10</f>
        <v>56.290001869201696</v>
      </c>
      <c r="F380">
        <v>1.1893955469131501</v>
      </c>
      <c r="G380">
        <f>(Master[[#This Row],[Economy_GDP_per_Capita]]*100)/2</f>
        <v>59.469777345657505</v>
      </c>
      <c r="H380">
        <v>1.20956099033356</v>
      </c>
      <c r="I380">
        <f>(Master[[#This Row],[Family]]*100)/2</f>
        <v>60.478049516677999</v>
      </c>
      <c r="J380">
        <v>0.63800746202468905</v>
      </c>
      <c r="K380">
        <f>(Master[[#This Row],[Health_Life_Expectancy]]*100)/2</f>
        <v>31.900373101234454</v>
      </c>
      <c r="L380" s="3">
        <v>0.49124732613563499</v>
      </c>
      <c r="M380" s="3">
        <v>4.2181555181741701E-2</v>
      </c>
      <c r="N380" s="3">
        <v>0.36093375086784402</v>
      </c>
    </row>
    <row r="381" spans="1:14" x14ac:dyDescent="0.25">
      <c r="A381">
        <v>2017</v>
      </c>
      <c r="B381" t="s">
        <v>78</v>
      </c>
      <c r="C381">
        <v>65</v>
      </c>
      <c r="D381">
        <v>5.6209998130798304</v>
      </c>
      <c r="E381">
        <f>(Master[[#This Row],[Happiness_Score]]*100)/10</f>
        <v>56.209998130798304</v>
      </c>
      <c r="F381">
        <v>1.3559380769729601</v>
      </c>
      <c r="G381">
        <f>(Master[[#This Row],[Economy_GDP_per_Capita]]*100)/2</f>
        <v>67.796903848648</v>
      </c>
      <c r="H381">
        <v>1.13136327266693</v>
      </c>
      <c r="I381">
        <f>(Master[[#This Row],[Family]]*100)/2</f>
        <v>56.568163633346501</v>
      </c>
      <c r="J381">
        <v>0.84471470117569003</v>
      </c>
      <c r="K381">
        <f>(Master[[#This Row],[Health_Life_Expectancy]]*100)/2</f>
        <v>42.235735058784499</v>
      </c>
      <c r="L381" s="3">
        <v>0.35511153936386097</v>
      </c>
      <c r="M381" s="3">
        <v>4.1237976402044303E-2</v>
      </c>
      <c r="N381" s="3">
        <v>0.27125430107116699</v>
      </c>
    </row>
    <row r="382" spans="1:14" x14ac:dyDescent="0.25">
      <c r="A382">
        <v>2017</v>
      </c>
      <c r="B382" t="s">
        <v>85</v>
      </c>
      <c r="C382">
        <v>66</v>
      </c>
      <c r="D382">
        <v>5.6110000610351598</v>
      </c>
      <c r="E382">
        <f>(Master[[#This Row],[Happiness_Score]]*100)/10</f>
        <v>56.110000610351598</v>
      </c>
      <c r="F382">
        <v>1.32087934017181</v>
      </c>
      <c r="G382">
        <f>(Master[[#This Row],[Economy_GDP_per_Capita]]*100)/2</f>
        <v>66.043967008590499</v>
      </c>
      <c r="H382">
        <v>1.4766710996627801</v>
      </c>
      <c r="I382">
        <f>(Master[[#This Row],[Family]]*100)/2</f>
        <v>73.83355498313901</v>
      </c>
      <c r="J382">
        <v>0.695168316364288</v>
      </c>
      <c r="K382">
        <f>(Master[[#This Row],[Health_Life_Expectancy]]*100)/2</f>
        <v>34.758415818214402</v>
      </c>
      <c r="L382" s="3">
        <v>0.479131430387497</v>
      </c>
      <c r="M382" s="3">
        <v>0.183248922228813</v>
      </c>
      <c r="N382" s="3">
        <v>9.8890811204910306E-2</v>
      </c>
    </row>
    <row r="383" spans="1:14" x14ac:dyDescent="0.25">
      <c r="A383">
        <v>2017</v>
      </c>
      <c r="B383" t="s">
        <v>70</v>
      </c>
      <c r="C383">
        <v>67</v>
      </c>
      <c r="D383">
        <v>5.5689997673034703</v>
      </c>
      <c r="E383">
        <f>(Master[[#This Row],[Happiness_Score]]*100)/10</f>
        <v>55.689997673034703</v>
      </c>
      <c r="F383">
        <v>1.1565575599670399</v>
      </c>
      <c r="G383">
        <f>(Master[[#This Row],[Economy_GDP_per_Capita]]*100)/2</f>
        <v>57.827877998351994</v>
      </c>
      <c r="H383">
        <v>1.44494521617889</v>
      </c>
      <c r="I383">
        <f>(Master[[#This Row],[Family]]*100)/2</f>
        <v>72.247260808944503</v>
      </c>
      <c r="J383">
        <v>0.63771426677703902</v>
      </c>
      <c r="K383">
        <f>(Master[[#This Row],[Health_Life_Expectancy]]*100)/2</f>
        <v>31.88571333885195</v>
      </c>
      <c r="L383" s="3">
        <v>0.29540026187896701</v>
      </c>
      <c r="M383" s="3">
        <v>0.156313821673393</v>
      </c>
      <c r="N383" s="3">
        <v>0.15513750910759</v>
      </c>
    </row>
    <row r="384" spans="1:14" x14ac:dyDescent="0.25">
      <c r="A384">
        <v>2017</v>
      </c>
      <c r="B384" t="s">
        <v>74</v>
      </c>
      <c r="C384">
        <v>68</v>
      </c>
      <c r="D384">
        <v>5.5250000953674299</v>
      </c>
      <c r="E384">
        <f>(Master[[#This Row],[Happiness_Score]]*100)/10</f>
        <v>55.250000953674295</v>
      </c>
      <c r="F384">
        <v>1.1018030643463099</v>
      </c>
      <c r="G384">
        <f>(Master[[#This Row],[Economy_GDP_per_Capita]]*100)/2</f>
        <v>55.090153217315496</v>
      </c>
      <c r="H384">
        <v>1.3575643301010101</v>
      </c>
      <c r="I384">
        <f>(Master[[#This Row],[Family]]*100)/2</f>
        <v>67.878216505050503</v>
      </c>
      <c r="J384">
        <v>0.52016901969909701</v>
      </c>
      <c r="K384">
        <f>(Master[[#This Row],[Health_Life_Expectancy]]*100)/2</f>
        <v>26.008450984954852</v>
      </c>
      <c r="L384" s="3">
        <v>0.46573323011398299</v>
      </c>
      <c r="M384" s="3">
        <v>9.2610210180282607E-2</v>
      </c>
      <c r="N384" s="3">
        <v>0.15207366645336201</v>
      </c>
    </row>
    <row r="385" spans="1:14" x14ac:dyDescent="0.25">
      <c r="A385">
        <v>2017</v>
      </c>
      <c r="B385" t="s">
        <v>88</v>
      </c>
      <c r="C385">
        <v>69</v>
      </c>
      <c r="D385">
        <v>5.5</v>
      </c>
      <c r="E385">
        <f>(Master[[#This Row],[Happiness_Score]]*100)/10</f>
        <v>55</v>
      </c>
      <c r="F385">
        <v>1.19827437400818</v>
      </c>
      <c r="G385">
        <f>(Master[[#This Row],[Economy_GDP_per_Capita]]*100)/2</f>
        <v>59.913718700408999</v>
      </c>
      <c r="H385">
        <v>1.3377531766891499</v>
      </c>
      <c r="I385">
        <f>(Master[[#This Row],[Family]]*100)/2</f>
        <v>66.887658834457497</v>
      </c>
      <c r="J385">
        <v>0.63760560750961304</v>
      </c>
      <c r="K385">
        <f>(Master[[#This Row],[Health_Life_Expectancy]]*100)/2</f>
        <v>31.880280375480652</v>
      </c>
      <c r="L385" s="3">
        <v>0.30074059963226302</v>
      </c>
      <c r="M385" s="3">
        <v>9.9671579897403703E-2</v>
      </c>
      <c r="N385" s="3">
        <v>4.6693041920661899E-2</v>
      </c>
    </row>
    <row r="386" spans="1:14" x14ac:dyDescent="0.25">
      <c r="A386">
        <v>2017</v>
      </c>
      <c r="B386" t="s">
        <v>64</v>
      </c>
      <c r="C386">
        <v>70</v>
      </c>
      <c r="D386">
        <v>5.4930000305175799</v>
      </c>
      <c r="E386">
        <f>(Master[[#This Row],[Happiness_Score]]*100)/10</f>
        <v>54.930000305175803</v>
      </c>
      <c r="F386">
        <v>0.93253731727600098</v>
      </c>
      <c r="G386">
        <f>(Master[[#This Row],[Economy_GDP_per_Capita]]*100)/2</f>
        <v>46.626865863800049</v>
      </c>
      <c r="H386">
        <v>1.50728487968445</v>
      </c>
      <c r="I386">
        <f>(Master[[#This Row],[Family]]*100)/2</f>
        <v>75.364243984222497</v>
      </c>
      <c r="J386">
        <v>0.57925069332122803</v>
      </c>
      <c r="K386">
        <f>(Master[[#This Row],[Health_Life_Expectancy]]*100)/2</f>
        <v>28.962534666061401</v>
      </c>
      <c r="L386" s="3">
        <v>0.47350779175758401</v>
      </c>
      <c r="M386" s="3">
        <v>9.1065913438796997E-2</v>
      </c>
      <c r="N386" s="3">
        <v>0.22415065765380901</v>
      </c>
    </row>
    <row r="387" spans="1:14" x14ac:dyDescent="0.25">
      <c r="A387">
        <v>2017</v>
      </c>
      <c r="B387" t="s">
        <v>180</v>
      </c>
      <c r="C387">
        <v>71</v>
      </c>
      <c r="D387">
        <v>5.4720001220703098</v>
      </c>
      <c r="E387">
        <f>(Master[[#This Row],[Happiness_Score]]*100)/10</f>
        <v>54.720001220703104</v>
      </c>
      <c r="F387">
        <v>1.55167484283447</v>
      </c>
      <c r="G387">
        <f>(Master[[#This Row],[Economy_GDP_per_Capita]]*100)/2</f>
        <v>77.583742141723505</v>
      </c>
      <c r="H387">
        <v>1.2627909183502199</v>
      </c>
      <c r="I387">
        <f>(Master[[#This Row],[Family]]*100)/2</f>
        <v>63.139545917511001</v>
      </c>
      <c r="J387">
        <v>0.943062424659729</v>
      </c>
      <c r="K387">
        <f>(Master[[#This Row],[Health_Life_Expectancy]]*100)/2</f>
        <v>47.15312123298645</v>
      </c>
      <c r="L387" s="3">
        <v>0.49096864461898798</v>
      </c>
      <c r="M387" s="3">
        <v>0.29393374919891402</v>
      </c>
      <c r="N387" s="3">
        <v>0.37446579337120101</v>
      </c>
    </row>
    <row r="388" spans="1:14" x14ac:dyDescent="0.25">
      <c r="A388">
        <v>2017</v>
      </c>
      <c r="B388" t="s">
        <v>103</v>
      </c>
      <c r="C388">
        <v>72</v>
      </c>
      <c r="D388">
        <v>5.4299998283386204</v>
      </c>
      <c r="E388">
        <f>(Master[[#This Row],[Happiness_Score]]*100)/10</f>
        <v>54.299998283386209</v>
      </c>
      <c r="F388">
        <v>0.85769921541214</v>
      </c>
      <c r="G388">
        <f>(Master[[#This Row],[Economy_GDP_per_Capita]]*100)/2</f>
        <v>42.884960770607002</v>
      </c>
      <c r="H388">
        <v>1.25391757488251</v>
      </c>
      <c r="I388">
        <f>(Master[[#This Row],[Family]]*100)/2</f>
        <v>62.695878744125501</v>
      </c>
      <c r="J388">
        <v>0.46800905466079701</v>
      </c>
      <c r="K388">
        <f>(Master[[#This Row],[Health_Life_Expectancy]]*100)/2</f>
        <v>23.400452733039849</v>
      </c>
      <c r="L388" s="3">
        <v>0.58521467447280895</v>
      </c>
      <c r="M388" s="3">
        <v>9.9331893026828794E-2</v>
      </c>
      <c r="N388" s="3">
        <v>0.193513423204422</v>
      </c>
    </row>
    <row r="389" spans="1:14" x14ac:dyDescent="0.25">
      <c r="A389">
        <v>2017</v>
      </c>
      <c r="B389" t="s">
        <v>100</v>
      </c>
      <c r="C389">
        <v>73</v>
      </c>
      <c r="D389">
        <v>5.3949999809265101</v>
      </c>
      <c r="E389">
        <f>(Master[[#This Row],[Happiness_Score]]*100)/10</f>
        <v>53.949999809265101</v>
      </c>
      <c r="F389">
        <v>1.0693175792694101</v>
      </c>
      <c r="G389">
        <f>(Master[[#This Row],[Economy_GDP_per_Capita]]*100)/2</f>
        <v>53.465878963470502</v>
      </c>
      <c r="H389">
        <v>1.25818979740143</v>
      </c>
      <c r="I389">
        <f>(Master[[#This Row],[Family]]*100)/2</f>
        <v>62.909489870071496</v>
      </c>
      <c r="J389">
        <v>0.65078467130661</v>
      </c>
      <c r="K389">
        <f>(Master[[#This Row],[Health_Life_Expectancy]]*100)/2</f>
        <v>32.539233565330498</v>
      </c>
      <c r="L389" s="3">
        <v>0.20871552824974099</v>
      </c>
      <c r="M389" s="3">
        <v>4.0903780609369299E-2</v>
      </c>
      <c r="N389" s="3">
        <v>0.22012588381767301</v>
      </c>
    </row>
    <row r="390" spans="1:14" x14ac:dyDescent="0.25">
      <c r="A390">
        <v>2017</v>
      </c>
      <c r="B390" t="s">
        <v>95</v>
      </c>
      <c r="C390">
        <v>74</v>
      </c>
      <c r="D390">
        <v>5.3359999656677202</v>
      </c>
      <c r="E390">
        <f>(Master[[#This Row],[Happiness_Score]]*100)/10</f>
        <v>53.359999656677203</v>
      </c>
      <c r="F390">
        <v>0.99101239442825295</v>
      </c>
      <c r="G390">
        <f>(Master[[#This Row],[Economy_GDP_per_Capita]]*100)/2</f>
        <v>49.550619721412644</v>
      </c>
      <c r="H390">
        <v>1.2390888929367101</v>
      </c>
      <c r="I390">
        <f>(Master[[#This Row],[Family]]*100)/2</f>
        <v>61.954444646835505</v>
      </c>
      <c r="J390">
        <v>0.60459005832672097</v>
      </c>
      <c r="K390">
        <f>(Master[[#This Row],[Health_Life_Expectancy]]*100)/2</f>
        <v>30.229502916336049</v>
      </c>
      <c r="L390" s="3">
        <v>0.41842114925384499</v>
      </c>
      <c r="M390" s="3">
        <v>0.11980327218771</v>
      </c>
      <c r="N390" s="3">
        <v>0.172170460224152</v>
      </c>
    </row>
    <row r="391" spans="1:14" x14ac:dyDescent="0.25">
      <c r="A391">
        <v>2017</v>
      </c>
      <c r="B391" t="s">
        <v>117</v>
      </c>
      <c r="C391">
        <v>75</v>
      </c>
      <c r="D391">
        <v>5.3239998817443803</v>
      </c>
      <c r="E391">
        <f>(Master[[#This Row],[Happiness_Score]]*100)/10</f>
        <v>53.239998817443805</v>
      </c>
      <c r="F391">
        <v>1.2860119342803999</v>
      </c>
      <c r="G391">
        <f>(Master[[#This Row],[Economy_GDP_per_Capita]]*100)/2</f>
        <v>64.300596714020003</v>
      </c>
      <c r="H391">
        <v>1.34313309192657</v>
      </c>
      <c r="I391">
        <f>(Master[[#This Row],[Family]]*100)/2</f>
        <v>67.156654596328508</v>
      </c>
      <c r="J391">
        <v>0.687763452529907</v>
      </c>
      <c r="K391">
        <f>(Master[[#This Row],[Health_Life_Expectancy]]*100)/2</f>
        <v>34.388172626495347</v>
      </c>
      <c r="L391" s="3">
        <v>0.17586351931095101</v>
      </c>
      <c r="M391" s="3">
        <v>3.66369374096394E-2</v>
      </c>
      <c r="N391" s="3">
        <v>7.84016624093056E-2</v>
      </c>
    </row>
    <row r="392" spans="1:14" x14ac:dyDescent="0.25">
      <c r="A392">
        <v>2017</v>
      </c>
      <c r="B392" t="s">
        <v>76</v>
      </c>
      <c r="C392">
        <v>76</v>
      </c>
      <c r="D392">
        <v>5.3109998703002903</v>
      </c>
      <c r="E392">
        <f>(Master[[#This Row],[Happiness_Score]]*100)/10</f>
        <v>53.109998703002908</v>
      </c>
      <c r="F392">
        <v>0.92557930946350098</v>
      </c>
      <c r="G392">
        <f>(Master[[#This Row],[Economy_GDP_per_Capita]]*100)/2</f>
        <v>46.278965473175049</v>
      </c>
      <c r="H392">
        <v>1.3682180643081701</v>
      </c>
      <c r="I392">
        <f>(Master[[#This Row],[Family]]*100)/2</f>
        <v>68.410903215408496</v>
      </c>
      <c r="J392">
        <v>0.64102238416671797</v>
      </c>
      <c r="K392">
        <f>(Master[[#This Row],[Health_Life_Expectancy]]*100)/2</f>
        <v>32.051119208335898</v>
      </c>
      <c r="L392" s="3">
        <v>0.47430723905563399</v>
      </c>
      <c r="M392" s="3">
        <v>5.5267781019210802E-2</v>
      </c>
      <c r="N392" s="3">
        <v>0.23381833732128099</v>
      </c>
    </row>
    <row r="393" spans="1:14" x14ac:dyDescent="0.25">
      <c r="A393">
        <v>2017</v>
      </c>
      <c r="B393" t="s">
        <v>73</v>
      </c>
      <c r="C393">
        <v>77</v>
      </c>
      <c r="D393">
        <v>5.2930002212524396</v>
      </c>
      <c r="E393">
        <f>(Master[[#This Row],[Happiness_Score]]*100)/10</f>
        <v>52.930002212524393</v>
      </c>
      <c r="F393">
        <v>1.22255623340607</v>
      </c>
      <c r="G393">
        <f>(Master[[#This Row],[Economy_GDP_per_Capita]]*100)/2</f>
        <v>61.127811670303501</v>
      </c>
      <c r="H393">
        <v>0.96798300743103005</v>
      </c>
      <c r="I393">
        <f>(Master[[#This Row],[Family]]*100)/2</f>
        <v>48.399150371551499</v>
      </c>
      <c r="J393">
        <v>0.701288521289825</v>
      </c>
      <c r="K393">
        <f>(Master[[#This Row],[Health_Life_Expectancy]]*100)/2</f>
        <v>35.064426064491251</v>
      </c>
      <c r="L393" s="3">
        <v>0.25577229261398299</v>
      </c>
      <c r="M393" s="3">
        <v>4.3103110045194598E-2</v>
      </c>
      <c r="N393" s="3">
        <v>0.24800297617912301</v>
      </c>
    </row>
    <row r="394" spans="1:14" x14ac:dyDescent="0.25">
      <c r="A394">
        <v>2017</v>
      </c>
      <c r="B394" t="s">
        <v>80</v>
      </c>
      <c r="C394">
        <v>78</v>
      </c>
      <c r="D394">
        <v>5.2789998054504403</v>
      </c>
      <c r="E394">
        <f>(Master[[#This Row],[Happiness_Score]]*100)/10</f>
        <v>52.789998054504409</v>
      </c>
      <c r="F394">
        <v>0.95148438215255704</v>
      </c>
      <c r="G394">
        <f>(Master[[#This Row],[Economy_GDP_per_Capita]]*100)/2</f>
        <v>47.574219107627854</v>
      </c>
      <c r="H394">
        <v>1.1378535032272299</v>
      </c>
      <c r="I394">
        <f>(Master[[#This Row],[Family]]*100)/2</f>
        <v>56.892675161361495</v>
      </c>
      <c r="J394">
        <v>0.54145205020904497</v>
      </c>
      <c r="K394">
        <f>(Master[[#This Row],[Health_Life_Expectancy]]*100)/2</f>
        <v>27.072602510452249</v>
      </c>
      <c r="L394" s="3">
        <v>0.26028794050216703</v>
      </c>
      <c r="M394" s="3">
        <v>5.7471618056297302E-2</v>
      </c>
      <c r="N394" s="3">
        <v>0.31993144750595098</v>
      </c>
    </row>
    <row r="395" spans="1:14" x14ac:dyDescent="0.25">
      <c r="A395">
        <v>2017</v>
      </c>
      <c r="B395" t="s">
        <v>97</v>
      </c>
      <c r="C395">
        <v>79</v>
      </c>
      <c r="D395">
        <v>5.2729997634887704</v>
      </c>
      <c r="E395">
        <f>(Master[[#This Row],[Happiness_Score]]*100)/10</f>
        <v>52.72999763488771</v>
      </c>
      <c r="F395">
        <v>1.08116579055786</v>
      </c>
      <c r="G395">
        <f>(Master[[#This Row],[Economy_GDP_per_Capita]]*100)/2</f>
        <v>54.058289527893002</v>
      </c>
      <c r="H395">
        <v>1.1608374118804901</v>
      </c>
      <c r="I395">
        <f>(Master[[#This Row],[Family]]*100)/2</f>
        <v>58.041870594024502</v>
      </c>
      <c r="J395">
        <v>0.74141550064086903</v>
      </c>
      <c r="K395">
        <f>(Master[[#This Row],[Health_Life_Expectancy]]*100)/2</f>
        <v>37.07077503204345</v>
      </c>
      <c r="L395" s="3">
        <v>0.47278770804405201</v>
      </c>
      <c r="M395" s="3">
        <v>2.2794274613261199E-2</v>
      </c>
      <c r="N395" s="3">
        <v>2.8806841000914601E-2</v>
      </c>
    </row>
    <row r="396" spans="1:14" x14ac:dyDescent="0.25">
      <c r="A396">
        <v>2017</v>
      </c>
      <c r="B396" t="s">
        <v>94</v>
      </c>
      <c r="C396">
        <v>80</v>
      </c>
      <c r="D396">
        <v>5.2690000534057599</v>
      </c>
      <c r="E396">
        <f>(Master[[#This Row],[Happiness_Score]]*100)/10</f>
        <v>52.690000534057596</v>
      </c>
      <c r="F396">
        <v>0.72688353061676003</v>
      </c>
      <c r="G396">
        <f>(Master[[#This Row],[Economy_GDP_per_Capita]]*100)/2</f>
        <v>36.344176530837998</v>
      </c>
      <c r="H396">
        <v>0.672690689563751</v>
      </c>
      <c r="I396">
        <f>(Master[[#This Row],[Family]]*100)/2</f>
        <v>33.634534478187547</v>
      </c>
      <c r="J396">
        <v>0.40204778313636802</v>
      </c>
      <c r="K396">
        <f>(Master[[#This Row],[Health_Life_Expectancy]]*100)/2</f>
        <v>20.102389156818401</v>
      </c>
      <c r="L396" s="3">
        <v>0.23521526157855999</v>
      </c>
      <c r="M396" s="3">
        <v>0.124348066747189</v>
      </c>
      <c r="N396" s="3">
        <v>0.31544601917266801</v>
      </c>
    </row>
    <row r="397" spans="1:14" x14ac:dyDescent="0.25">
      <c r="A397">
        <v>2017</v>
      </c>
      <c r="B397" t="s">
        <v>86</v>
      </c>
      <c r="C397">
        <v>81</v>
      </c>
      <c r="D397">
        <v>5.2620000839233398</v>
      </c>
      <c r="E397">
        <f>(Master[[#This Row],[Happiness_Score]]*100)/10</f>
        <v>52.620000839233398</v>
      </c>
      <c r="F397">
        <v>0.99553859233856201</v>
      </c>
      <c r="G397">
        <f>(Master[[#This Row],[Economy_GDP_per_Capita]]*100)/2</f>
        <v>49.776929616928101</v>
      </c>
      <c r="H397">
        <v>1.2744446992874101</v>
      </c>
      <c r="I397">
        <f>(Master[[#This Row],[Family]]*100)/2</f>
        <v>63.722234964370507</v>
      </c>
      <c r="J397">
        <v>0.492345720529556</v>
      </c>
      <c r="K397">
        <f>(Master[[#This Row],[Health_Life_Expectancy]]*100)/2</f>
        <v>24.6172860264778</v>
      </c>
      <c r="L397" s="3">
        <v>0.44332346320152299</v>
      </c>
      <c r="M397" s="3">
        <v>1.5317135490477101E-2</v>
      </c>
      <c r="N397" s="3">
        <v>0.61170458793640103</v>
      </c>
    </row>
    <row r="398" spans="1:14" x14ac:dyDescent="0.25">
      <c r="A398">
        <v>2017</v>
      </c>
      <c r="B398" t="s">
        <v>31</v>
      </c>
      <c r="C398">
        <v>82</v>
      </c>
      <c r="D398">
        <v>5.25</v>
      </c>
      <c r="E398">
        <f>(Master[[#This Row],[Happiness_Score]]*100)/10</f>
        <v>52.5</v>
      </c>
      <c r="F398">
        <v>1.1284312009811399</v>
      </c>
      <c r="G398">
        <f>(Master[[#This Row],[Economy_GDP_per_Capita]]*100)/2</f>
        <v>56.421560049056993</v>
      </c>
      <c r="H398">
        <v>1.4313375949859599</v>
      </c>
      <c r="I398">
        <f>(Master[[#This Row],[Family]]*100)/2</f>
        <v>71.566879749297996</v>
      </c>
      <c r="J398">
        <v>0.61714422702789296</v>
      </c>
      <c r="K398">
        <f>(Master[[#This Row],[Health_Life_Expectancy]]*100)/2</f>
        <v>30.857211351394646</v>
      </c>
      <c r="L398" s="3">
        <v>0.153997123241425</v>
      </c>
      <c r="M398" s="3">
        <v>6.4491122961044298E-2</v>
      </c>
      <c r="N398" s="3">
        <v>6.5019629895687103E-2</v>
      </c>
    </row>
    <row r="399" spans="1:14" x14ac:dyDescent="0.25">
      <c r="A399">
        <v>2017</v>
      </c>
      <c r="B399" t="s">
        <v>96</v>
      </c>
      <c r="C399">
        <v>83</v>
      </c>
      <c r="D399">
        <v>5.23699998855591</v>
      </c>
      <c r="E399">
        <f>(Master[[#This Row],[Happiness_Score]]*100)/10</f>
        <v>52.369999885559103</v>
      </c>
      <c r="F399">
        <v>1.1211290359497099</v>
      </c>
      <c r="G399">
        <f>(Master[[#This Row],[Economy_GDP_per_Capita]]*100)/2</f>
        <v>56.056451797485494</v>
      </c>
      <c r="H399">
        <v>1.23837649822235</v>
      </c>
      <c r="I399">
        <f>(Master[[#This Row],[Family]]*100)/2</f>
        <v>61.918824911117497</v>
      </c>
      <c r="J399">
        <v>0.66746467351913497</v>
      </c>
      <c r="K399">
        <f>(Master[[#This Row],[Health_Life_Expectancy]]*100)/2</f>
        <v>33.373233675956747</v>
      </c>
      <c r="L399" s="3">
        <v>0.19498905539512601</v>
      </c>
      <c r="M399" s="3">
        <v>8.8174194097518893E-2</v>
      </c>
      <c r="N399" s="3">
        <v>0.19791102409362801</v>
      </c>
    </row>
    <row r="400" spans="1:14" x14ac:dyDescent="0.25">
      <c r="A400">
        <v>2017</v>
      </c>
      <c r="B400" t="s">
        <v>105</v>
      </c>
      <c r="C400">
        <v>84</v>
      </c>
      <c r="D400">
        <v>5.2350001335143999</v>
      </c>
      <c r="E400">
        <f>(Master[[#This Row],[Happiness_Score]]*100)/10</f>
        <v>52.350001335144</v>
      </c>
      <c r="F400">
        <v>0.87811458110809304</v>
      </c>
      <c r="G400">
        <f>(Master[[#This Row],[Economy_GDP_per_Capita]]*100)/2</f>
        <v>43.905729055404649</v>
      </c>
      <c r="H400">
        <v>0.77486443519592296</v>
      </c>
      <c r="I400">
        <f>(Master[[#This Row],[Family]]*100)/2</f>
        <v>38.74322175979615</v>
      </c>
      <c r="J400">
        <v>0.59771066904068004</v>
      </c>
      <c r="K400">
        <f>(Master[[#This Row],[Health_Life_Expectancy]]*100)/2</f>
        <v>29.885533452034004</v>
      </c>
      <c r="L400" s="3">
        <v>0.40815833210945102</v>
      </c>
      <c r="M400" s="3">
        <v>8.7763182818889604E-2</v>
      </c>
      <c r="N400" s="3">
        <v>3.2209955155849498E-2</v>
      </c>
    </row>
    <row r="401" spans="1:14" x14ac:dyDescent="0.25">
      <c r="A401">
        <v>2017</v>
      </c>
      <c r="B401" t="s">
        <v>93</v>
      </c>
      <c r="C401">
        <v>85</v>
      </c>
      <c r="D401">
        <v>5.2340002059936497</v>
      </c>
      <c r="E401">
        <f>(Master[[#This Row],[Happiness_Score]]*100)/10</f>
        <v>52.340002059936502</v>
      </c>
      <c r="F401">
        <v>1.1536017656326301</v>
      </c>
      <c r="G401">
        <f>(Master[[#This Row],[Economy_GDP_per_Capita]]*100)/2</f>
        <v>57.680088281631505</v>
      </c>
      <c r="H401">
        <v>1.15240025520325</v>
      </c>
      <c r="I401">
        <f>(Master[[#This Row],[Family]]*100)/2</f>
        <v>57.620012760162496</v>
      </c>
      <c r="J401">
        <v>0.54077577590942405</v>
      </c>
      <c r="K401">
        <f>(Master[[#This Row],[Health_Life_Expectancy]]*100)/2</f>
        <v>27.038788795471202</v>
      </c>
      <c r="L401" s="3">
        <v>0.398155838251114</v>
      </c>
      <c r="M401" s="3">
        <v>0.18098750710487399</v>
      </c>
      <c r="N401" s="3">
        <v>4.5269340276718098E-2</v>
      </c>
    </row>
    <row r="402" spans="1:14" x14ac:dyDescent="0.25">
      <c r="A402">
        <v>2017</v>
      </c>
      <c r="B402" t="s">
        <v>111</v>
      </c>
      <c r="C402">
        <v>86</v>
      </c>
      <c r="D402">
        <v>5.2300000190734899</v>
      </c>
      <c r="E402">
        <f>(Master[[#This Row],[Happiness_Score]]*100)/10</f>
        <v>52.300000190734899</v>
      </c>
      <c r="F402">
        <v>1.07937383651733</v>
      </c>
      <c r="G402">
        <f>(Master[[#This Row],[Economy_GDP_per_Capita]]*100)/2</f>
        <v>53.9686918258665</v>
      </c>
      <c r="H402">
        <v>1.40241670608521</v>
      </c>
      <c r="I402">
        <f>(Master[[#This Row],[Family]]*100)/2</f>
        <v>70.120835304260495</v>
      </c>
      <c r="J402">
        <v>0.57487374544143699</v>
      </c>
      <c r="K402">
        <f>(Master[[#This Row],[Health_Life_Expectancy]]*100)/2</f>
        <v>28.743687272071849</v>
      </c>
      <c r="L402" s="3">
        <v>0.55258983373642001</v>
      </c>
      <c r="M402" s="3">
        <v>0.113945253193378</v>
      </c>
      <c r="N402" s="3">
        <v>0.18696784973144501</v>
      </c>
    </row>
    <row r="403" spans="1:14" x14ac:dyDescent="0.25">
      <c r="A403">
        <v>2017</v>
      </c>
      <c r="B403" t="s">
        <v>115</v>
      </c>
      <c r="C403">
        <v>87</v>
      </c>
      <c r="D403">
        <v>5.2270002365112296</v>
      </c>
      <c r="E403">
        <f>(Master[[#This Row],[Happiness_Score]]*100)/10</f>
        <v>52.27000236511229</v>
      </c>
      <c r="F403">
        <v>1.2894874811172501</v>
      </c>
      <c r="G403">
        <f>(Master[[#This Row],[Economy_GDP_per_Capita]]*100)/2</f>
        <v>64.474374055862498</v>
      </c>
      <c r="H403">
        <v>1.2394145727157599</v>
      </c>
      <c r="I403">
        <f>(Master[[#This Row],[Family]]*100)/2</f>
        <v>61.970728635787999</v>
      </c>
      <c r="J403">
        <v>0.81019890308380105</v>
      </c>
      <c r="K403">
        <f>(Master[[#This Row],[Health_Life_Expectancy]]*100)/2</f>
        <v>40.509945154190049</v>
      </c>
      <c r="L403" s="3">
        <v>9.5731250941753401E-2</v>
      </c>
      <c r="M403" s="3">
        <v>4.3289776891469997E-2</v>
      </c>
      <c r="N403" s="3">
        <v>0</v>
      </c>
    </row>
    <row r="404" spans="1:14" x14ac:dyDescent="0.25">
      <c r="A404">
        <v>2017</v>
      </c>
      <c r="B404" t="s">
        <v>116</v>
      </c>
      <c r="C404">
        <v>88</v>
      </c>
      <c r="D404">
        <v>5.2249999046325701</v>
      </c>
      <c r="E404">
        <f>(Master[[#This Row],[Happiness_Score]]*100)/10</f>
        <v>52.249999046325705</v>
      </c>
      <c r="F404">
        <v>1.0749875307083101</v>
      </c>
      <c r="G404">
        <f>(Master[[#This Row],[Economy_GDP_per_Capita]]*100)/2</f>
        <v>53.749376535415507</v>
      </c>
      <c r="H404">
        <v>1.1296242475509599</v>
      </c>
      <c r="I404">
        <f>(Master[[#This Row],[Family]]*100)/2</f>
        <v>56.481212377547998</v>
      </c>
      <c r="J404">
        <v>0.73508107662200906</v>
      </c>
      <c r="K404">
        <f>(Master[[#This Row],[Health_Life_Expectancy]]*100)/2</f>
        <v>36.75405383110045</v>
      </c>
      <c r="L404" s="3">
        <v>0.288515985012054</v>
      </c>
      <c r="M404" s="3">
        <v>3.7513829767704003E-2</v>
      </c>
      <c r="N404" s="3">
        <v>0.26445075869560197</v>
      </c>
    </row>
    <row r="405" spans="1:14" x14ac:dyDescent="0.25">
      <c r="A405">
        <v>2017</v>
      </c>
      <c r="B405" t="s">
        <v>101</v>
      </c>
      <c r="C405">
        <v>89</v>
      </c>
      <c r="D405">
        <v>5.1950001716613796</v>
      </c>
      <c r="E405">
        <f>(Master[[#This Row],[Happiness_Score]]*100)/10</f>
        <v>51.950001716613791</v>
      </c>
      <c r="F405">
        <v>1.3151752948761</v>
      </c>
      <c r="G405">
        <f>(Master[[#This Row],[Economy_GDP_per_Capita]]*100)/2</f>
        <v>65.758764743805003</v>
      </c>
      <c r="H405">
        <v>1.36704301834106</v>
      </c>
      <c r="I405">
        <f>(Master[[#This Row],[Family]]*100)/2</f>
        <v>68.352150917052995</v>
      </c>
      <c r="J405">
        <v>0.79584354162216198</v>
      </c>
      <c r="K405">
        <f>(Master[[#This Row],[Health_Life_Expectancy]]*100)/2</f>
        <v>39.7921770811081</v>
      </c>
      <c r="L405" s="3">
        <v>0.49846529960632302</v>
      </c>
      <c r="M405" s="3">
        <v>1.5869451686739901E-2</v>
      </c>
      <c r="N405" s="3">
        <v>9.5102712512016296E-2</v>
      </c>
    </row>
    <row r="406" spans="1:14" x14ac:dyDescent="0.25">
      <c r="A406">
        <v>2017</v>
      </c>
      <c r="B406" t="s">
        <v>109</v>
      </c>
      <c r="C406">
        <v>90</v>
      </c>
      <c r="D406">
        <v>5.1820001602172896</v>
      </c>
      <c r="E406">
        <f>(Master[[#This Row],[Happiness_Score]]*100)/10</f>
        <v>51.820001602172894</v>
      </c>
      <c r="F406">
        <v>0.98240941762924205</v>
      </c>
      <c r="G406">
        <f>(Master[[#This Row],[Economy_GDP_per_Capita]]*100)/2</f>
        <v>49.120470881462104</v>
      </c>
      <c r="H406">
        <v>1.0693359375</v>
      </c>
      <c r="I406">
        <f>(Master[[#This Row],[Family]]*100)/2</f>
        <v>53.466796875</v>
      </c>
      <c r="J406">
        <v>0.705186307430267</v>
      </c>
      <c r="K406">
        <f>(Master[[#This Row],[Health_Life_Expectancy]]*100)/2</f>
        <v>35.259315371513352</v>
      </c>
      <c r="L406" s="3">
        <v>0.204403176903725</v>
      </c>
      <c r="M406" s="3">
        <v>0</v>
      </c>
      <c r="N406" s="3">
        <v>0.32886749505996699</v>
      </c>
    </row>
    <row r="407" spans="1:14" x14ac:dyDescent="0.25">
      <c r="A407">
        <v>2017</v>
      </c>
      <c r="B407" t="s">
        <v>118</v>
      </c>
      <c r="C407">
        <v>91</v>
      </c>
      <c r="D407">
        <v>5.1810002326965297</v>
      </c>
      <c r="E407">
        <f>(Master[[#This Row],[Happiness_Score]]*100)/10</f>
        <v>51.810002326965297</v>
      </c>
      <c r="F407">
        <v>0.73057311773300204</v>
      </c>
      <c r="G407">
        <f>(Master[[#This Row],[Economy_GDP_per_Capita]]*100)/2</f>
        <v>36.5286558866501</v>
      </c>
      <c r="H407">
        <v>1.1439449787139899</v>
      </c>
      <c r="I407">
        <f>(Master[[#This Row],[Family]]*100)/2</f>
        <v>57.197248935699498</v>
      </c>
      <c r="J407">
        <v>0.582569479942322</v>
      </c>
      <c r="K407">
        <f>(Master[[#This Row],[Health_Life_Expectancy]]*100)/2</f>
        <v>29.1284739971161</v>
      </c>
      <c r="L407" s="3">
        <v>0.34807986021041898</v>
      </c>
      <c r="M407" s="3">
        <v>7.3345452547073406E-2</v>
      </c>
      <c r="N407" s="3">
        <v>0.23618887364864299</v>
      </c>
    </row>
    <row r="408" spans="1:14" x14ac:dyDescent="0.25">
      <c r="A408">
        <v>2017</v>
      </c>
      <c r="B408" t="s">
        <v>106</v>
      </c>
      <c r="C408">
        <v>92</v>
      </c>
      <c r="D408">
        <v>5.1750001907348597</v>
      </c>
      <c r="E408">
        <f>(Master[[#This Row],[Happiness_Score]]*100)/10</f>
        <v>51.750001907348597</v>
      </c>
      <c r="F408">
        <v>1.0645779371261599</v>
      </c>
      <c r="G408">
        <f>(Master[[#This Row],[Economy_GDP_per_Capita]]*100)/2</f>
        <v>53.228896856307998</v>
      </c>
      <c r="H408">
        <v>1.2078930139541599</v>
      </c>
      <c r="I408">
        <f>(Master[[#This Row],[Family]]*100)/2</f>
        <v>60.394650697707995</v>
      </c>
      <c r="J408">
        <v>0.64494818449020397</v>
      </c>
      <c r="K408">
        <f>(Master[[#This Row],[Health_Life_Expectancy]]*100)/2</f>
        <v>32.2474092245102</v>
      </c>
      <c r="L408" s="3">
        <v>0.32590597867965698</v>
      </c>
      <c r="M408" s="3">
        <v>6.0277793556451797E-2</v>
      </c>
      <c r="N408" s="3">
        <v>0.25376096367835999</v>
      </c>
    </row>
    <row r="409" spans="1:14" x14ac:dyDescent="0.25">
      <c r="A409">
        <v>2017</v>
      </c>
      <c r="B409" t="s">
        <v>175</v>
      </c>
      <c r="C409">
        <v>93</v>
      </c>
      <c r="D409">
        <v>5.15100002288818</v>
      </c>
      <c r="E409">
        <f>(Master[[#This Row],[Happiness_Score]]*100)/10</f>
        <v>51.5100002288818</v>
      </c>
      <c r="F409">
        <v>2.2643184289336201E-2</v>
      </c>
      <c r="G409">
        <f>(Master[[#This Row],[Economy_GDP_per_Capita]]*100)/2</f>
        <v>1.13215921446681</v>
      </c>
      <c r="H409">
        <v>0.72115135192871105</v>
      </c>
      <c r="I409">
        <f>(Master[[#This Row],[Family]]*100)/2</f>
        <v>36.057567596435554</v>
      </c>
      <c r="J409">
        <v>0.113989137113094</v>
      </c>
      <c r="K409">
        <f>(Master[[#This Row],[Health_Life_Expectancy]]*100)/2</f>
        <v>5.6994568556546996</v>
      </c>
      <c r="L409" s="3">
        <v>0.60212695598602295</v>
      </c>
      <c r="M409" s="3">
        <v>0.28241032361984297</v>
      </c>
      <c r="N409" s="3">
        <v>0.29163131117820701</v>
      </c>
    </row>
    <row r="410" spans="1:14" x14ac:dyDescent="0.25">
      <c r="A410">
        <v>2017</v>
      </c>
      <c r="B410" t="s">
        <v>87</v>
      </c>
      <c r="C410">
        <v>94</v>
      </c>
      <c r="D410">
        <v>5.0739998817443803</v>
      </c>
      <c r="E410">
        <f>(Master[[#This Row],[Happiness_Score]]*100)/10</f>
        <v>50.739998817443805</v>
      </c>
      <c r="F410">
        <v>0.78854757547378496</v>
      </c>
      <c r="G410">
        <f>(Master[[#This Row],[Economy_GDP_per_Capita]]*100)/2</f>
        <v>39.427378773689249</v>
      </c>
      <c r="H410">
        <v>1.2774913311004601</v>
      </c>
      <c r="I410">
        <f>(Master[[#This Row],[Family]]*100)/2</f>
        <v>63.874566555023002</v>
      </c>
      <c r="J410">
        <v>0.652168989181519</v>
      </c>
      <c r="K410">
        <f>(Master[[#This Row],[Health_Life_Expectancy]]*100)/2</f>
        <v>32.608449459075949</v>
      </c>
      <c r="L410" s="3">
        <v>0.57105559110641502</v>
      </c>
      <c r="M410" s="3">
        <v>8.7633237242698697E-2</v>
      </c>
      <c r="N410" s="3">
        <v>0.234968051314354</v>
      </c>
    </row>
    <row r="411" spans="1:14" x14ac:dyDescent="0.25">
      <c r="A411">
        <v>2017</v>
      </c>
      <c r="B411" t="s">
        <v>90</v>
      </c>
      <c r="C411">
        <v>95</v>
      </c>
      <c r="D411">
        <v>5.0739998817443803</v>
      </c>
      <c r="E411">
        <f>(Master[[#This Row],[Happiness_Score]]*100)/10</f>
        <v>50.739998817443805</v>
      </c>
      <c r="F411">
        <v>0.78375625610351596</v>
      </c>
      <c r="G411">
        <f>(Master[[#This Row],[Economy_GDP_per_Capita]]*100)/2</f>
        <v>39.187812805175795</v>
      </c>
      <c r="H411">
        <v>1.21577048301697</v>
      </c>
      <c r="I411">
        <f>(Master[[#This Row],[Family]]*100)/2</f>
        <v>60.788524150848502</v>
      </c>
      <c r="J411">
        <v>5.6915730237960802E-2</v>
      </c>
      <c r="K411">
        <f>(Master[[#This Row],[Health_Life_Expectancy]]*100)/2</f>
        <v>2.8457865118980399</v>
      </c>
      <c r="L411" s="3">
        <v>0.39495256543159502</v>
      </c>
      <c r="M411" s="3">
        <v>2.61215660721064E-2</v>
      </c>
      <c r="N411" s="3">
        <v>0.23094719648361201</v>
      </c>
    </row>
    <row r="412" spans="1:14" x14ac:dyDescent="0.25">
      <c r="A412">
        <v>2017</v>
      </c>
      <c r="B412" t="s">
        <v>119</v>
      </c>
      <c r="C412">
        <v>96</v>
      </c>
      <c r="D412">
        <v>5.0409998893737802</v>
      </c>
      <c r="E412">
        <f>(Master[[#This Row],[Happiness_Score]]*100)/10</f>
        <v>50.409998893737807</v>
      </c>
      <c r="F412">
        <v>0.524713635444641</v>
      </c>
      <c r="G412">
        <f>(Master[[#This Row],[Economy_GDP_per_Capita]]*100)/2</f>
        <v>26.235681772232049</v>
      </c>
      <c r="H412">
        <v>1.27146327495575</v>
      </c>
      <c r="I412">
        <f>(Master[[#This Row],[Family]]*100)/2</f>
        <v>63.573163747787497</v>
      </c>
      <c r="J412">
        <v>0.52923512458801303</v>
      </c>
      <c r="K412">
        <f>(Master[[#This Row],[Health_Life_Expectancy]]*100)/2</f>
        <v>26.461756229400653</v>
      </c>
      <c r="L412" s="3">
        <v>0.47156670689582803</v>
      </c>
      <c r="M412" s="3">
        <v>0.14637714624404899</v>
      </c>
      <c r="N412" s="3">
        <v>0.24899764358997301</v>
      </c>
    </row>
    <row r="413" spans="1:14" x14ac:dyDescent="0.25">
      <c r="A413">
        <v>2017</v>
      </c>
      <c r="B413" t="s">
        <v>91</v>
      </c>
      <c r="C413">
        <v>97</v>
      </c>
      <c r="D413">
        <v>5.0110001564025897</v>
      </c>
      <c r="E413">
        <f>(Master[[#This Row],[Happiness_Score]]*100)/10</f>
        <v>50.110001564025893</v>
      </c>
      <c r="F413">
        <v>0.88541638851165805</v>
      </c>
      <c r="G413">
        <f>(Master[[#This Row],[Economy_GDP_per_Capita]]*100)/2</f>
        <v>44.2708194255829</v>
      </c>
      <c r="H413">
        <v>1.34012651443481</v>
      </c>
      <c r="I413">
        <f>(Master[[#This Row],[Family]]*100)/2</f>
        <v>67.006325721740495</v>
      </c>
      <c r="J413">
        <v>0.49587929248809798</v>
      </c>
      <c r="K413">
        <f>(Master[[#This Row],[Health_Life_Expectancy]]*100)/2</f>
        <v>24.7939646244049</v>
      </c>
      <c r="L413" s="3">
        <v>0.50153768062591597</v>
      </c>
      <c r="M413" s="3">
        <v>0.17338038980960799</v>
      </c>
      <c r="N413" s="3">
        <v>0.474054545164108</v>
      </c>
    </row>
    <row r="414" spans="1:14" x14ac:dyDescent="0.25">
      <c r="A414">
        <v>2017</v>
      </c>
      <c r="B414" t="s">
        <v>89</v>
      </c>
      <c r="C414">
        <v>98</v>
      </c>
      <c r="D414">
        <v>5.0040001869201696</v>
      </c>
      <c r="E414">
        <f>(Master[[#This Row],[Happiness_Score]]*100)/10</f>
        <v>50.040001869201696</v>
      </c>
      <c r="F414">
        <v>0.59622007608413696</v>
      </c>
      <c r="G414">
        <f>(Master[[#This Row],[Economy_GDP_per_Capita]]*100)/2</f>
        <v>29.811003804206848</v>
      </c>
      <c r="H414">
        <v>1.3942385911941499</v>
      </c>
      <c r="I414">
        <f>(Master[[#This Row],[Family]]*100)/2</f>
        <v>69.711929559707499</v>
      </c>
      <c r="J414">
        <v>0.55345779657363903</v>
      </c>
      <c r="K414">
        <f>(Master[[#This Row],[Health_Life_Expectancy]]*100)/2</f>
        <v>27.672889828681953</v>
      </c>
      <c r="L414" s="3">
        <v>0.45494338870048501</v>
      </c>
      <c r="M414" s="3">
        <v>3.9439179003238699E-2</v>
      </c>
      <c r="N414" s="3">
        <v>0.42858037352562001</v>
      </c>
    </row>
    <row r="415" spans="1:14" x14ac:dyDescent="0.25">
      <c r="A415">
        <v>2017</v>
      </c>
      <c r="B415" t="s">
        <v>134</v>
      </c>
      <c r="C415">
        <v>99</v>
      </c>
      <c r="D415">
        <v>4.9619998931884801</v>
      </c>
      <c r="E415">
        <f>(Master[[#This Row],[Happiness_Score]]*100)/10</f>
        <v>49.619998931884801</v>
      </c>
      <c r="F415">
        <v>0.47982019186019897</v>
      </c>
      <c r="G415">
        <f>(Master[[#This Row],[Economy_GDP_per_Capita]]*100)/2</f>
        <v>23.991009593009949</v>
      </c>
      <c r="H415">
        <v>1.17928326129913</v>
      </c>
      <c r="I415">
        <f>(Master[[#This Row],[Family]]*100)/2</f>
        <v>58.964163064956502</v>
      </c>
      <c r="J415">
        <v>0.50413078069686901</v>
      </c>
      <c r="K415">
        <f>(Master[[#This Row],[Health_Life_Expectancy]]*100)/2</f>
        <v>25.206539034843452</v>
      </c>
      <c r="L415" s="3">
        <v>0.44030594825744601</v>
      </c>
      <c r="M415" s="3">
        <v>7.2975546121597304E-2</v>
      </c>
      <c r="N415" s="3">
        <v>0.39409616589546198</v>
      </c>
    </row>
    <row r="416" spans="1:14" x14ac:dyDescent="0.25">
      <c r="A416">
        <v>2017</v>
      </c>
      <c r="B416" t="s">
        <v>113</v>
      </c>
      <c r="C416">
        <v>100</v>
      </c>
      <c r="D416">
        <v>4.9549999237060502</v>
      </c>
      <c r="E416">
        <f>(Master[[#This Row],[Happiness_Score]]*100)/10</f>
        <v>49.549999237060504</v>
      </c>
      <c r="F416">
        <v>1.0272358655929601</v>
      </c>
      <c r="G416">
        <f>(Master[[#This Row],[Economy_GDP_per_Capita]]*100)/2</f>
        <v>51.361793279648005</v>
      </c>
      <c r="H416">
        <v>1.4930112361907999</v>
      </c>
      <c r="I416">
        <f>(Master[[#This Row],[Family]]*100)/2</f>
        <v>74.650561809539994</v>
      </c>
      <c r="J416">
        <v>0.55778348445892301</v>
      </c>
      <c r="K416">
        <f>(Master[[#This Row],[Health_Life_Expectancy]]*100)/2</f>
        <v>27.889174222946149</v>
      </c>
      <c r="L416" s="3">
        <v>0.39414396882057201</v>
      </c>
      <c r="M416" s="3">
        <v>3.2902289181947701E-2</v>
      </c>
      <c r="N416" s="3">
        <v>0.33846423029899603</v>
      </c>
    </row>
    <row r="417" spans="1:14" x14ac:dyDescent="0.25">
      <c r="A417">
        <v>2017</v>
      </c>
      <c r="B417" t="s">
        <v>126</v>
      </c>
      <c r="C417">
        <v>101</v>
      </c>
      <c r="D417">
        <v>4.8289999961853001</v>
      </c>
      <c r="E417">
        <f>(Master[[#This Row],[Happiness_Score]]*100)/10</f>
        <v>48.289999961852999</v>
      </c>
      <c r="F417">
        <v>1.05469870567322</v>
      </c>
      <c r="G417">
        <f>(Master[[#This Row],[Economy_GDP_per_Capita]]*100)/2</f>
        <v>52.734935283661002</v>
      </c>
      <c r="H417">
        <v>1.38478863239288</v>
      </c>
      <c r="I417">
        <f>(Master[[#This Row],[Family]]*100)/2</f>
        <v>69.239431619643995</v>
      </c>
      <c r="J417">
        <v>0.18708007037639601</v>
      </c>
      <c r="K417">
        <f>(Master[[#This Row],[Health_Life_Expectancy]]*100)/2</f>
        <v>9.3540035188198001</v>
      </c>
      <c r="L417" s="3">
        <v>0.479246735572815</v>
      </c>
      <c r="M417" s="3">
        <v>7.2509497404098497E-2</v>
      </c>
      <c r="N417" s="3">
        <v>0.13936237990856201</v>
      </c>
    </row>
    <row r="418" spans="1:14" x14ac:dyDescent="0.25">
      <c r="A418">
        <v>2017</v>
      </c>
      <c r="B418" t="s">
        <v>120</v>
      </c>
      <c r="C418">
        <v>102</v>
      </c>
      <c r="D418">
        <v>4.8049998283386204</v>
      </c>
      <c r="E418">
        <f>(Master[[#This Row],[Happiness_Score]]*100)/10</f>
        <v>48.049998283386202</v>
      </c>
      <c r="F418">
        <v>1.0072658061981199</v>
      </c>
      <c r="G418">
        <f>(Master[[#This Row],[Economy_GDP_per_Capita]]*100)/2</f>
        <v>50.363290309905992</v>
      </c>
      <c r="H418">
        <v>0.86835145950317405</v>
      </c>
      <c r="I418">
        <f>(Master[[#This Row],[Family]]*100)/2</f>
        <v>43.417572975158706</v>
      </c>
      <c r="J418">
        <v>0.61321204900741599</v>
      </c>
      <c r="K418">
        <f>(Master[[#This Row],[Health_Life_Expectancy]]*100)/2</f>
        <v>30.660602450370799</v>
      </c>
      <c r="L418" s="3">
        <v>0.28968068957328802</v>
      </c>
      <c r="M418" s="3">
        <v>8.6723148822784396E-2</v>
      </c>
      <c r="N418" s="3">
        <v>4.96933571994305E-2</v>
      </c>
    </row>
    <row r="419" spans="1:14" x14ac:dyDescent="0.25">
      <c r="A419">
        <v>2017</v>
      </c>
      <c r="B419" t="s">
        <v>121</v>
      </c>
      <c r="C419">
        <v>103</v>
      </c>
      <c r="D419">
        <v>4.7750000953674299</v>
      </c>
      <c r="E419">
        <f>(Master[[#This Row],[Happiness_Score]]*100)/10</f>
        <v>47.750000953674302</v>
      </c>
      <c r="F419">
        <v>0.71624922752380404</v>
      </c>
      <c r="G419">
        <f>(Master[[#This Row],[Economy_GDP_per_Capita]]*100)/2</f>
        <v>35.8124613761902</v>
      </c>
      <c r="H419">
        <v>1.1556471586227399</v>
      </c>
      <c r="I419">
        <f>(Master[[#This Row],[Family]]*100)/2</f>
        <v>57.782357931137</v>
      </c>
      <c r="J419">
        <v>0.56566697359085105</v>
      </c>
      <c r="K419">
        <f>(Master[[#This Row],[Health_Life_Expectancy]]*100)/2</f>
        <v>28.283348679542552</v>
      </c>
      <c r="L419" s="3">
        <v>0.25471106171607999</v>
      </c>
      <c r="M419" s="3">
        <v>8.9282602071762099E-2</v>
      </c>
      <c r="N419" s="3">
        <v>0.114173173904419</v>
      </c>
    </row>
    <row r="420" spans="1:14" x14ac:dyDescent="0.25">
      <c r="A420">
        <v>2017</v>
      </c>
      <c r="B420" t="s">
        <v>148</v>
      </c>
      <c r="C420">
        <v>104</v>
      </c>
      <c r="D420">
        <v>4.7350001335143999</v>
      </c>
      <c r="E420">
        <f>(Master[[#This Row],[Happiness_Score]]*100)/10</f>
        <v>47.350001335144</v>
      </c>
      <c r="F420">
        <v>0.989701807498932</v>
      </c>
      <c r="G420">
        <f>(Master[[#This Row],[Economy_GDP_per_Capita]]*100)/2</f>
        <v>49.485090374946601</v>
      </c>
      <c r="H420">
        <v>0.99747139215469405</v>
      </c>
      <c r="I420">
        <f>(Master[[#This Row],[Family]]*100)/2</f>
        <v>49.873569607734701</v>
      </c>
      <c r="J420">
        <v>0.52018725872039795</v>
      </c>
      <c r="K420">
        <f>(Master[[#This Row],[Health_Life_Expectancy]]*100)/2</f>
        <v>26.009362936019897</v>
      </c>
      <c r="L420" s="3">
        <v>0.282110154628754</v>
      </c>
      <c r="M420" s="3">
        <v>0.114381365478039</v>
      </c>
      <c r="N420" s="3">
        <v>0.12863144278526301</v>
      </c>
    </row>
    <row r="421" spans="1:14" x14ac:dyDescent="0.25">
      <c r="A421">
        <v>2017</v>
      </c>
      <c r="B421" t="s">
        <v>147</v>
      </c>
      <c r="C421">
        <v>105</v>
      </c>
      <c r="D421">
        <v>4.7140002250671396</v>
      </c>
      <c r="E421">
        <f>(Master[[#This Row],[Happiness_Score]]*100)/10</f>
        <v>47.140002250671401</v>
      </c>
      <c r="F421">
        <v>1.1614590883255</v>
      </c>
      <c r="G421">
        <f>(Master[[#This Row],[Economy_GDP_per_Capita]]*100)/2</f>
        <v>58.072954416275003</v>
      </c>
      <c r="H421">
        <v>1.4343794584274301</v>
      </c>
      <c r="I421">
        <f>(Master[[#This Row],[Family]]*100)/2</f>
        <v>71.718972921371503</v>
      </c>
      <c r="J421">
        <v>0.70821768045425404</v>
      </c>
      <c r="K421">
        <f>(Master[[#This Row],[Health_Life_Expectancy]]*100)/2</f>
        <v>35.4108840227127</v>
      </c>
      <c r="L421" s="3">
        <v>0.289231717586517</v>
      </c>
      <c r="M421" s="3">
        <v>1.1051530949771401E-2</v>
      </c>
      <c r="N421" s="3">
        <v>0.11317769438028299</v>
      </c>
    </row>
    <row r="422" spans="1:14" x14ac:dyDescent="0.25">
      <c r="A422">
        <v>2017</v>
      </c>
      <c r="B422" t="s">
        <v>136</v>
      </c>
      <c r="C422">
        <v>106</v>
      </c>
      <c r="D422">
        <v>4.7090001106262198</v>
      </c>
      <c r="E422">
        <f>(Master[[#This Row],[Happiness_Score]]*100)/10</f>
        <v>47.090001106262193</v>
      </c>
      <c r="F422">
        <v>0.36842092871665999</v>
      </c>
      <c r="G422">
        <f>(Master[[#This Row],[Economy_GDP_per_Capita]]*100)/2</f>
        <v>18.421046435832999</v>
      </c>
      <c r="H422">
        <v>0.98413604497909501</v>
      </c>
      <c r="I422">
        <f>(Master[[#This Row],[Family]]*100)/2</f>
        <v>49.206802248954752</v>
      </c>
      <c r="J422">
        <v>5.5647538974881198E-3</v>
      </c>
      <c r="K422">
        <f>(Master[[#This Row],[Health_Life_Expectancy]]*100)/2</f>
        <v>0.27823769487440597</v>
      </c>
      <c r="L422" s="3">
        <v>0.31869769096374501</v>
      </c>
      <c r="M422" s="3">
        <v>7.1095176041126307E-2</v>
      </c>
      <c r="N422" s="3">
        <v>0.293040901422501</v>
      </c>
    </row>
    <row r="423" spans="1:14" x14ac:dyDescent="0.25">
      <c r="A423">
        <v>2017</v>
      </c>
      <c r="B423" t="s">
        <v>146</v>
      </c>
      <c r="C423">
        <v>107</v>
      </c>
      <c r="D423">
        <v>4.6950001716613796</v>
      </c>
      <c r="E423">
        <f>(Master[[#This Row],[Happiness_Score]]*100)/10</f>
        <v>46.950001716613798</v>
      </c>
      <c r="F423">
        <v>0.56430536508560203</v>
      </c>
      <c r="G423">
        <f>(Master[[#This Row],[Economy_GDP_per_Capita]]*100)/2</f>
        <v>28.215268254280101</v>
      </c>
      <c r="H423">
        <v>0.94601821899414096</v>
      </c>
      <c r="I423">
        <f>(Master[[#This Row],[Family]]*100)/2</f>
        <v>47.300910949707045</v>
      </c>
      <c r="J423">
        <v>0.13289211690425901</v>
      </c>
      <c r="K423">
        <f>(Master[[#This Row],[Health_Life_Expectancy]]*100)/2</f>
        <v>6.6446058452129506</v>
      </c>
      <c r="L423" s="3">
        <v>0.43038874864578203</v>
      </c>
      <c r="M423" s="3">
        <v>5.1306631416082403E-2</v>
      </c>
      <c r="N423" s="3">
        <v>0.23629845678806299</v>
      </c>
    </row>
    <row r="424" spans="1:14" x14ac:dyDescent="0.25">
      <c r="A424">
        <v>2017</v>
      </c>
      <c r="B424" t="s">
        <v>123</v>
      </c>
      <c r="C424">
        <v>108</v>
      </c>
      <c r="D424">
        <v>4.6919999122619602</v>
      </c>
      <c r="E424">
        <f>(Master[[#This Row],[Happiness_Score]]*100)/10</f>
        <v>46.9199991226196</v>
      </c>
      <c r="F424">
        <v>1.1568731069564799</v>
      </c>
      <c r="G424">
        <f>(Master[[#This Row],[Economy_GDP_per_Capita]]*100)/2</f>
        <v>57.843655347823997</v>
      </c>
      <c r="H424">
        <v>0.71155124902725198</v>
      </c>
      <c r="I424">
        <f>(Master[[#This Row],[Family]]*100)/2</f>
        <v>35.577562451362596</v>
      </c>
      <c r="J424">
        <v>0.63933318853378296</v>
      </c>
      <c r="K424">
        <f>(Master[[#This Row],[Health_Life_Expectancy]]*100)/2</f>
        <v>31.966659426689148</v>
      </c>
      <c r="L424" s="3">
        <v>0.24932260811328899</v>
      </c>
      <c r="M424" s="3">
        <v>4.8761073499917998E-2</v>
      </c>
      <c r="N424" s="3">
        <v>0.38724291324615501</v>
      </c>
    </row>
    <row r="425" spans="1:14" x14ac:dyDescent="0.25">
      <c r="A425">
        <v>2017</v>
      </c>
      <c r="B425" t="s">
        <v>108</v>
      </c>
      <c r="C425">
        <v>109</v>
      </c>
      <c r="D425">
        <v>4.6440000534057599</v>
      </c>
      <c r="E425">
        <f>(Master[[#This Row],[Happiness_Score]]*100)/10</f>
        <v>46.440000534057603</v>
      </c>
      <c r="F425">
        <v>0.99619275331497203</v>
      </c>
      <c r="G425">
        <f>(Master[[#This Row],[Economy_GDP_per_Capita]]*100)/2</f>
        <v>49.809637665748603</v>
      </c>
      <c r="H425">
        <v>0.80368524789810203</v>
      </c>
      <c r="I425">
        <f>(Master[[#This Row],[Family]]*100)/2</f>
        <v>40.184262394905105</v>
      </c>
      <c r="J425">
        <v>0.73115974664688099</v>
      </c>
      <c r="K425">
        <f>(Master[[#This Row],[Health_Life_Expectancy]]*100)/2</f>
        <v>36.557987332344048</v>
      </c>
      <c r="L425" s="3">
        <v>0.38149863481521601</v>
      </c>
      <c r="M425" s="3">
        <v>3.9864215999841697E-2</v>
      </c>
      <c r="N425" s="3">
        <v>0.20131294429302199</v>
      </c>
    </row>
    <row r="426" spans="1:14" x14ac:dyDescent="0.25">
      <c r="A426">
        <v>2017</v>
      </c>
      <c r="B426" t="s">
        <v>122</v>
      </c>
      <c r="C426">
        <v>110</v>
      </c>
      <c r="D426">
        <v>4.6079998016357404</v>
      </c>
      <c r="E426">
        <f>(Master[[#This Row],[Happiness_Score]]*100)/10</f>
        <v>46.079998016357408</v>
      </c>
      <c r="F426">
        <v>0.58668297529220603</v>
      </c>
      <c r="G426">
        <f>(Master[[#This Row],[Economy_GDP_per_Capita]]*100)/2</f>
        <v>29.334148764610301</v>
      </c>
      <c r="H426">
        <v>0.73513174057006803</v>
      </c>
      <c r="I426">
        <f>(Master[[#This Row],[Family]]*100)/2</f>
        <v>36.756587028503404</v>
      </c>
      <c r="J426">
        <v>0.53324103355407704</v>
      </c>
      <c r="K426">
        <f>(Master[[#This Row],[Health_Life_Expectancy]]*100)/2</f>
        <v>26.66205167770385</v>
      </c>
      <c r="L426" s="3">
        <v>0.47835665941238398</v>
      </c>
      <c r="M426" s="3">
        <v>0.123717859387398</v>
      </c>
      <c r="N426" s="3">
        <v>0.17225535213947299</v>
      </c>
    </row>
    <row r="427" spans="1:14" x14ac:dyDescent="0.25">
      <c r="A427">
        <v>2017</v>
      </c>
      <c r="B427" t="s">
        <v>177</v>
      </c>
      <c r="C427">
        <v>111</v>
      </c>
      <c r="D427">
        <v>4.5739998817443803</v>
      </c>
      <c r="E427">
        <f>(Master[[#This Row],[Happiness_Score]]*100)/10</f>
        <v>45.739998817443805</v>
      </c>
      <c r="F427">
        <v>0.96443432569503795</v>
      </c>
      <c r="G427">
        <f>(Master[[#This Row],[Economy_GDP_per_Capita]]*100)/2</f>
        <v>48.221716284751899</v>
      </c>
      <c r="H427">
        <v>1.0984708070755</v>
      </c>
      <c r="I427">
        <f>(Master[[#This Row],[Family]]*100)/2</f>
        <v>54.923540353775003</v>
      </c>
      <c r="J427">
        <v>0.33861181139946001</v>
      </c>
      <c r="K427">
        <f>(Master[[#This Row],[Health_Life_Expectancy]]*100)/2</f>
        <v>16.930590569972999</v>
      </c>
      <c r="L427" s="3">
        <v>0.52030354738235496</v>
      </c>
      <c r="M427" s="3">
        <v>9.3146972358226804E-2</v>
      </c>
      <c r="N427" s="3">
        <v>7.7133744955062894E-2</v>
      </c>
    </row>
    <row r="428" spans="1:14" x14ac:dyDescent="0.25">
      <c r="A428">
        <v>2017</v>
      </c>
      <c r="B428" t="s">
        <v>138</v>
      </c>
      <c r="C428">
        <v>112</v>
      </c>
      <c r="D428">
        <v>4.55299997329712</v>
      </c>
      <c r="E428">
        <f>(Master[[#This Row],[Happiness_Score]]*100)/10</f>
        <v>45.529999732971206</v>
      </c>
      <c r="F428">
        <v>0.56047946214675903</v>
      </c>
      <c r="G428">
        <f>(Master[[#This Row],[Economy_GDP_per_Capita]]*100)/2</f>
        <v>28.023973107337952</v>
      </c>
      <c r="H428">
        <v>1.0679507255554199</v>
      </c>
      <c r="I428">
        <f>(Master[[#This Row],[Family]]*100)/2</f>
        <v>53.397536277770996</v>
      </c>
      <c r="J428">
        <v>0.30998834967613198</v>
      </c>
      <c r="K428">
        <f>(Master[[#This Row],[Health_Life_Expectancy]]*100)/2</f>
        <v>15.499417483806599</v>
      </c>
      <c r="L428" s="3">
        <v>0.45276376605033902</v>
      </c>
      <c r="M428" s="3">
        <v>6.4641319215297699E-2</v>
      </c>
      <c r="N428" s="3">
        <v>0.444860309362411</v>
      </c>
    </row>
    <row r="429" spans="1:14" x14ac:dyDescent="0.25">
      <c r="A429">
        <v>2017</v>
      </c>
      <c r="B429" t="s">
        <v>107</v>
      </c>
      <c r="C429">
        <v>113</v>
      </c>
      <c r="D429">
        <v>4.5500001907348597</v>
      </c>
      <c r="E429">
        <f>(Master[[#This Row],[Happiness_Score]]*100)/10</f>
        <v>45.500001907348597</v>
      </c>
      <c r="F429">
        <v>0.234305649995804</v>
      </c>
      <c r="G429">
        <f>(Master[[#This Row],[Economy_GDP_per_Capita]]*100)/2</f>
        <v>11.715282499790201</v>
      </c>
      <c r="H429">
        <v>0.87070101499557495</v>
      </c>
      <c r="I429">
        <f>(Master[[#This Row],[Family]]*100)/2</f>
        <v>43.535050749778748</v>
      </c>
      <c r="J429">
        <v>0.106654435396194</v>
      </c>
      <c r="K429">
        <f>(Master[[#This Row],[Health_Life_Expectancy]]*100)/2</f>
        <v>5.3327217698096998</v>
      </c>
      <c r="L429" s="3">
        <v>0.48079109191894498</v>
      </c>
      <c r="M429" s="3">
        <v>0.179436385631561</v>
      </c>
      <c r="N429" s="3">
        <v>0.322228103876114</v>
      </c>
    </row>
    <row r="430" spans="1:14" x14ac:dyDescent="0.25">
      <c r="A430">
        <v>2017</v>
      </c>
      <c r="B430" t="s">
        <v>142</v>
      </c>
      <c r="C430">
        <v>114</v>
      </c>
      <c r="D430">
        <v>4.5450000762939498</v>
      </c>
      <c r="E430">
        <f>(Master[[#This Row],[Happiness_Score]]*100)/10</f>
        <v>45.450000762939496</v>
      </c>
      <c r="F430">
        <v>0.36711055040359503</v>
      </c>
      <c r="G430">
        <f>(Master[[#This Row],[Economy_GDP_per_Capita]]*100)/2</f>
        <v>18.355527520179752</v>
      </c>
      <c r="H430">
        <v>1.12323594093323</v>
      </c>
      <c r="I430">
        <f>(Master[[#This Row],[Family]]*100)/2</f>
        <v>56.161797046661498</v>
      </c>
      <c r="J430">
        <v>0.39752256870269798</v>
      </c>
      <c r="K430">
        <f>(Master[[#This Row],[Health_Life_Expectancy]]*100)/2</f>
        <v>19.876128435134898</v>
      </c>
      <c r="L430" s="3">
        <v>0.51449203491210904</v>
      </c>
      <c r="M430" s="3">
        <v>0.18881620466709101</v>
      </c>
      <c r="N430" s="3">
        <v>0.83807516098022505</v>
      </c>
    </row>
    <row r="431" spans="1:14" x14ac:dyDescent="0.25">
      <c r="A431">
        <v>2017</v>
      </c>
      <c r="B431" t="s">
        <v>155</v>
      </c>
      <c r="C431">
        <v>115</v>
      </c>
      <c r="D431">
        <v>4.5349998474121103</v>
      </c>
      <c r="E431">
        <f>(Master[[#This Row],[Happiness_Score]]*100)/10</f>
        <v>45.349998474121108</v>
      </c>
      <c r="F431">
        <v>0.479309022426605</v>
      </c>
      <c r="G431">
        <f>(Master[[#This Row],[Economy_GDP_per_Capita]]*100)/2</f>
        <v>23.965451121330251</v>
      </c>
      <c r="H431">
        <v>1.17969191074371</v>
      </c>
      <c r="I431">
        <f>(Master[[#This Row],[Family]]*100)/2</f>
        <v>58.984595537185506</v>
      </c>
      <c r="J431">
        <v>0.409362852573395</v>
      </c>
      <c r="K431">
        <f>(Master[[#This Row],[Health_Life_Expectancy]]*100)/2</f>
        <v>20.468142628669749</v>
      </c>
      <c r="L431" s="3">
        <v>0.37792226672172502</v>
      </c>
      <c r="M431" s="3">
        <v>0.115460447967052</v>
      </c>
      <c r="N431" s="3">
        <v>0.183468893170357</v>
      </c>
    </row>
    <row r="432" spans="1:14" x14ac:dyDescent="0.25">
      <c r="A432">
        <v>2017</v>
      </c>
      <c r="B432" t="s">
        <v>98</v>
      </c>
      <c r="C432">
        <v>116</v>
      </c>
      <c r="D432">
        <v>4.5139999389648402</v>
      </c>
      <c r="E432">
        <f>(Master[[#This Row],[Happiness_Score]]*100)/10</f>
        <v>45.139999389648402</v>
      </c>
      <c r="F432">
        <v>0.63640677928924605</v>
      </c>
      <c r="G432">
        <f>(Master[[#This Row],[Economy_GDP_per_Capita]]*100)/2</f>
        <v>31.820338964462302</v>
      </c>
      <c r="H432">
        <v>1.0031872987747199</v>
      </c>
      <c r="I432">
        <f>(Master[[#This Row],[Family]]*100)/2</f>
        <v>50.159364938735997</v>
      </c>
      <c r="J432">
        <v>0.25783589482307401</v>
      </c>
      <c r="K432">
        <f>(Master[[#This Row],[Health_Life_Expectancy]]*100)/2</f>
        <v>12.891794741153701</v>
      </c>
      <c r="L432" s="3">
        <v>0.46160349249839799</v>
      </c>
      <c r="M432" s="3">
        <v>7.8213550150394398E-2</v>
      </c>
      <c r="N432" s="3">
        <v>0.24958014488220201</v>
      </c>
    </row>
    <row r="433" spans="1:14" x14ac:dyDescent="0.25">
      <c r="A433">
        <v>2017</v>
      </c>
      <c r="B433" t="s">
        <v>125</v>
      </c>
      <c r="C433">
        <v>117</v>
      </c>
      <c r="D433">
        <v>4.4970002174377397</v>
      </c>
      <c r="E433">
        <f>(Master[[#This Row],[Happiness_Score]]*100)/10</f>
        <v>44.970002174377399</v>
      </c>
      <c r="F433">
        <v>1.10271048545837</v>
      </c>
      <c r="G433">
        <f>(Master[[#This Row],[Economy_GDP_per_Capita]]*100)/2</f>
        <v>55.135524272918502</v>
      </c>
      <c r="H433">
        <v>0.97861319780349698</v>
      </c>
      <c r="I433">
        <f>(Master[[#This Row],[Family]]*100)/2</f>
        <v>48.930659890174852</v>
      </c>
      <c r="J433">
        <v>0.50118046998977706</v>
      </c>
      <c r="K433">
        <f>(Master[[#This Row],[Health_Life_Expectancy]]*100)/2</f>
        <v>25.059023499488852</v>
      </c>
      <c r="L433" s="3">
        <v>0.28855553269386303</v>
      </c>
      <c r="M433" s="3">
        <v>0.10721575468778601</v>
      </c>
      <c r="N433" s="3">
        <v>0.19963726401328999</v>
      </c>
    </row>
    <row r="434" spans="1:14" x14ac:dyDescent="0.25">
      <c r="A434">
        <v>2017</v>
      </c>
      <c r="B434" t="s">
        <v>156</v>
      </c>
      <c r="C434">
        <v>118</v>
      </c>
      <c r="D434">
        <v>4.4650001525878897</v>
      </c>
      <c r="E434">
        <f>(Master[[#This Row],[Happiness_Score]]*100)/10</f>
        <v>44.650001525878892</v>
      </c>
      <c r="F434">
        <v>1.1982102394103999</v>
      </c>
      <c r="G434">
        <f>(Master[[#This Row],[Economy_GDP_per_Capita]]*100)/2</f>
        <v>59.910511970519998</v>
      </c>
      <c r="H434">
        <v>1.1556202173232999</v>
      </c>
      <c r="I434">
        <f>(Master[[#This Row],[Family]]*100)/2</f>
        <v>57.781010866164998</v>
      </c>
      <c r="J434">
        <v>0.356578588485718</v>
      </c>
      <c r="K434">
        <f>(Master[[#This Row],[Health_Life_Expectancy]]*100)/2</f>
        <v>17.828929424285899</v>
      </c>
      <c r="L434" s="3">
        <v>0.31232857704162598</v>
      </c>
      <c r="M434" s="3">
        <v>7.6046787202358204E-2</v>
      </c>
      <c r="N434" s="3">
        <v>4.3785378336906398E-2</v>
      </c>
    </row>
    <row r="435" spans="1:14" x14ac:dyDescent="0.25">
      <c r="A435">
        <v>2017</v>
      </c>
      <c r="B435" t="s">
        <v>135</v>
      </c>
      <c r="C435">
        <v>119</v>
      </c>
      <c r="D435">
        <v>4.46000003814697</v>
      </c>
      <c r="E435">
        <f>(Master[[#This Row],[Happiness_Score]]*100)/10</f>
        <v>44.600000381469698</v>
      </c>
      <c r="F435">
        <v>0.33923384547233598</v>
      </c>
      <c r="G435">
        <f>(Master[[#This Row],[Economy_GDP_per_Capita]]*100)/2</f>
        <v>16.961692273616798</v>
      </c>
      <c r="H435">
        <v>0.86466920375823997</v>
      </c>
      <c r="I435">
        <f>(Master[[#This Row],[Family]]*100)/2</f>
        <v>43.233460187912002</v>
      </c>
      <c r="J435">
        <v>0.35340970754623402</v>
      </c>
      <c r="K435">
        <f>(Master[[#This Row],[Health_Life_Expectancy]]*100)/2</f>
        <v>17.670485377311699</v>
      </c>
      <c r="L435" s="3">
        <v>0.40884274244308499</v>
      </c>
      <c r="M435" s="3">
        <v>0.16545571386814101</v>
      </c>
      <c r="N435" s="3">
        <v>0.31265074014663702</v>
      </c>
    </row>
    <row r="436" spans="1:14" x14ac:dyDescent="0.25">
      <c r="A436">
        <v>2017</v>
      </c>
      <c r="B436" t="s">
        <v>145</v>
      </c>
      <c r="C436">
        <v>120</v>
      </c>
      <c r="D436">
        <v>4.4400000572204599</v>
      </c>
      <c r="E436">
        <f>(Master[[#This Row],[Happiness_Score]]*100)/10</f>
        <v>44.400000572204604</v>
      </c>
      <c r="F436">
        <v>1.0098501443862899</v>
      </c>
      <c r="G436">
        <f>(Master[[#This Row],[Economy_GDP_per_Capita]]*100)/2</f>
        <v>50.492507219314497</v>
      </c>
      <c r="H436">
        <v>1.25997638702393</v>
      </c>
      <c r="I436">
        <f>(Master[[#This Row],[Family]]*100)/2</f>
        <v>62.998819351196502</v>
      </c>
      <c r="J436">
        <v>0.62513083219528198</v>
      </c>
      <c r="K436">
        <f>(Master[[#This Row],[Health_Life_Expectancy]]*100)/2</f>
        <v>31.256541609764099</v>
      </c>
      <c r="L436" s="3">
        <v>0.56121325492858898</v>
      </c>
      <c r="M436" s="3">
        <v>7.36539661884308E-2</v>
      </c>
      <c r="N436" s="3">
        <v>0.49086356163024902</v>
      </c>
    </row>
    <row r="437" spans="1:14" x14ac:dyDescent="0.25">
      <c r="A437">
        <v>2017</v>
      </c>
      <c r="B437" t="s">
        <v>140</v>
      </c>
      <c r="C437">
        <v>121</v>
      </c>
      <c r="D437">
        <v>4.3759999275207502</v>
      </c>
      <c r="E437">
        <f>(Master[[#This Row],[Happiness_Score]]*100)/10</f>
        <v>43.759999275207505</v>
      </c>
      <c r="F437">
        <v>0.90059673786163297</v>
      </c>
      <c r="G437">
        <f>(Master[[#This Row],[Economy_GDP_per_Capita]]*100)/2</f>
        <v>45.029836893081651</v>
      </c>
      <c r="H437">
        <v>1.0074837207794201</v>
      </c>
      <c r="I437">
        <f>(Master[[#This Row],[Family]]*100)/2</f>
        <v>50.374186038971004</v>
      </c>
      <c r="J437">
        <v>0.63752442598342896</v>
      </c>
      <c r="K437">
        <f>(Master[[#This Row],[Health_Life_Expectancy]]*100)/2</f>
        <v>31.876221299171448</v>
      </c>
      <c r="L437" s="3">
        <v>0.198303267359734</v>
      </c>
      <c r="M437" s="3">
        <v>2.66744215041399E-2</v>
      </c>
      <c r="N437" s="3">
        <v>8.3488091826438904E-2</v>
      </c>
    </row>
    <row r="438" spans="1:14" x14ac:dyDescent="0.25">
      <c r="A438">
        <v>2017</v>
      </c>
      <c r="B438" t="s">
        <v>130</v>
      </c>
      <c r="C438">
        <v>122</v>
      </c>
      <c r="D438">
        <v>4.3150000572204599</v>
      </c>
      <c r="E438">
        <f>(Master[[#This Row],[Happiness_Score]]*100)/10</f>
        <v>43.150000572204604</v>
      </c>
      <c r="F438">
        <v>0.79222124814987205</v>
      </c>
      <c r="G438">
        <f>(Master[[#This Row],[Economy_GDP_per_Capita]]*100)/2</f>
        <v>39.611062407493606</v>
      </c>
      <c r="H438">
        <v>0.75437259674072299</v>
      </c>
      <c r="I438">
        <f>(Master[[#This Row],[Family]]*100)/2</f>
        <v>37.718629837036147</v>
      </c>
      <c r="J438">
        <v>0.455427616834641</v>
      </c>
      <c r="K438">
        <f>(Master[[#This Row],[Health_Life_Expectancy]]*100)/2</f>
        <v>22.77138084173205</v>
      </c>
      <c r="L438" s="3">
        <v>0.46998700499534601</v>
      </c>
      <c r="M438" s="3">
        <v>9.22268852591515E-2</v>
      </c>
      <c r="N438" s="3">
        <v>0.23153848946094499</v>
      </c>
    </row>
    <row r="439" spans="1:14" x14ac:dyDescent="0.25">
      <c r="A439">
        <v>2017</v>
      </c>
      <c r="B439" t="s">
        <v>137</v>
      </c>
      <c r="C439">
        <v>123</v>
      </c>
      <c r="D439">
        <v>4.2919998168945304</v>
      </c>
      <c r="E439">
        <f>(Master[[#This Row],[Happiness_Score]]*100)/10</f>
        <v>42.919998168945298</v>
      </c>
      <c r="F439">
        <v>0.64845728874206499</v>
      </c>
      <c r="G439">
        <f>(Master[[#This Row],[Economy_GDP_per_Capita]]*100)/2</f>
        <v>32.42286443710325</v>
      </c>
      <c r="H439">
        <v>1.2720308303832999</v>
      </c>
      <c r="I439">
        <f>(Master[[#This Row],[Family]]*100)/2</f>
        <v>63.601541519164996</v>
      </c>
      <c r="J439">
        <v>0.28534927964210499</v>
      </c>
      <c r="K439">
        <f>(Master[[#This Row],[Health_Life_Expectancy]]*100)/2</f>
        <v>14.26746398210525</v>
      </c>
      <c r="L439" s="3">
        <v>9.6098043024539906E-2</v>
      </c>
      <c r="M439" s="3">
        <v>0.13695700466632801</v>
      </c>
      <c r="N439" s="3">
        <v>0.20187002420425401</v>
      </c>
    </row>
    <row r="440" spans="1:14" x14ac:dyDescent="0.25">
      <c r="A440">
        <v>2017</v>
      </c>
      <c r="B440" t="s">
        <v>152</v>
      </c>
      <c r="C440">
        <v>124</v>
      </c>
      <c r="D440">
        <v>4.2909998893737802</v>
      </c>
      <c r="E440">
        <f>(Master[[#This Row],[Happiness_Score]]*100)/10</f>
        <v>42.909998893737807</v>
      </c>
      <c r="F440">
        <v>0.80896425247192405</v>
      </c>
      <c r="G440">
        <f>(Master[[#This Row],[Economy_GDP_per_Capita]]*100)/2</f>
        <v>40.448212623596206</v>
      </c>
      <c r="H440">
        <v>0.83204436302185103</v>
      </c>
      <c r="I440">
        <f>(Master[[#This Row],[Family]]*100)/2</f>
        <v>41.602218151092551</v>
      </c>
      <c r="J440">
        <v>0.28995743393897999</v>
      </c>
      <c r="K440">
        <f>(Master[[#This Row],[Health_Life_Expectancy]]*100)/2</f>
        <v>14.497871696949</v>
      </c>
      <c r="L440" s="3">
        <v>0.43502587080001798</v>
      </c>
      <c r="M440" s="3">
        <v>7.9618133604526506E-2</v>
      </c>
      <c r="N440" s="3">
        <v>0.120852127671242</v>
      </c>
    </row>
    <row r="441" spans="1:14" x14ac:dyDescent="0.25">
      <c r="A441">
        <v>2017</v>
      </c>
      <c r="B441" t="s">
        <v>143</v>
      </c>
      <c r="C441">
        <v>125</v>
      </c>
      <c r="D441">
        <v>4.2859997749328604</v>
      </c>
      <c r="E441">
        <f>(Master[[#This Row],[Happiness_Score]]*100)/10</f>
        <v>42.859997749328599</v>
      </c>
      <c r="F441">
        <v>0.95061266422271695</v>
      </c>
      <c r="G441">
        <f>(Master[[#This Row],[Economy_GDP_per_Capita]]*100)/2</f>
        <v>47.53063321113585</v>
      </c>
      <c r="H441">
        <v>0.57061493396759</v>
      </c>
      <c r="I441">
        <f>(Master[[#This Row],[Family]]*100)/2</f>
        <v>28.530746698379499</v>
      </c>
      <c r="J441">
        <v>0.64954698085784901</v>
      </c>
      <c r="K441">
        <f>(Master[[#This Row],[Health_Life_Expectancy]]*100)/2</f>
        <v>32.477349042892449</v>
      </c>
      <c r="L441" s="3">
        <v>0.30941003561019897</v>
      </c>
      <c r="M441" s="3">
        <v>0.25166663527488697</v>
      </c>
      <c r="N441" s="3">
        <v>5.4008815437555299E-2</v>
      </c>
    </row>
    <row r="442" spans="1:14" x14ac:dyDescent="0.25">
      <c r="A442">
        <v>2017</v>
      </c>
      <c r="B442" t="s">
        <v>133</v>
      </c>
      <c r="C442">
        <v>126</v>
      </c>
      <c r="D442">
        <v>4.2800002098083496</v>
      </c>
      <c r="E442">
        <f>(Master[[#This Row],[Happiness_Score]]*100)/10</f>
        <v>42.800002098083496</v>
      </c>
      <c r="F442">
        <v>9.2102348804473905E-2</v>
      </c>
      <c r="G442">
        <f>(Master[[#This Row],[Economy_GDP_per_Capita]]*100)/2</f>
        <v>4.6051174402236956</v>
      </c>
      <c r="H442">
        <v>1.2290234565734901</v>
      </c>
      <c r="I442">
        <f>(Master[[#This Row],[Family]]*100)/2</f>
        <v>61.451172828674508</v>
      </c>
      <c r="J442">
        <v>0.191407024860382</v>
      </c>
      <c r="K442">
        <f>(Master[[#This Row],[Health_Life_Expectancy]]*100)/2</f>
        <v>9.5703512430191005</v>
      </c>
      <c r="L442" s="3">
        <v>0.23596134781837499</v>
      </c>
      <c r="M442" s="3">
        <v>6.02413564920425E-2</v>
      </c>
      <c r="N442" s="3">
        <v>0.246455833315849</v>
      </c>
    </row>
    <row r="443" spans="1:14" x14ac:dyDescent="0.25">
      <c r="A443">
        <v>2017</v>
      </c>
      <c r="B443" t="s">
        <v>151</v>
      </c>
      <c r="C443">
        <v>127</v>
      </c>
      <c r="D443">
        <v>4.1900000572204599</v>
      </c>
      <c r="E443">
        <f>(Master[[#This Row],[Happiness_Score]]*100)/10</f>
        <v>41.900000572204604</v>
      </c>
      <c r="F443">
        <v>0.47618049383163502</v>
      </c>
      <c r="G443">
        <f>(Master[[#This Row],[Economy_GDP_per_Capita]]*100)/2</f>
        <v>23.809024691581751</v>
      </c>
      <c r="H443">
        <v>1.2814733982086199</v>
      </c>
      <c r="I443">
        <f>(Master[[#This Row],[Family]]*100)/2</f>
        <v>64.073669910430993</v>
      </c>
      <c r="J443">
        <v>0.169365674257278</v>
      </c>
      <c r="K443">
        <f>(Master[[#This Row],[Health_Life_Expectancy]]*100)/2</f>
        <v>8.4682837128639008</v>
      </c>
      <c r="L443" s="3">
        <v>0.30661374330520602</v>
      </c>
      <c r="M443" s="3">
        <v>0.10497024655342101</v>
      </c>
      <c r="N443" s="3">
        <v>0.18335419893264801</v>
      </c>
    </row>
    <row r="444" spans="1:14" x14ac:dyDescent="0.25">
      <c r="A444">
        <v>2017</v>
      </c>
      <c r="B444" t="s">
        <v>164</v>
      </c>
      <c r="C444">
        <v>128</v>
      </c>
      <c r="D444">
        <v>4.1799998283386204</v>
      </c>
      <c r="E444">
        <f>(Master[[#This Row],[Happiness_Score]]*100)/10</f>
        <v>41.799998283386202</v>
      </c>
      <c r="F444">
        <v>0.60304892063140902</v>
      </c>
      <c r="G444">
        <f>(Master[[#This Row],[Economy_GDP_per_Capita]]*100)/2</f>
        <v>30.152446031570452</v>
      </c>
      <c r="H444">
        <v>0.90478003025054898</v>
      </c>
      <c r="I444">
        <f>(Master[[#This Row],[Family]]*100)/2</f>
        <v>45.239001512527452</v>
      </c>
      <c r="J444">
        <v>4.8642169684171697E-2</v>
      </c>
      <c r="K444">
        <f>(Master[[#This Row],[Health_Life_Expectancy]]*100)/2</f>
        <v>2.4321084842085847</v>
      </c>
      <c r="L444" s="3">
        <v>0.44770619273185702</v>
      </c>
      <c r="M444" s="3">
        <v>0.130061775445938</v>
      </c>
      <c r="N444" s="3">
        <v>0.20123746991157501</v>
      </c>
    </row>
    <row r="445" spans="1:14" x14ac:dyDescent="0.25">
      <c r="A445">
        <v>2017</v>
      </c>
      <c r="B445" t="s">
        <v>158</v>
      </c>
      <c r="C445">
        <v>129</v>
      </c>
      <c r="D445">
        <v>4.1680002212524396</v>
      </c>
      <c r="E445">
        <f>(Master[[#This Row],[Happiness_Score]]*100)/10</f>
        <v>41.6800022125244</v>
      </c>
      <c r="F445">
        <v>0.601765096187592</v>
      </c>
      <c r="G445">
        <f>(Master[[#This Row],[Economy_GDP_per_Capita]]*100)/2</f>
        <v>30.088254809379599</v>
      </c>
      <c r="H445">
        <v>1.0062383413314799</v>
      </c>
      <c r="I445">
        <f>(Master[[#This Row],[Family]]*100)/2</f>
        <v>50.311917066573997</v>
      </c>
      <c r="J445">
        <v>0.42978340387344399</v>
      </c>
      <c r="K445">
        <f>(Master[[#This Row],[Health_Life_Expectancy]]*100)/2</f>
        <v>21.489170193672198</v>
      </c>
      <c r="L445" s="3">
        <v>0.63337582349777199</v>
      </c>
      <c r="M445" s="3">
        <v>6.8105950951576205E-2</v>
      </c>
      <c r="N445" s="3">
        <v>0.38592296838760398</v>
      </c>
    </row>
    <row r="446" spans="1:14" x14ac:dyDescent="0.25">
      <c r="A446">
        <v>2017</v>
      </c>
      <c r="B446" t="s">
        <v>131</v>
      </c>
      <c r="C446">
        <v>130</v>
      </c>
      <c r="D446">
        <v>4.1389999389648402</v>
      </c>
      <c r="E446">
        <f>(Master[[#This Row],[Happiness_Score]]*100)/10</f>
        <v>41.389999389648402</v>
      </c>
      <c r="F446">
        <v>0.65951669216155995</v>
      </c>
      <c r="G446">
        <f>(Master[[#This Row],[Economy_GDP_per_Capita]]*100)/2</f>
        <v>32.975834608077996</v>
      </c>
      <c r="H446">
        <v>1.2140085697174099</v>
      </c>
      <c r="I446">
        <f>(Master[[#This Row],[Family]]*100)/2</f>
        <v>60.700428485870496</v>
      </c>
      <c r="J446">
        <v>0.29092082381248502</v>
      </c>
      <c r="K446">
        <f>(Master[[#This Row],[Health_Life_Expectancy]]*100)/2</f>
        <v>14.546041190624251</v>
      </c>
      <c r="L446" s="3">
        <v>1.49958552792668E-2</v>
      </c>
      <c r="M446" s="3">
        <v>8.9847519993782002E-2</v>
      </c>
      <c r="N446" s="3">
        <v>0.182317450642586</v>
      </c>
    </row>
    <row r="447" spans="1:14" x14ac:dyDescent="0.25">
      <c r="A447">
        <v>2017</v>
      </c>
      <c r="B447" t="s">
        <v>127</v>
      </c>
      <c r="C447">
        <v>131</v>
      </c>
      <c r="D447">
        <v>4.1199998855590803</v>
      </c>
      <c r="E447">
        <f>(Master[[#This Row],[Happiness_Score]]*100)/10</f>
        <v>41.199998855590806</v>
      </c>
      <c r="F447">
        <v>0.66722482442855802</v>
      </c>
      <c r="G447">
        <f>(Master[[#This Row],[Economy_GDP_per_Capita]]*100)/2</f>
        <v>33.361241221427903</v>
      </c>
      <c r="H447">
        <v>0.87366473674774203</v>
      </c>
      <c r="I447">
        <f>(Master[[#This Row],[Family]]*100)/2</f>
        <v>43.683236837387099</v>
      </c>
      <c r="J447">
        <v>0.295637726783752</v>
      </c>
      <c r="K447">
        <f>(Master[[#This Row],[Health_Life_Expectancy]]*100)/2</f>
        <v>14.781886339187601</v>
      </c>
      <c r="L447" s="3">
        <v>0.423026293516159</v>
      </c>
      <c r="M447" s="3">
        <v>2.5336369872093201E-2</v>
      </c>
      <c r="N447" s="3">
        <v>0.25692394375801098</v>
      </c>
    </row>
    <row r="448" spans="1:14" x14ac:dyDescent="0.25">
      <c r="A448">
        <v>2017</v>
      </c>
      <c r="B448" t="s">
        <v>124</v>
      </c>
      <c r="C448">
        <v>132</v>
      </c>
      <c r="D448">
        <v>4.0960001945495597</v>
      </c>
      <c r="E448">
        <f>(Master[[#This Row],[Happiness_Score]]*100)/10</f>
        <v>40.960001945495591</v>
      </c>
      <c r="F448">
        <v>0.89465194940567005</v>
      </c>
      <c r="G448">
        <f>(Master[[#This Row],[Economy_GDP_per_Capita]]*100)/2</f>
        <v>44.732597470283501</v>
      </c>
      <c r="H448">
        <v>1.39453756809235</v>
      </c>
      <c r="I448">
        <f>(Master[[#This Row],[Family]]*100)/2</f>
        <v>69.726878404617494</v>
      </c>
      <c r="J448">
        <v>0.57590395212173495</v>
      </c>
      <c r="K448">
        <f>(Master[[#This Row],[Health_Life_Expectancy]]*100)/2</f>
        <v>28.795197606086749</v>
      </c>
      <c r="L448" s="3">
        <v>0.122974775731564</v>
      </c>
      <c r="M448" s="3">
        <v>2.3029470816254598E-2</v>
      </c>
      <c r="N448" s="3">
        <v>0.27006146311759899</v>
      </c>
    </row>
    <row r="449" spans="1:14" x14ac:dyDescent="0.25">
      <c r="A449">
        <v>2017</v>
      </c>
      <c r="B449" t="s">
        <v>154</v>
      </c>
      <c r="C449">
        <v>133</v>
      </c>
      <c r="D449">
        <v>4.0809998512268102</v>
      </c>
      <c r="E449">
        <f>(Master[[#This Row],[Happiness_Score]]*100)/10</f>
        <v>40.809998512268102</v>
      </c>
      <c r="F449">
        <v>0.38143071532249501</v>
      </c>
      <c r="G449">
        <f>(Master[[#This Row],[Economy_GDP_per_Capita]]*100)/2</f>
        <v>19.07153576612475</v>
      </c>
      <c r="H449">
        <v>1.12982773780823</v>
      </c>
      <c r="I449">
        <f>(Master[[#This Row],[Family]]*100)/2</f>
        <v>56.491386890411498</v>
      </c>
      <c r="J449">
        <v>0.217632606625557</v>
      </c>
      <c r="K449">
        <f>(Master[[#This Row],[Health_Life_Expectancy]]*100)/2</f>
        <v>10.881630331277851</v>
      </c>
      <c r="L449" s="3">
        <v>0.443185955286026</v>
      </c>
      <c r="M449" s="3">
        <v>5.7069718837738002E-2</v>
      </c>
      <c r="N449" s="3">
        <v>0.32576605677604697</v>
      </c>
    </row>
    <row r="450" spans="1:14" x14ac:dyDescent="0.25">
      <c r="A450">
        <v>2017</v>
      </c>
      <c r="B450" t="s">
        <v>165</v>
      </c>
      <c r="C450">
        <v>134</v>
      </c>
      <c r="D450">
        <v>4.03200006484985</v>
      </c>
      <c r="E450">
        <f>(Master[[#This Row],[Happiness_Score]]*100)/10</f>
        <v>40.3200006484985</v>
      </c>
      <c r="F450">
        <v>0.35022771358490001</v>
      </c>
      <c r="G450">
        <f>(Master[[#This Row],[Economy_GDP_per_Capita]]*100)/2</f>
        <v>17.511385679245002</v>
      </c>
      <c r="H450">
        <v>1.04328000545502</v>
      </c>
      <c r="I450">
        <f>(Master[[#This Row],[Family]]*100)/2</f>
        <v>52.164000272750997</v>
      </c>
      <c r="J450">
        <v>0.21584425866603901</v>
      </c>
      <c r="K450">
        <f>(Master[[#This Row],[Health_Life_Expectancy]]*100)/2</f>
        <v>10.792212933301951</v>
      </c>
      <c r="L450" s="3">
        <v>0.32436785101890597</v>
      </c>
      <c r="M450" s="3">
        <v>0.120328105986118</v>
      </c>
      <c r="N450" s="3">
        <v>0.25086468458175698</v>
      </c>
    </row>
    <row r="451" spans="1:14" x14ac:dyDescent="0.25">
      <c r="A451">
        <v>2017</v>
      </c>
      <c r="B451" t="s">
        <v>157</v>
      </c>
      <c r="C451">
        <v>135</v>
      </c>
      <c r="D451">
        <v>4.0279998779296902</v>
      </c>
      <c r="E451">
        <f>(Master[[#This Row],[Happiness_Score]]*100)/10</f>
        <v>40.279998779296903</v>
      </c>
      <c r="F451">
        <v>0.16192533075809501</v>
      </c>
      <c r="G451">
        <f>(Master[[#This Row],[Economy_GDP_per_Capita]]*100)/2</f>
        <v>8.09626653790475</v>
      </c>
      <c r="H451">
        <v>0.99302500486373901</v>
      </c>
      <c r="I451">
        <f>(Master[[#This Row],[Family]]*100)/2</f>
        <v>49.651250243186951</v>
      </c>
      <c r="J451">
        <v>0.26850500702857999</v>
      </c>
      <c r="K451">
        <f>(Master[[#This Row],[Health_Life_Expectancy]]*100)/2</f>
        <v>13.425250351429</v>
      </c>
      <c r="L451" s="3">
        <v>0.36365869641303999</v>
      </c>
      <c r="M451" s="3">
        <v>0.13857294619083399</v>
      </c>
      <c r="N451" s="3">
        <v>0.228673845529556</v>
      </c>
    </row>
    <row r="452" spans="1:14" x14ac:dyDescent="0.25">
      <c r="A452">
        <v>2017</v>
      </c>
      <c r="B452" t="s">
        <v>144</v>
      </c>
      <c r="C452">
        <v>136</v>
      </c>
      <c r="D452">
        <v>3.9700000286102299</v>
      </c>
      <c r="E452">
        <f>(Master[[#This Row],[Happiness_Score]]*100)/10</f>
        <v>39.700000286102302</v>
      </c>
      <c r="F452">
        <v>0.233442038297653</v>
      </c>
      <c r="G452">
        <f>(Master[[#This Row],[Economy_GDP_per_Capita]]*100)/2</f>
        <v>11.672101914882651</v>
      </c>
      <c r="H452">
        <v>0.51256883144378695</v>
      </c>
      <c r="I452">
        <f>(Master[[#This Row],[Family]]*100)/2</f>
        <v>25.628441572189349</v>
      </c>
      <c r="J452">
        <v>0.31508958339691201</v>
      </c>
      <c r="K452">
        <f>(Master[[#This Row],[Health_Life_Expectancy]]*100)/2</f>
        <v>15.754479169845601</v>
      </c>
      <c r="L452" s="3">
        <v>0.46691465377807601</v>
      </c>
      <c r="M452" s="3">
        <v>7.2711654007434803E-2</v>
      </c>
      <c r="N452" s="3">
        <v>0.287170469760895</v>
      </c>
    </row>
    <row r="453" spans="1:14" x14ac:dyDescent="0.25">
      <c r="A453">
        <v>2017</v>
      </c>
      <c r="B453" t="s">
        <v>162</v>
      </c>
      <c r="C453">
        <v>137</v>
      </c>
      <c r="D453">
        <v>3.9360001087188698</v>
      </c>
      <c r="E453">
        <f>(Master[[#This Row],[Happiness_Score]]*100)/10</f>
        <v>39.360001087188699</v>
      </c>
      <c r="F453">
        <v>0.43801298737525901</v>
      </c>
      <c r="G453">
        <f>(Master[[#This Row],[Economy_GDP_per_Capita]]*100)/2</f>
        <v>21.900649368762952</v>
      </c>
      <c r="H453">
        <v>0.95385587215423595</v>
      </c>
      <c r="I453">
        <f>(Master[[#This Row],[Family]]*100)/2</f>
        <v>47.692793607711799</v>
      </c>
      <c r="J453">
        <v>4.1134715080261203E-2</v>
      </c>
      <c r="K453">
        <f>(Master[[#This Row],[Health_Life_Expectancy]]*100)/2</f>
        <v>2.0567357540130602</v>
      </c>
      <c r="L453" s="3">
        <v>0.16234202682971999</v>
      </c>
      <c r="M453" s="3">
        <v>5.3581882268190398E-2</v>
      </c>
      <c r="N453" s="3">
        <v>0.21611385047435799</v>
      </c>
    </row>
    <row r="454" spans="1:14" x14ac:dyDescent="0.25">
      <c r="A454">
        <v>2017</v>
      </c>
      <c r="B454" t="s">
        <v>128</v>
      </c>
      <c r="C454">
        <v>138</v>
      </c>
      <c r="D454">
        <v>3.875</v>
      </c>
      <c r="E454">
        <f>(Master[[#This Row],[Happiness_Score]]*100)/10</f>
        <v>38.75</v>
      </c>
      <c r="F454">
        <v>0.37584653496742199</v>
      </c>
      <c r="G454">
        <f>(Master[[#This Row],[Economy_GDP_per_Capita]]*100)/2</f>
        <v>18.792326748371099</v>
      </c>
      <c r="H454">
        <v>1.08309590816498</v>
      </c>
      <c r="I454">
        <f>(Master[[#This Row],[Family]]*100)/2</f>
        <v>54.154795408249001</v>
      </c>
      <c r="J454">
        <v>0.19676375389099099</v>
      </c>
      <c r="K454">
        <f>(Master[[#This Row],[Health_Life_Expectancy]]*100)/2</f>
        <v>9.8381876945495499</v>
      </c>
      <c r="L454" s="3">
        <v>0.336384207010269</v>
      </c>
      <c r="M454" s="3">
        <v>9.5375381410121904E-2</v>
      </c>
      <c r="N454" s="3">
        <v>0.18914349377155301</v>
      </c>
    </row>
    <row r="455" spans="1:14" x14ac:dyDescent="0.25">
      <c r="A455">
        <v>2017</v>
      </c>
      <c r="B455" t="s">
        <v>110</v>
      </c>
      <c r="C455">
        <v>139</v>
      </c>
      <c r="D455">
        <v>3.8080000877380402</v>
      </c>
      <c r="E455">
        <f>(Master[[#This Row],[Happiness_Score]]*100)/10</f>
        <v>38.0800008773804</v>
      </c>
      <c r="F455">
        <v>0.52102124691009499</v>
      </c>
      <c r="G455">
        <f>(Master[[#This Row],[Economy_GDP_per_Capita]]*100)/2</f>
        <v>26.05106234550475</v>
      </c>
      <c r="H455">
        <v>1.1900951862335201</v>
      </c>
      <c r="I455">
        <f>(Master[[#This Row],[Family]]*100)/2</f>
        <v>59.504759311676004</v>
      </c>
      <c r="J455">
        <v>0</v>
      </c>
      <c r="K455">
        <f>(Master[[#This Row],[Health_Life_Expectancy]]*100)/2</f>
        <v>0</v>
      </c>
      <c r="L455" s="3">
        <v>0.39066129922866799</v>
      </c>
      <c r="M455" s="3">
        <v>0.11909464001655599</v>
      </c>
      <c r="N455" s="3">
        <v>0.15749727189540899</v>
      </c>
    </row>
    <row r="456" spans="1:14" x14ac:dyDescent="0.25">
      <c r="A456">
        <v>2017</v>
      </c>
      <c r="B456" t="s">
        <v>150</v>
      </c>
      <c r="C456">
        <v>140</v>
      </c>
      <c r="D456">
        <v>3.7950000762939502</v>
      </c>
      <c r="E456">
        <f>(Master[[#This Row],[Happiness_Score]]*100)/10</f>
        <v>37.950000762939503</v>
      </c>
      <c r="F456">
        <v>0.85842818021774303</v>
      </c>
      <c r="G456">
        <f>(Master[[#This Row],[Economy_GDP_per_Capita]]*100)/2</f>
        <v>42.921409010887153</v>
      </c>
      <c r="H456">
        <v>1.1044119596481301</v>
      </c>
      <c r="I456">
        <f>(Master[[#This Row],[Family]]*100)/2</f>
        <v>55.220597982406503</v>
      </c>
      <c r="J456">
        <v>4.9868665635585799E-2</v>
      </c>
      <c r="K456">
        <f>(Master[[#This Row],[Health_Life_Expectancy]]*100)/2</f>
        <v>2.4934332817792901</v>
      </c>
      <c r="L456" s="3">
        <v>0</v>
      </c>
      <c r="M456" s="3">
        <v>6.9720335304737105E-2</v>
      </c>
      <c r="N456" s="3">
        <v>9.7926490008830996E-2</v>
      </c>
    </row>
    <row r="457" spans="1:14" x14ac:dyDescent="0.25">
      <c r="A457">
        <v>2017</v>
      </c>
      <c r="B457" t="s">
        <v>166</v>
      </c>
      <c r="C457">
        <v>141</v>
      </c>
      <c r="D457">
        <v>3.7939999103546098</v>
      </c>
      <c r="E457">
        <f>(Master[[#This Row],[Happiness_Score]]*100)/10</f>
        <v>37.9399991035461</v>
      </c>
      <c r="F457">
        <v>0.40147721767425498</v>
      </c>
      <c r="G457">
        <f>(Master[[#This Row],[Economy_GDP_per_Capita]]*100)/2</f>
        <v>20.073860883712751</v>
      </c>
      <c r="H457">
        <v>0.58154332637786899</v>
      </c>
      <c r="I457">
        <f>(Master[[#This Row],[Family]]*100)/2</f>
        <v>29.07716631889345</v>
      </c>
      <c r="J457">
        <v>0.18074677884578699</v>
      </c>
      <c r="K457">
        <f>(Master[[#This Row],[Health_Life_Expectancy]]*100)/2</f>
        <v>9.0373389422893489</v>
      </c>
      <c r="L457" s="3">
        <v>0.10617952048778501</v>
      </c>
      <c r="M457" s="3">
        <v>6.1157830059528399E-2</v>
      </c>
      <c r="N457" s="3">
        <v>0.31187093257904103</v>
      </c>
    </row>
    <row r="458" spans="1:14" x14ac:dyDescent="0.25">
      <c r="A458">
        <v>2017</v>
      </c>
      <c r="B458" t="s">
        <v>141</v>
      </c>
      <c r="C458">
        <v>142</v>
      </c>
      <c r="D458">
        <v>3.7660000324249299</v>
      </c>
      <c r="E458">
        <f>(Master[[#This Row],[Happiness_Score]]*100)/10</f>
        <v>37.660000324249296</v>
      </c>
      <c r="F458">
        <v>1.1220941543579099</v>
      </c>
      <c r="G458">
        <f>(Master[[#This Row],[Economy_GDP_per_Capita]]*100)/2</f>
        <v>56.104707717895494</v>
      </c>
      <c r="H458">
        <v>1.2215549945831301</v>
      </c>
      <c r="I458">
        <f>(Master[[#This Row],[Family]]*100)/2</f>
        <v>61.077749729156508</v>
      </c>
      <c r="J458">
        <v>0.34175550937652599</v>
      </c>
      <c r="K458">
        <f>(Master[[#This Row],[Health_Life_Expectancy]]*100)/2</f>
        <v>17.087775468826301</v>
      </c>
      <c r="L458" s="3">
        <v>0.505196332931519</v>
      </c>
      <c r="M458" s="3">
        <v>9.8583199083805098E-2</v>
      </c>
      <c r="N458" s="3">
        <v>9.9348448216915103E-2</v>
      </c>
    </row>
    <row r="459" spans="1:14" x14ac:dyDescent="0.25">
      <c r="A459">
        <v>2017</v>
      </c>
      <c r="B459" t="s">
        <v>168</v>
      </c>
      <c r="C459">
        <v>143</v>
      </c>
      <c r="D459">
        <v>3.65700006484985</v>
      </c>
      <c r="E459">
        <f>(Master[[#This Row],[Happiness_Score]]*100)/10</f>
        <v>36.5700006484985</v>
      </c>
      <c r="F459">
        <v>0.43108540773391701</v>
      </c>
      <c r="G459">
        <f>(Master[[#This Row],[Economy_GDP_per_Capita]]*100)/2</f>
        <v>21.554270386695851</v>
      </c>
      <c r="H459">
        <v>0.435299843549728</v>
      </c>
      <c r="I459">
        <f>(Master[[#This Row],[Family]]*100)/2</f>
        <v>21.764992177486402</v>
      </c>
      <c r="J459">
        <v>0.20993021130561801</v>
      </c>
      <c r="K459">
        <f>(Master[[#This Row],[Health_Life_Expectancy]]*100)/2</f>
        <v>10.4965105652809</v>
      </c>
      <c r="L459" s="3">
        <v>0.42596277594566301</v>
      </c>
      <c r="M459" s="3">
        <v>6.0929015278816202E-2</v>
      </c>
      <c r="N459" s="3">
        <v>0.20794846117496499</v>
      </c>
    </row>
    <row r="460" spans="1:14" x14ac:dyDescent="0.25">
      <c r="A460">
        <v>2017</v>
      </c>
      <c r="B460" t="s">
        <v>160</v>
      </c>
      <c r="C460">
        <v>144</v>
      </c>
      <c r="D460">
        <v>3.6440000534057599</v>
      </c>
      <c r="E460">
        <f>(Master[[#This Row],[Happiness_Score]]*100)/10</f>
        <v>36.440000534057603</v>
      </c>
      <c r="F460">
        <v>0.30580869317054699</v>
      </c>
      <c r="G460">
        <f>(Master[[#This Row],[Economy_GDP_per_Capita]]*100)/2</f>
        <v>15.290434658527349</v>
      </c>
      <c r="H460">
        <v>0.91302037239074696</v>
      </c>
      <c r="I460">
        <f>(Master[[#This Row],[Family]]*100)/2</f>
        <v>45.651018619537346</v>
      </c>
      <c r="J460">
        <v>0.375223308801651</v>
      </c>
      <c r="K460">
        <f>(Master[[#This Row],[Health_Life_Expectancy]]*100)/2</f>
        <v>18.76116544008255</v>
      </c>
      <c r="L460" s="3">
        <v>0.18919676542282099</v>
      </c>
      <c r="M460" s="3">
        <v>6.7231975495815305E-2</v>
      </c>
      <c r="N460" s="3">
        <v>0.208732530474663</v>
      </c>
    </row>
    <row r="461" spans="1:14" x14ac:dyDescent="0.25">
      <c r="A461">
        <v>2017</v>
      </c>
      <c r="B461" t="s">
        <v>132</v>
      </c>
      <c r="C461">
        <v>145</v>
      </c>
      <c r="D461">
        <v>3.6029999256134002</v>
      </c>
      <c r="E461">
        <f>(Master[[#This Row],[Happiness_Score]]*100)/10</f>
        <v>36.029999256134005</v>
      </c>
      <c r="F461">
        <v>0.36861026287078902</v>
      </c>
      <c r="G461">
        <f>(Master[[#This Row],[Economy_GDP_per_Capita]]*100)/2</f>
        <v>18.43051314353945</v>
      </c>
      <c r="H461">
        <v>0.64044982194900502</v>
      </c>
      <c r="I461">
        <f>(Master[[#This Row],[Family]]*100)/2</f>
        <v>32.022491097450249</v>
      </c>
      <c r="J461">
        <v>0.27732113003730802</v>
      </c>
      <c r="K461">
        <f>(Master[[#This Row],[Health_Life_Expectancy]]*100)/2</f>
        <v>13.866056501865401</v>
      </c>
      <c r="L461" s="3">
        <v>3.0369857326149899E-2</v>
      </c>
      <c r="M461" s="3">
        <v>9.9872149527072906E-2</v>
      </c>
      <c r="N461" s="3">
        <v>0.489203780889511</v>
      </c>
    </row>
    <row r="462" spans="1:14" x14ac:dyDescent="0.25">
      <c r="A462">
        <v>2017</v>
      </c>
      <c r="B462" t="s">
        <v>149</v>
      </c>
      <c r="C462">
        <v>146</v>
      </c>
      <c r="D462">
        <v>3.59299993515015</v>
      </c>
      <c r="E462">
        <f>(Master[[#This Row],[Happiness_Score]]*100)/10</f>
        <v>35.9299993515015</v>
      </c>
      <c r="F462">
        <v>0.59168344736099199</v>
      </c>
      <c r="G462">
        <f>(Master[[#This Row],[Economy_GDP_per_Capita]]*100)/2</f>
        <v>29.5841723680496</v>
      </c>
      <c r="H462">
        <v>0.93538224697113004</v>
      </c>
      <c r="I462">
        <f>(Master[[#This Row],[Family]]*100)/2</f>
        <v>46.769112348556504</v>
      </c>
      <c r="J462">
        <v>0.310080915689468</v>
      </c>
      <c r="K462">
        <f>(Master[[#This Row],[Health_Life_Expectancy]]*100)/2</f>
        <v>15.5040457844734</v>
      </c>
      <c r="L462" s="3">
        <v>0.24946372210979501</v>
      </c>
      <c r="M462" s="3">
        <v>5.67674227058887E-2</v>
      </c>
      <c r="N462" s="3">
        <v>0.104125209152699</v>
      </c>
    </row>
    <row r="463" spans="1:14" x14ac:dyDescent="0.25">
      <c r="A463">
        <v>2017</v>
      </c>
      <c r="B463" t="s">
        <v>178</v>
      </c>
      <c r="C463">
        <v>147</v>
      </c>
      <c r="D463">
        <v>3.5910000801086399</v>
      </c>
      <c r="E463">
        <f>(Master[[#This Row],[Happiness_Score]]*100)/10</f>
        <v>35.910000801086397</v>
      </c>
      <c r="F463">
        <v>0.39724862575531</v>
      </c>
      <c r="G463">
        <f>(Master[[#This Row],[Economy_GDP_per_Capita]]*100)/2</f>
        <v>19.862431287765499</v>
      </c>
      <c r="H463">
        <v>0.60132312774658203</v>
      </c>
      <c r="I463">
        <f>(Master[[#This Row],[Family]]*100)/2</f>
        <v>30.066156387329102</v>
      </c>
      <c r="J463">
        <v>0.16348600387573201</v>
      </c>
      <c r="K463">
        <f>(Master[[#This Row],[Health_Life_Expectancy]]*100)/2</f>
        <v>8.1743001937865998</v>
      </c>
      <c r="L463" s="3">
        <v>0.14706243574619299</v>
      </c>
      <c r="M463" s="3">
        <v>0.116793513298035</v>
      </c>
      <c r="N463" s="3">
        <v>0.285670816898346</v>
      </c>
    </row>
    <row r="464" spans="1:14" x14ac:dyDescent="0.25">
      <c r="A464">
        <v>2017</v>
      </c>
      <c r="B464" t="s">
        <v>129</v>
      </c>
      <c r="C464">
        <v>148</v>
      </c>
      <c r="D464">
        <v>3.5329999923706099</v>
      </c>
      <c r="E464">
        <f>(Master[[#This Row],[Happiness_Score]]*100)/10</f>
        <v>35.329999923706097</v>
      </c>
      <c r="F464">
        <v>0.119041793048382</v>
      </c>
      <c r="G464">
        <f>(Master[[#This Row],[Economy_GDP_per_Capita]]*100)/2</f>
        <v>5.9520896524191</v>
      </c>
      <c r="H464">
        <v>0.87211793661117598</v>
      </c>
      <c r="I464">
        <f>(Master[[#This Row],[Family]]*100)/2</f>
        <v>43.605896830558798</v>
      </c>
      <c r="J464">
        <v>0.22991819679737099</v>
      </c>
      <c r="K464">
        <f>(Master[[#This Row],[Health_Life_Expectancy]]*100)/2</f>
        <v>11.495909839868549</v>
      </c>
      <c r="L464" s="3">
        <v>0.33288118243217502</v>
      </c>
      <c r="M464" s="3">
        <v>3.8948249071836499E-2</v>
      </c>
      <c r="N464" s="3">
        <v>0.26654988527298001</v>
      </c>
    </row>
    <row r="465" spans="1:14" x14ac:dyDescent="0.25">
      <c r="A465">
        <v>2017</v>
      </c>
      <c r="B465" t="s">
        <v>163</v>
      </c>
      <c r="C465">
        <v>149</v>
      </c>
      <c r="D465">
        <v>3.5069999694824201</v>
      </c>
      <c r="E465">
        <f>(Master[[#This Row],[Happiness_Score]]*100)/10</f>
        <v>35.069999694824205</v>
      </c>
      <c r="F465">
        <v>0.244549930095673</v>
      </c>
      <c r="G465">
        <f>(Master[[#This Row],[Economy_GDP_per_Capita]]*100)/2</f>
        <v>12.22749650478365</v>
      </c>
      <c r="H465">
        <v>0.79124468564987205</v>
      </c>
      <c r="I465">
        <f>(Master[[#This Row],[Family]]*100)/2</f>
        <v>39.562234282493606</v>
      </c>
      <c r="J465">
        <v>0.194129139184952</v>
      </c>
      <c r="K465">
        <f>(Master[[#This Row],[Health_Life_Expectancy]]*100)/2</f>
        <v>9.7064569592475998</v>
      </c>
      <c r="L465" s="3">
        <v>0.34858751296997098</v>
      </c>
      <c r="M465" s="3">
        <v>0.110937617719173</v>
      </c>
      <c r="N465" s="3">
        <v>0.26481509208679199</v>
      </c>
    </row>
    <row r="466" spans="1:14" x14ac:dyDescent="0.25">
      <c r="A466">
        <v>2017</v>
      </c>
      <c r="B466" t="s">
        <v>171</v>
      </c>
      <c r="C466">
        <v>150</v>
      </c>
      <c r="D466">
        <v>3.4949998855590798</v>
      </c>
      <c r="E466">
        <f>(Master[[#This Row],[Happiness_Score]]*100)/10</f>
        <v>34.949998855590799</v>
      </c>
      <c r="F466">
        <v>0.30544471740722701</v>
      </c>
      <c r="G466">
        <f>(Master[[#This Row],[Economy_GDP_per_Capita]]*100)/2</f>
        <v>15.272235870361349</v>
      </c>
      <c r="H466">
        <v>0.43188253045082098</v>
      </c>
      <c r="I466">
        <f>(Master[[#This Row],[Family]]*100)/2</f>
        <v>21.59412652254105</v>
      </c>
      <c r="J466">
        <v>0.247105568647385</v>
      </c>
      <c r="K466">
        <f>(Master[[#This Row],[Health_Life_Expectancy]]*100)/2</f>
        <v>12.35527843236925</v>
      </c>
      <c r="L466" s="3">
        <v>0.38042613863945002</v>
      </c>
      <c r="M466" s="3">
        <v>9.5665015280246707E-2</v>
      </c>
      <c r="N466" s="3">
        <v>0.19689615070819899</v>
      </c>
    </row>
    <row r="467" spans="1:14" x14ac:dyDescent="0.25">
      <c r="A467">
        <v>2017</v>
      </c>
      <c r="B467" t="s">
        <v>167</v>
      </c>
      <c r="C467">
        <v>151</v>
      </c>
      <c r="D467">
        <v>3.4709999561309801</v>
      </c>
      <c r="E467">
        <f>(Master[[#This Row],[Happiness_Score]]*100)/10</f>
        <v>34.7099995613098</v>
      </c>
      <c r="F467">
        <v>0.36874589323997498</v>
      </c>
      <c r="G467">
        <f>(Master[[#This Row],[Economy_GDP_per_Capita]]*100)/2</f>
        <v>18.437294661998749</v>
      </c>
      <c r="H467">
        <v>0.94570702314376798</v>
      </c>
      <c r="I467">
        <f>(Master[[#This Row],[Family]]*100)/2</f>
        <v>47.285351157188401</v>
      </c>
      <c r="J467">
        <v>0.32642480731010398</v>
      </c>
      <c r="K467">
        <f>(Master[[#This Row],[Health_Life_Expectancy]]*100)/2</f>
        <v>16.321240365505201</v>
      </c>
      <c r="L467" s="3">
        <v>0.58184385299682595</v>
      </c>
      <c r="M467" s="3">
        <v>0.45522001385688798</v>
      </c>
      <c r="N467" s="3">
        <v>0.25275602936744701</v>
      </c>
    </row>
    <row r="468" spans="1:14" x14ac:dyDescent="0.25">
      <c r="A468">
        <v>2017</v>
      </c>
      <c r="B468" t="s">
        <v>169</v>
      </c>
      <c r="C468">
        <v>152</v>
      </c>
      <c r="D468">
        <v>3.4619998931884801</v>
      </c>
      <c r="E468">
        <f>(Master[[#This Row],[Happiness_Score]]*100)/10</f>
        <v>34.619998931884801</v>
      </c>
      <c r="F468">
        <v>0.77715313434600797</v>
      </c>
      <c r="G468">
        <f>(Master[[#This Row],[Economy_GDP_per_Capita]]*100)/2</f>
        <v>38.857656717300401</v>
      </c>
      <c r="H468">
        <v>0.39610260725021401</v>
      </c>
      <c r="I468">
        <f>(Master[[#This Row],[Family]]*100)/2</f>
        <v>19.805130362510699</v>
      </c>
      <c r="J468">
        <v>0.50053334236144997</v>
      </c>
      <c r="K468">
        <f>(Master[[#This Row],[Health_Life_Expectancy]]*100)/2</f>
        <v>25.026667118072499</v>
      </c>
      <c r="L468" s="3">
        <v>8.1539444625377697E-2</v>
      </c>
      <c r="M468" s="3">
        <v>0.151347130537033</v>
      </c>
      <c r="N468" s="3">
        <v>0.49366372823715199</v>
      </c>
    </row>
    <row r="469" spans="1:14" x14ac:dyDescent="0.25">
      <c r="A469">
        <v>2017</v>
      </c>
      <c r="B469" t="s">
        <v>159</v>
      </c>
      <c r="C469">
        <v>153</v>
      </c>
      <c r="D469">
        <v>3.34899997711182</v>
      </c>
      <c r="E469">
        <f>(Master[[#This Row],[Happiness_Score]]*100)/10</f>
        <v>33.4899997711182</v>
      </c>
      <c r="F469">
        <v>0.51113587617874101</v>
      </c>
      <c r="G469">
        <f>(Master[[#This Row],[Economy_GDP_per_Capita]]*100)/2</f>
        <v>25.556793808937051</v>
      </c>
      <c r="H469">
        <v>1.0419898033142101</v>
      </c>
      <c r="I469">
        <f>(Master[[#This Row],[Family]]*100)/2</f>
        <v>52.099490165710506</v>
      </c>
      <c r="J469">
        <v>0.36450928449630698</v>
      </c>
      <c r="K469">
        <f>(Master[[#This Row],[Health_Life_Expectancy]]*100)/2</f>
        <v>18.225464224815351</v>
      </c>
      <c r="L469" s="3">
        <v>0.39001777768135099</v>
      </c>
      <c r="M469" s="3">
        <v>6.6035106778144795E-2</v>
      </c>
      <c r="N469" s="3">
        <v>0.354256361722946</v>
      </c>
    </row>
    <row r="470" spans="1:14" x14ac:dyDescent="0.25">
      <c r="A470">
        <v>2017</v>
      </c>
      <c r="B470" t="s">
        <v>170</v>
      </c>
      <c r="C470">
        <v>154</v>
      </c>
      <c r="D470">
        <v>2.9049999713897701</v>
      </c>
      <c r="E470">
        <f>(Master[[#This Row],[Happiness_Score]]*100)/10</f>
        <v>29.049999713897698</v>
      </c>
      <c r="F470">
        <v>9.1622568666934995E-2</v>
      </c>
      <c r="G470">
        <f>(Master[[#This Row],[Economy_GDP_per_Capita]]*100)/2</f>
        <v>4.5811284333467501</v>
      </c>
      <c r="H470">
        <v>0.62979358434677102</v>
      </c>
      <c r="I470">
        <f>(Master[[#This Row],[Family]]*100)/2</f>
        <v>31.489679217338551</v>
      </c>
      <c r="J470">
        <v>0.15161079168319699</v>
      </c>
      <c r="K470">
        <f>(Master[[#This Row],[Health_Life_Expectancy]]*100)/2</f>
        <v>7.5805395841598493</v>
      </c>
      <c r="L470" s="3">
        <v>5.9900753200054203E-2</v>
      </c>
      <c r="M470" s="3">
        <v>8.4147945046424893E-2</v>
      </c>
      <c r="N470" s="3">
        <v>0.204435184597969</v>
      </c>
    </row>
    <row r="471" spans="1:14" x14ac:dyDescent="0.25">
      <c r="A471">
        <v>2017</v>
      </c>
      <c r="B471" t="s">
        <v>161</v>
      </c>
      <c r="C471">
        <v>155</v>
      </c>
      <c r="D471">
        <v>2.6930000782012899</v>
      </c>
      <c r="E471">
        <f>(Master[[#This Row],[Happiness_Score]]*100)/10</f>
        <v>26.9300007820129</v>
      </c>
      <c r="F471">
        <v>0</v>
      </c>
      <c r="G471">
        <f>(Master[[#This Row],[Economy_GDP_per_Capita]]*100)/2</f>
        <v>0</v>
      </c>
      <c r="H471">
        <v>0</v>
      </c>
      <c r="I471">
        <f>(Master[[#This Row],[Family]]*100)/2</f>
        <v>0</v>
      </c>
      <c r="J471">
        <v>1.8772685900330498E-2</v>
      </c>
      <c r="K471">
        <f>(Master[[#This Row],[Health_Life_Expectancy]]*100)/2</f>
        <v>0.93863429501652496</v>
      </c>
      <c r="L471" s="3">
        <v>0.270842045545578</v>
      </c>
      <c r="M471" s="3">
        <v>5.6565076112747199E-2</v>
      </c>
      <c r="N471" s="3">
        <v>0.28087648749351501</v>
      </c>
    </row>
    <row r="472" spans="1:14" x14ac:dyDescent="0.25">
      <c r="A472">
        <v>2018</v>
      </c>
      <c r="B472" t="s">
        <v>11</v>
      </c>
      <c r="C472">
        <v>1</v>
      </c>
      <c r="D472">
        <v>7.6319999999999997</v>
      </c>
      <c r="E472">
        <f>(Master[[#This Row],[Happiness_Score]]*100)/10</f>
        <v>76.319999999999993</v>
      </c>
      <c r="F472">
        <v>1.3049999999999999</v>
      </c>
      <c r="G472">
        <f>(Master[[#This Row],[Economy_GDP_per_Capita]]*100)/2</f>
        <v>65.25</v>
      </c>
      <c r="H472">
        <v>1.5920000000000001</v>
      </c>
      <c r="I472">
        <f>(Master[[#This Row],[Family]]*100)/2</f>
        <v>79.600000000000009</v>
      </c>
      <c r="J472">
        <v>0.874</v>
      </c>
      <c r="K472">
        <f>(Master[[#This Row],[Health_Life_Expectancy]]*100)/2</f>
        <v>43.7</v>
      </c>
      <c r="L472" s="3">
        <v>0.68100000000000005</v>
      </c>
      <c r="M472" s="3">
        <v>0.39300000000000002</v>
      </c>
      <c r="N472" s="3">
        <v>0.20200000000000001</v>
      </c>
    </row>
    <row r="473" spans="1:14" x14ac:dyDescent="0.25">
      <c r="A473">
        <v>2018</v>
      </c>
      <c r="B473" t="s">
        <v>8</v>
      </c>
      <c r="C473">
        <v>2</v>
      </c>
      <c r="D473">
        <v>7.5940000000000003</v>
      </c>
      <c r="E473">
        <f>(Master[[#This Row],[Happiness_Score]]*100)/10</f>
        <v>75.94</v>
      </c>
      <c r="F473">
        <v>1.456</v>
      </c>
      <c r="G473">
        <f>(Master[[#This Row],[Economy_GDP_per_Capita]]*100)/2</f>
        <v>72.8</v>
      </c>
      <c r="H473">
        <v>1.5820000000000001</v>
      </c>
      <c r="I473">
        <f>(Master[[#This Row],[Family]]*100)/2</f>
        <v>79.100000000000009</v>
      </c>
      <c r="J473">
        <v>0.86099999999999999</v>
      </c>
      <c r="K473">
        <f>(Master[[#This Row],[Health_Life_Expectancy]]*100)/2</f>
        <v>43.05</v>
      </c>
      <c r="L473" s="3">
        <v>0.68600000000000005</v>
      </c>
      <c r="M473" s="3">
        <v>0.34</v>
      </c>
      <c r="N473" s="3">
        <v>0.28599999999999998</v>
      </c>
    </row>
    <row r="474" spans="1:14" x14ac:dyDescent="0.25">
      <c r="A474">
        <v>2018</v>
      </c>
      <c r="B474" t="s">
        <v>7</v>
      </c>
      <c r="C474">
        <v>3</v>
      </c>
      <c r="D474">
        <v>7.5549999999999997</v>
      </c>
      <c r="E474">
        <f>(Master[[#This Row],[Happiness_Score]]*100)/10</f>
        <v>75.55</v>
      </c>
      <c r="F474">
        <v>1.351</v>
      </c>
      <c r="G474">
        <f>(Master[[#This Row],[Economy_GDP_per_Capita]]*100)/2</f>
        <v>67.55</v>
      </c>
      <c r="H474">
        <v>1.59</v>
      </c>
      <c r="I474">
        <f>(Master[[#This Row],[Family]]*100)/2</f>
        <v>79.5</v>
      </c>
      <c r="J474">
        <v>0.86799999999999999</v>
      </c>
      <c r="K474">
        <f>(Master[[#This Row],[Health_Life_Expectancy]]*100)/2</f>
        <v>43.4</v>
      </c>
      <c r="L474" s="3">
        <v>0.68300000000000005</v>
      </c>
      <c r="M474" s="3">
        <v>0.40799999999999997</v>
      </c>
      <c r="N474" s="3">
        <v>0.28399999999999997</v>
      </c>
    </row>
    <row r="475" spans="1:14" x14ac:dyDescent="0.25">
      <c r="A475">
        <v>2018</v>
      </c>
      <c r="B475" t="s">
        <v>6</v>
      </c>
      <c r="C475">
        <v>4</v>
      </c>
      <c r="D475">
        <v>7.4950000000000001</v>
      </c>
      <c r="E475">
        <f>(Master[[#This Row],[Happiness_Score]]*100)/10</f>
        <v>74.95</v>
      </c>
      <c r="F475">
        <v>1.343</v>
      </c>
      <c r="G475">
        <f>(Master[[#This Row],[Economy_GDP_per_Capita]]*100)/2</f>
        <v>67.150000000000006</v>
      </c>
      <c r="H475">
        <v>1.6439999999999999</v>
      </c>
      <c r="I475">
        <f>(Master[[#This Row],[Family]]*100)/2</f>
        <v>82.199999999999989</v>
      </c>
      <c r="J475">
        <v>0.91400000000000003</v>
      </c>
      <c r="K475">
        <f>(Master[[#This Row],[Health_Life_Expectancy]]*100)/2</f>
        <v>45.7</v>
      </c>
      <c r="L475" s="3">
        <v>0.67700000000000005</v>
      </c>
      <c r="M475" s="3">
        <v>0.13800000000000001</v>
      </c>
      <c r="N475" s="3">
        <v>0.35299999999999998</v>
      </c>
    </row>
    <row r="476" spans="1:14" x14ac:dyDescent="0.25">
      <c r="A476">
        <v>2018</v>
      </c>
      <c r="B476" t="s">
        <v>4</v>
      </c>
      <c r="C476">
        <v>5</v>
      </c>
      <c r="D476">
        <v>7.4870000000000001</v>
      </c>
      <c r="E476">
        <f>(Master[[#This Row],[Happiness_Score]]*100)/10</f>
        <v>74.87</v>
      </c>
      <c r="F476">
        <v>1.42</v>
      </c>
      <c r="G476">
        <f>(Master[[#This Row],[Economy_GDP_per_Capita]]*100)/2</f>
        <v>71</v>
      </c>
      <c r="H476">
        <v>1.5489999999999999</v>
      </c>
      <c r="I476">
        <f>(Master[[#This Row],[Family]]*100)/2</f>
        <v>77.45</v>
      </c>
      <c r="J476">
        <v>0.92700000000000005</v>
      </c>
      <c r="K476">
        <f>(Master[[#This Row],[Health_Life_Expectancy]]*100)/2</f>
        <v>46.35</v>
      </c>
      <c r="L476" s="3">
        <v>0.66</v>
      </c>
      <c r="M476" s="3">
        <v>0.35699999999999998</v>
      </c>
      <c r="N476" s="3">
        <v>0.25600000000000001</v>
      </c>
    </row>
    <row r="477" spans="1:14" x14ac:dyDescent="0.25">
      <c r="A477">
        <v>2018</v>
      </c>
      <c r="B477" t="s">
        <v>12</v>
      </c>
      <c r="C477">
        <v>6</v>
      </c>
      <c r="D477">
        <v>7.4409999999999998</v>
      </c>
      <c r="E477">
        <f>(Master[[#This Row],[Happiness_Score]]*100)/10</f>
        <v>74.41</v>
      </c>
      <c r="F477">
        <v>1.361</v>
      </c>
      <c r="G477">
        <f>(Master[[#This Row],[Economy_GDP_per_Capita]]*100)/2</f>
        <v>68.05</v>
      </c>
      <c r="H477">
        <v>1.488</v>
      </c>
      <c r="I477">
        <f>(Master[[#This Row],[Family]]*100)/2</f>
        <v>74.400000000000006</v>
      </c>
      <c r="J477">
        <v>0.878</v>
      </c>
      <c r="K477">
        <f>(Master[[#This Row],[Health_Life_Expectancy]]*100)/2</f>
        <v>43.9</v>
      </c>
      <c r="L477" s="3">
        <v>0.63800000000000001</v>
      </c>
      <c r="M477" s="3">
        <v>0.29499999999999998</v>
      </c>
      <c r="N477" s="3">
        <v>0.33300000000000002</v>
      </c>
    </row>
    <row r="478" spans="1:14" x14ac:dyDescent="0.25">
      <c r="A478">
        <v>2018</v>
      </c>
      <c r="B478" t="s">
        <v>9</v>
      </c>
      <c r="C478">
        <v>7</v>
      </c>
      <c r="D478">
        <v>7.3280000000000003</v>
      </c>
      <c r="E478">
        <f>(Master[[#This Row],[Happiness_Score]]*100)/10</f>
        <v>73.28</v>
      </c>
      <c r="F478">
        <v>1.33</v>
      </c>
      <c r="G478">
        <f>(Master[[#This Row],[Economy_GDP_per_Capita]]*100)/2</f>
        <v>66.5</v>
      </c>
      <c r="H478">
        <v>1.532</v>
      </c>
      <c r="I478">
        <f>(Master[[#This Row],[Family]]*100)/2</f>
        <v>76.599999999999994</v>
      </c>
      <c r="J478">
        <v>0.89600000000000002</v>
      </c>
      <c r="K478">
        <f>(Master[[#This Row],[Health_Life_Expectancy]]*100)/2</f>
        <v>44.800000000000004</v>
      </c>
      <c r="L478" s="3">
        <v>0.65300000000000002</v>
      </c>
      <c r="M478" s="3">
        <v>0.29099999999999998</v>
      </c>
      <c r="N478" s="3">
        <v>0.32100000000000001</v>
      </c>
    </row>
    <row r="479" spans="1:14" x14ac:dyDescent="0.25">
      <c r="A479">
        <v>2018</v>
      </c>
      <c r="B479" t="s">
        <v>14</v>
      </c>
      <c r="C479">
        <v>8</v>
      </c>
      <c r="D479">
        <v>7.3239999999999998</v>
      </c>
      <c r="E479">
        <f>(Master[[#This Row],[Happiness_Score]]*100)/10</f>
        <v>73.239999999999995</v>
      </c>
      <c r="F479">
        <v>1.268</v>
      </c>
      <c r="G479">
        <f>(Master[[#This Row],[Economy_GDP_per_Capita]]*100)/2</f>
        <v>63.4</v>
      </c>
      <c r="H479">
        <v>1.601</v>
      </c>
      <c r="I479">
        <f>(Master[[#This Row],[Family]]*100)/2</f>
        <v>80.05</v>
      </c>
      <c r="J479">
        <v>0.876</v>
      </c>
      <c r="K479">
        <f>(Master[[#This Row],[Health_Life_Expectancy]]*100)/2</f>
        <v>43.8</v>
      </c>
      <c r="L479" s="3">
        <v>0.66900000000000004</v>
      </c>
      <c r="M479" s="3">
        <v>0.38900000000000001</v>
      </c>
      <c r="N479" s="3">
        <v>0.36499999999999999</v>
      </c>
    </row>
    <row r="480" spans="1:14" x14ac:dyDescent="0.25">
      <c r="A480">
        <v>2018</v>
      </c>
      <c r="B480" t="s">
        <v>13</v>
      </c>
      <c r="C480">
        <v>9</v>
      </c>
      <c r="D480">
        <v>7.3140000000000001</v>
      </c>
      <c r="E480">
        <f>(Master[[#This Row],[Happiness_Score]]*100)/10</f>
        <v>73.14</v>
      </c>
      <c r="F480">
        <v>1.355</v>
      </c>
      <c r="G480">
        <f>(Master[[#This Row],[Economy_GDP_per_Capita]]*100)/2</f>
        <v>67.75</v>
      </c>
      <c r="H480">
        <v>1.5009999999999999</v>
      </c>
      <c r="I480">
        <f>(Master[[#This Row],[Family]]*100)/2</f>
        <v>75.05</v>
      </c>
      <c r="J480">
        <v>0.91300000000000003</v>
      </c>
      <c r="K480">
        <f>(Master[[#This Row],[Health_Life_Expectancy]]*100)/2</f>
        <v>45.65</v>
      </c>
      <c r="L480" s="3">
        <v>0.65900000000000003</v>
      </c>
      <c r="M480" s="3">
        <v>0.38300000000000001</v>
      </c>
      <c r="N480" s="3">
        <v>0.28499999999999998</v>
      </c>
    </row>
    <row r="481" spans="1:14" x14ac:dyDescent="0.25">
      <c r="A481">
        <v>2018</v>
      </c>
      <c r="B481" t="s">
        <v>16</v>
      </c>
      <c r="C481">
        <v>10</v>
      </c>
      <c r="D481">
        <v>7.2720000000000002</v>
      </c>
      <c r="E481">
        <f>(Master[[#This Row],[Happiness_Score]]*100)/10</f>
        <v>72.72</v>
      </c>
      <c r="F481">
        <v>1.34</v>
      </c>
      <c r="G481">
        <f>(Master[[#This Row],[Economy_GDP_per_Capita]]*100)/2</f>
        <v>67</v>
      </c>
      <c r="H481">
        <v>1.573</v>
      </c>
      <c r="I481">
        <f>(Master[[#This Row],[Family]]*100)/2</f>
        <v>78.649999999999991</v>
      </c>
      <c r="J481">
        <v>0.91</v>
      </c>
      <c r="K481">
        <f>(Master[[#This Row],[Health_Life_Expectancy]]*100)/2</f>
        <v>45.5</v>
      </c>
      <c r="L481" s="3">
        <v>0.64700000000000002</v>
      </c>
      <c r="M481" s="3">
        <v>0.30199999999999999</v>
      </c>
      <c r="N481" s="3">
        <v>0.36099999999999999</v>
      </c>
    </row>
    <row r="482" spans="1:14" x14ac:dyDescent="0.25">
      <c r="A482">
        <v>2018</v>
      </c>
      <c r="B482" t="s">
        <v>29</v>
      </c>
      <c r="C482">
        <v>11</v>
      </c>
      <c r="D482">
        <v>7.19</v>
      </c>
      <c r="E482">
        <f>(Master[[#This Row],[Happiness_Score]]*100)/10</f>
        <v>71.900000000000006</v>
      </c>
      <c r="F482">
        <v>1.244</v>
      </c>
      <c r="G482">
        <f>(Master[[#This Row],[Economy_GDP_per_Capita]]*100)/2</f>
        <v>62.2</v>
      </c>
      <c r="H482">
        <v>1.4330000000000001</v>
      </c>
      <c r="I482">
        <f>(Master[[#This Row],[Family]]*100)/2</f>
        <v>71.650000000000006</v>
      </c>
      <c r="J482">
        <v>0.88800000000000001</v>
      </c>
      <c r="K482">
        <f>(Master[[#This Row],[Health_Life_Expectancy]]*100)/2</f>
        <v>44.4</v>
      </c>
      <c r="L482" s="3">
        <v>0.46400000000000002</v>
      </c>
      <c r="M482" s="3">
        <v>8.2000000000000003E-2</v>
      </c>
      <c r="N482" s="3">
        <v>0.26200000000000001</v>
      </c>
    </row>
    <row r="483" spans="1:14" x14ac:dyDescent="0.25">
      <c r="A483">
        <v>2018</v>
      </c>
      <c r="B483" t="s">
        <v>21</v>
      </c>
      <c r="C483">
        <v>12</v>
      </c>
      <c r="D483">
        <v>7.1390000000000002</v>
      </c>
      <c r="E483">
        <f>(Master[[#This Row],[Happiness_Score]]*100)/10</f>
        <v>71.39</v>
      </c>
      <c r="F483">
        <v>1.341</v>
      </c>
      <c r="G483">
        <f>(Master[[#This Row],[Economy_GDP_per_Capita]]*100)/2</f>
        <v>67.05</v>
      </c>
      <c r="H483">
        <v>1.504</v>
      </c>
      <c r="I483">
        <f>(Master[[#This Row],[Family]]*100)/2</f>
        <v>75.2</v>
      </c>
      <c r="J483">
        <v>0.89100000000000001</v>
      </c>
      <c r="K483">
        <f>(Master[[#This Row],[Health_Life_Expectancy]]*100)/2</f>
        <v>44.55</v>
      </c>
      <c r="L483" s="3">
        <v>0.61699999999999999</v>
      </c>
      <c r="M483" s="3">
        <v>0.224</v>
      </c>
      <c r="N483" s="3">
        <v>0.24199999999999999</v>
      </c>
    </row>
    <row r="484" spans="1:14" x14ac:dyDescent="0.25">
      <c r="A484">
        <v>2018</v>
      </c>
      <c r="B484" t="s">
        <v>19</v>
      </c>
      <c r="C484">
        <v>13</v>
      </c>
      <c r="D484">
        <v>7.0720000000000001</v>
      </c>
      <c r="E484">
        <f>(Master[[#This Row],[Happiness_Score]]*100)/10</f>
        <v>70.72</v>
      </c>
      <c r="F484">
        <v>1.01</v>
      </c>
      <c r="G484">
        <f>(Master[[#This Row],[Economy_GDP_per_Capita]]*100)/2</f>
        <v>50.5</v>
      </c>
      <c r="H484">
        <v>1.4590000000000001</v>
      </c>
      <c r="I484">
        <f>(Master[[#This Row],[Family]]*100)/2</f>
        <v>72.95</v>
      </c>
      <c r="J484">
        <v>0.81699999999999995</v>
      </c>
      <c r="K484">
        <f>(Master[[#This Row],[Health_Life_Expectancy]]*100)/2</f>
        <v>40.849999999999994</v>
      </c>
      <c r="L484" s="3">
        <v>0.63200000000000001</v>
      </c>
      <c r="M484" s="3">
        <v>0.10100000000000001</v>
      </c>
      <c r="N484" s="3">
        <v>0.14299999999999999</v>
      </c>
    </row>
    <row r="485" spans="1:14" x14ac:dyDescent="0.25">
      <c r="A485">
        <v>2018</v>
      </c>
      <c r="B485" t="s">
        <v>26</v>
      </c>
      <c r="C485">
        <v>14</v>
      </c>
      <c r="D485">
        <v>6.9770000000000003</v>
      </c>
      <c r="E485">
        <f>(Master[[#This Row],[Happiness_Score]]*100)/10</f>
        <v>69.77000000000001</v>
      </c>
      <c r="F485">
        <v>1.448</v>
      </c>
      <c r="G485">
        <f>(Master[[#This Row],[Economy_GDP_per_Capita]]*100)/2</f>
        <v>72.399999999999991</v>
      </c>
      <c r="H485">
        <v>1.583</v>
      </c>
      <c r="I485">
        <f>(Master[[#This Row],[Family]]*100)/2</f>
        <v>79.149999999999991</v>
      </c>
      <c r="J485">
        <v>0.876</v>
      </c>
      <c r="K485">
        <f>(Master[[#This Row],[Health_Life_Expectancy]]*100)/2</f>
        <v>43.8</v>
      </c>
      <c r="L485" s="3">
        <v>0.61399999999999999</v>
      </c>
      <c r="M485" s="3">
        <v>0.30599999999999999</v>
      </c>
      <c r="N485" s="3">
        <v>0.307</v>
      </c>
    </row>
    <row r="486" spans="1:14" x14ac:dyDescent="0.25">
      <c r="A486">
        <v>2018</v>
      </c>
      <c r="B486" t="s">
        <v>35</v>
      </c>
      <c r="C486">
        <v>15</v>
      </c>
      <c r="D486">
        <v>6.9649999999999999</v>
      </c>
      <c r="E486">
        <f>(Master[[#This Row],[Happiness_Score]]*100)/10</f>
        <v>69.650000000000006</v>
      </c>
      <c r="F486">
        <v>1.34</v>
      </c>
      <c r="G486">
        <f>(Master[[#This Row],[Economy_GDP_per_Capita]]*100)/2</f>
        <v>67</v>
      </c>
      <c r="H486">
        <v>1.474</v>
      </c>
      <c r="I486">
        <f>(Master[[#This Row],[Family]]*100)/2</f>
        <v>73.7</v>
      </c>
      <c r="J486">
        <v>0.86099999999999999</v>
      </c>
      <c r="K486">
        <f>(Master[[#This Row],[Health_Life_Expectancy]]*100)/2</f>
        <v>43.05</v>
      </c>
      <c r="L486" s="3">
        <v>0.58599999999999997</v>
      </c>
      <c r="M486" s="3">
        <v>0.28000000000000003</v>
      </c>
      <c r="N486" s="3">
        <v>0.27300000000000002</v>
      </c>
    </row>
    <row r="487" spans="1:14" x14ac:dyDescent="0.25">
      <c r="A487">
        <v>2018</v>
      </c>
      <c r="B487" t="s">
        <v>27</v>
      </c>
      <c r="C487">
        <v>16</v>
      </c>
      <c r="D487">
        <v>6.9269999999999996</v>
      </c>
      <c r="E487">
        <f>(Master[[#This Row],[Happiness_Score]]*100)/10</f>
        <v>69.27</v>
      </c>
      <c r="F487">
        <v>1.3240000000000001</v>
      </c>
      <c r="G487">
        <f>(Master[[#This Row],[Economy_GDP_per_Capita]]*100)/2</f>
        <v>66.2</v>
      </c>
      <c r="H487">
        <v>1.4830000000000001</v>
      </c>
      <c r="I487">
        <f>(Master[[#This Row],[Family]]*100)/2</f>
        <v>74.150000000000006</v>
      </c>
      <c r="J487">
        <v>0.89400000000000002</v>
      </c>
      <c r="K487">
        <f>(Master[[#This Row],[Health_Life_Expectancy]]*100)/2</f>
        <v>44.7</v>
      </c>
      <c r="L487" s="3">
        <v>0.58299999999999996</v>
      </c>
      <c r="M487" s="3">
        <v>0.24</v>
      </c>
      <c r="N487" s="3">
        <v>0.188</v>
      </c>
    </row>
    <row r="488" spans="1:14" x14ac:dyDescent="0.25">
      <c r="A488">
        <v>2018</v>
      </c>
      <c r="B488" t="s">
        <v>25</v>
      </c>
      <c r="C488">
        <v>17</v>
      </c>
      <c r="D488">
        <v>6.91</v>
      </c>
      <c r="E488">
        <f>(Master[[#This Row],[Happiness_Score]]*100)/10</f>
        <v>69.099999999999994</v>
      </c>
      <c r="F488">
        <v>1.5760000000000001</v>
      </c>
      <c r="G488">
        <f>(Master[[#This Row],[Economy_GDP_per_Capita]]*100)/2</f>
        <v>78.8</v>
      </c>
      <c r="H488">
        <v>1.52</v>
      </c>
      <c r="I488">
        <f>(Master[[#This Row],[Family]]*100)/2</f>
        <v>76</v>
      </c>
      <c r="J488">
        <v>0.89600000000000002</v>
      </c>
      <c r="K488">
        <f>(Master[[#This Row],[Health_Life_Expectancy]]*100)/2</f>
        <v>44.800000000000004</v>
      </c>
      <c r="L488" s="3">
        <v>0.63200000000000001</v>
      </c>
      <c r="M488" s="3">
        <v>0.32100000000000001</v>
      </c>
      <c r="N488" s="3">
        <v>0.19600000000000001</v>
      </c>
    </row>
    <row r="489" spans="1:14" x14ac:dyDescent="0.25">
      <c r="A489">
        <v>2018</v>
      </c>
      <c r="B489" t="s">
        <v>23</v>
      </c>
      <c r="C489">
        <v>18</v>
      </c>
      <c r="D489">
        <v>6.8860000000000001</v>
      </c>
      <c r="E489">
        <f>(Master[[#This Row],[Happiness_Score]]*100)/10</f>
        <v>68.86</v>
      </c>
      <c r="F489">
        <v>1.3979999999999999</v>
      </c>
      <c r="G489">
        <f>(Master[[#This Row],[Economy_GDP_per_Capita]]*100)/2</f>
        <v>69.899999999999991</v>
      </c>
      <c r="H489">
        <v>1.4710000000000001</v>
      </c>
      <c r="I489">
        <f>(Master[[#This Row],[Family]]*100)/2</f>
        <v>73.550000000000011</v>
      </c>
      <c r="J489">
        <v>0.81899999999999995</v>
      </c>
      <c r="K489">
        <f>(Master[[#This Row],[Health_Life_Expectancy]]*100)/2</f>
        <v>40.949999999999996</v>
      </c>
      <c r="L489" s="3">
        <v>0.54700000000000004</v>
      </c>
      <c r="M489" s="3">
        <v>0.13300000000000001</v>
      </c>
      <c r="N489" s="3">
        <v>0.29099999999999998</v>
      </c>
    </row>
    <row r="490" spans="1:14" x14ac:dyDescent="0.25">
      <c r="A490">
        <v>2018</v>
      </c>
      <c r="B490" t="s">
        <v>17</v>
      </c>
      <c r="C490">
        <v>19</v>
      </c>
      <c r="D490">
        <v>6.8140000000000001</v>
      </c>
      <c r="E490">
        <f>(Master[[#This Row],[Happiness_Score]]*100)/10</f>
        <v>68.14</v>
      </c>
      <c r="F490">
        <v>1.3009999999999999</v>
      </c>
      <c r="G490">
        <f>(Master[[#This Row],[Economy_GDP_per_Capita]]*100)/2</f>
        <v>65.05</v>
      </c>
      <c r="H490">
        <v>1.5589999999999999</v>
      </c>
      <c r="I490">
        <f>(Master[[#This Row],[Family]]*100)/2</f>
        <v>77.95</v>
      </c>
      <c r="J490">
        <v>0.88300000000000001</v>
      </c>
      <c r="K490">
        <f>(Master[[#This Row],[Health_Life_Expectancy]]*100)/2</f>
        <v>44.15</v>
      </c>
      <c r="L490" s="3">
        <v>0.53300000000000003</v>
      </c>
      <c r="M490" s="3">
        <v>0.27200000000000002</v>
      </c>
      <c r="N490" s="3">
        <v>0.35399999999999998</v>
      </c>
    </row>
    <row r="491" spans="1:14" x14ac:dyDescent="0.25">
      <c r="A491">
        <v>2018</v>
      </c>
      <c r="B491" t="s">
        <v>28</v>
      </c>
      <c r="C491">
        <v>20</v>
      </c>
      <c r="D491">
        <v>6.774</v>
      </c>
      <c r="E491">
        <f>(Master[[#This Row],[Happiness_Score]]*100)/10</f>
        <v>67.739999999999995</v>
      </c>
      <c r="F491">
        <v>2.0960000000000001</v>
      </c>
      <c r="G491">
        <f>(Master[[#This Row],[Economy_GDP_per_Capita]]*100)/2</f>
        <v>104.80000000000001</v>
      </c>
      <c r="H491">
        <v>0.77600000000000002</v>
      </c>
      <c r="I491">
        <f>(Master[[#This Row],[Family]]*100)/2</f>
        <v>38.800000000000004</v>
      </c>
      <c r="J491">
        <v>0.67</v>
      </c>
      <c r="K491">
        <f>(Master[[#This Row],[Health_Life_Expectancy]]*100)/2</f>
        <v>33.5</v>
      </c>
      <c r="L491" s="3">
        <v>0.28399999999999997</v>
      </c>
      <c r="N491" s="3">
        <v>0.186</v>
      </c>
    </row>
    <row r="492" spans="1:14" x14ac:dyDescent="0.25">
      <c r="A492">
        <v>2018</v>
      </c>
      <c r="B492" t="s">
        <v>40</v>
      </c>
      <c r="C492">
        <v>21</v>
      </c>
      <c r="D492">
        <v>6.7110000000000003</v>
      </c>
      <c r="E492">
        <f>(Master[[#This Row],[Happiness_Score]]*100)/10</f>
        <v>67.11</v>
      </c>
      <c r="F492">
        <v>1.2330000000000001</v>
      </c>
      <c r="G492">
        <f>(Master[[#This Row],[Economy_GDP_per_Capita]]*100)/2</f>
        <v>61.650000000000006</v>
      </c>
      <c r="H492">
        <v>1.4890000000000001</v>
      </c>
      <c r="I492">
        <f>(Master[[#This Row],[Family]]*100)/2</f>
        <v>74.45</v>
      </c>
      <c r="J492">
        <v>0.85399999999999998</v>
      </c>
      <c r="K492">
        <f>(Master[[#This Row],[Health_Life_Expectancy]]*100)/2</f>
        <v>42.699999999999996</v>
      </c>
      <c r="L492" s="3">
        <v>0.54300000000000004</v>
      </c>
      <c r="M492" s="3">
        <v>3.4000000000000002E-2</v>
      </c>
      <c r="N492" s="3">
        <v>6.4000000000000001E-2</v>
      </c>
    </row>
    <row r="493" spans="1:14" x14ac:dyDescent="0.25">
      <c r="A493">
        <v>2018</v>
      </c>
      <c r="B493" t="s">
        <v>47</v>
      </c>
      <c r="C493">
        <v>22</v>
      </c>
      <c r="D493">
        <v>6.6269999999999998</v>
      </c>
      <c r="E493">
        <f>(Master[[#This Row],[Happiness_Score]]*100)/10</f>
        <v>66.27</v>
      </c>
      <c r="F493">
        <v>1.27</v>
      </c>
      <c r="G493">
        <f>(Master[[#This Row],[Economy_GDP_per_Capita]]*100)/2</f>
        <v>63.5</v>
      </c>
      <c r="H493">
        <v>1.5249999999999999</v>
      </c>
      <c r="I493">
        <f>(Master[[#This Row],[Family]]*100)/2</f>
        <v>76.25</v>
      </c>
      <c r="J493">
        <v>0.88400000000000001</v>
      </c>
      <c r="K493">
        <f>(Master[[#This Row],[Health_Life_Expectancy]]*100)/2</f>
        <v>44.2</v>
      </c>
      <c r="L493" s="3">
        <v>0.64500000000000002</v>
      </c>
      <c r="M493" s="3">
        <v>0.14199999999999999</v>
      </c>
      <c r="N493" s="3">
        <v>0.376</v>
      </c>
    </row>
    <row r="494" spans="1:14" x14ac:dyDescent="0.25">
      <c r="A494">
        <v>2018</v>
      </c>
      <c r="B494" t="s">
        <v>38</v>
      </c>
      <c r="C494">
        <v>23</v>
      </c>
      <c r="D494">
        <v>6.4889999999999999</v>
      </c>
      <c r="E494">
        <f>(Master[[#This Row],[Happiness_Score]]*100)/10</f>
        <v>64.89</v>
      </c>
      <c r="F494">
        <v>1.2929999999999999</v>
      </c>
      <c r="G494">
        <f>(Master[[#This Row],[Economy_GDP_per_Capita]]*100)/2</f>
        <v>64.649999999999991</v>
      </c>
      <c r="H494">
        <v>1.466</v>
      </c>
      <c r="I494">
        <f>(Master[[#This Row],[Family]]*100)/2</f>
        <v>73.3</v>
      </c>
      <c r="J494">
        <v>0.90800000000000003</v>
      </c>
      <c r="K494">
        <f>(Master[[#This Row],[Health_Life_Expectancy]]*100)/2</f>
        <v>45.4</v>
      </c>
      <c r="L494" s="3">
        <v>0.52</v>
      </c>
      <c r="M494" s="3">
        <v>0.17599999999999999</v>
      </c>
      <c r="N494" s="3">
        <v>9.8000000000000004E-2</v>
      </c>
    </row>
    <row r="495" spans="1:14" x14ac:dyDescent="0.25">
      <c r="A495">
        <v>2018</v>
      </c>
      <c r="B495" t="s">
        <v>22</v>
      </c>
      <c r="C495">
        <v>24</v>
      </c>
      <c r="D495">
        <v>6.4880000000000004</v>
      </c>
      <c r="E495">
        <f>(Master[[#This Row],[Happiness_Score]]*100)/10</f>
        <v>64.88000000000001</v>
      </c>
      <c r="F495">
        <v>1.038</v>
      </c>
      <c r="G495">
        <f>(Master[[#This Row],[Economy_GDP_per_Capita]]*100)/2</f>
        <v>51.9</v>
      </c>
      <c r="H495">
        <v>1.252</v>
      </c>
      <c r="I495">
        <f>(Master[[#This Row],[Family]]*100)/2</f>
        <v>62.6</v>
      </c>
      <c r="J495">
        <v>0.76100000000000001</v>
      </c>
      <c r="K495">
        <f>(Master[[#This Row],[Health_Life_Expectancy]]*100)/2</f>
        <v>38.049999999999997</v>
      </c>
      <c r="L495" s="3">
        <v>0.47899999999999998</v>
      </c>
      <c r="M495" s="3">
        <v>9.5000000000000001E-2</v>
      </c>
      <c r="N495" s="3">
        <v>6.9000000000000006E-2</v>
      </c>
    </row>
    <row r="496" spans="1:14" x14ac:dyDescent="0.25">
      <c r="A496">
        <v>2018</v>
      </c>
      <c r="B496" t="s">
        <v>36</v>
      </c>
      <c r="C496">
        <v>25</v>
      </c>
      <c r="D496">
        <v>6.476</v>
      </c>
      <c r="E496">
        <f>(Master[[#This Row],[Happiness_Score]]*100)/10</f>
        <v>64.760000000000005</v>
      </c>
      <c r="F496">
        <v>1.131</v>
      </c>
      <c r="G496">
        <f>(Master[[#This Row],[Economy_GDP_per_Capita]]*100)/2</f>
        <v>56.55</v>
      </c>
      <c r="H496">
        <v>1.331</v>
      </c>
      <c r="I496">
        <f>(Master[[#This Row],[Family]]*100)/2</f>
        <v>66.55</v>
      </c>
      <c r="J496">
        <v>0.80800000000000005</v>
      </c>
      <c r="K496">
        <f>(Master[[#This Row],[Health_Life_Expectancy]]*100)/2</f>
        <v>40.400000000000006</v>
      </c>
      <c r="L496" s="3">
        <v>0.43099999999999999</v>
      </c>
      <c r="M496" s="3">
        <v>6.0999999999999999E-2</v>
      </c>
      <c r="N496" s="3">
        <v>0.19700000000000001</v>
      </c>
    </row>
    <row r="497" spans="1:14" x14ac:dyDescent="0.25">
      <c r="A497">
        <v>2018</v>
      </c>
      <c r="B497" t="s">
        <v>48</v>
      </c>
      <c r="C497">
        <v>26</v>
      </c>
      <c r="D497">
        <v>6.4409999999999998</v>
      </c>
      <c r="E497">
        <f>(Master[[#This Row],[Happiness_Score]]*100)/10</f>
        <v>64.41</v>
      </c>
      <c r="F497">
        <v>1.365</v>
      </c>
      <c r="G497">
        <f>(Master[[#This Row],[Economy_GDP_per_Capita]]*100)/2</f>
        <v>68.25</v>
      </c>
      <c r="H497">
        <v>1.4359999999999999</v>
      </c>
      <c r="I497">
        <f>(Master[[#This Row],[Family]]*100)/2</f>
        <v>71.8</v>
      </c>
      <c r="J497">
        <v>0.85699999999999998</v>
      </c>
      <c r="K497">
        <f>(Master[[#This Row],[Health_Life_Expectancy]]*100)/2</f>
        <v>42.85</v>
      </c>
      <c r="L497" s="3">
        <v>0.41799999999999998</v>
      </c>
      <c r="M497" s="3">
        <v>7.8E-2</v>
      </c>
      <c r="N497" s="3">
        <v>0.151</v>
      </c>
    </row>
    <row r="498" spans="1:14" x14ac:dyDescent="0.25">
      <c r="A498">
        <v>2018</v>
      </c>
      <c r="B498" t="s">
        <v>34</v>
      </c>
      <c r="C498">
        <v>27</v>
      </c>
      <c r="D498">
        <v>6.43</v>
      </c>
      <c r="E498">
        <f>(Master[[#This Row],[Happiness_Score]]*100)/10</f>
        <v>64.3</v>
      </c>
      <c r="F498">
        <v>1.1120000000000001</v>
      </c>
      <c r="G498">
        <f>(Master[[#This Row],[Economy_GDP_per_Capita]]*100)/2</f>
        <v>55.600000000000009</v>
      </c>
      <c r="H498">
        <v>1.4379999999999999</v>
      </c>
      <c r="I498">
        <f>(Master[[#This Row],[Family]]*100)/2</f>
        <v>71.899999999999991</v>
      </c>
      <c r="J498">
        <v>0.75900000000000001</v>
      </c>
      <c r="K498">
        <f>(Master[[#This Row],[Health_Life_Expectancy]]*100)/2</f>
        <v>37.950000000000003</v>
      </c>
      <c r="L498" s="3">
        <v>0.59699999999999998</v>
      </c>
      <c r="M498" s="3">
        <v>6.3E-2</v>
      </c>
      <c r="N498" s="3">
        <v>0.125</v>
      </c>
    </row>
    <row r="499" spans="1:14" x14ac:dyDescent="0.25">
      <c r="A499">
        <v>2018</v>
      </c>
      <c r="B499" t="s">
        <v>24</v>
      </c>
      <c r="C499">
        <v>28</v>
      </c>
      <c r="D499">
        <v>6.4189999999999996</v>
      </c>
      <c r="E499">
        <f>(Master[[#This Row],[Happiness_Score]]*100)/10</f>
        <v>64.19</v>
      </c>
      <c r="F499">
        <v>0.98599999999999999</v>
      </c>
      <c r="G499">
        <f>(Master[[#This Row],[Economy_GDP_per_Capita]]*100)/2</f>
        <v>49.3</v>
      </c>
      <c r="H499">
        <v>1.474</v>
      </c>
      <c r="I499">
        <f>(Master[[#This Row],[Family]]*100)/2</f>
        <v>73.7</v>
      </c>
      <c r="J499">
        <v>0.67500000000000004</v>
      </c>
      <c r="K499">
        <f>(Master[[#This Row],[Health_Life_Expectancy]]*100)/2</f>
        <v>33.75</v>
      </c>
      <c r="L499" s="3">
        <v>0.49299999999999999</v>
      </c>
      <c r="M499" s="3">
        <v>8.7999999999999995E-2</v>
      </c>
      <c r="N499" s="3">
        <v>0.11</v>
      </c>
    </row>
    <row r="500" spans="1:14" x14ac:dyDescent="0.25">
      <c r="A500">
        <v>2018</v>
      </c>
      <c r="B500" t="s">
        <v>39</v>
      </c>
      <c r="C500">
        <v>29</v>
      </c>
      <c r="D500">
        <v>6.3879999999999999</v>
      </c>
      <c r="E500">
        <f>(Master[[#This Row],[Happiness_Score]]*100)/10</f>
        <v>63.879999999999995</v>
      </c>
      <c r="F500">
        <v>1.073</v>
      </c>
      <c r="G500">
        <f>(Master[[#This Row],[Economy_GDP_per_Capita]]*100)/2</f>
        <v>53.65</v>
      </c>
      <c r="H500">
        <v>1.468</v>
      </c>
      <c r="I500">
        <f>(Master[[#This Row],[Family]]*100)/2</f>
        <v>73.400000000000006</v>
      </c>
      <c r="J500">
        <v>0.74399999999999999</v>
      </c>
      <c r="K500">
        <f>(Master[[#This Row],[Health_Life_Expectancy]]*100)/2</f>
        <v>37.200000000000003</v>
      </c>
      <c r="L500" s="3">
        <v>0.56999999999999995</v>
      </c>
      <c r="M500" s="3">
        <v>5.3999999999999999E-2</v>
      </c>
      <c r="N500" s="3">
        <v>6.2E-2</v>
      </c>
    </row>
    <row r="501" spans="1:14" x14ac:dyDescent="0.25">
      <c r="A501">
        <v>2018</v>
      </c>
      <c r="B501" t="s">
        <v>54</v>
      </c>
      <c r="C501">
        <v>30</v>
      </c>
      <c r="D501">
        <v>6.3819999999999997</v>
      </c>
      <c r="E501">
        <f>(Master[[#This Row],[Happiness_Score]]*100)/10</f>
        <v>63.819999999999993</v>
      </c>
      <c r="F501">
        <v>0.78100000000000003</v>
      </c>
      <c r="G501">
        <f>(Master[[#This Row],[Economy_GDP_per_Capita]]*100)/2</f>
        <v>39.050000000000004</v>
      </c>
      <c r="H501">
        <v>1.268</v>
      </c>
      <c r="I501">
        <f>(Master[[#This Row],[Family]]*100)/2</f>
        <v>63.4</v>
      </c>
      <c r="J501">
        <v>0.60799999999999998</v>
      </c>
      <c r="K501">
        <f>(Master[[#This Row],[Health_Life_Expectancy]]*100)/2</f>
        <v>30.4</v>
      </c>
      <c r="L501" s="3">
        <v>0.60399999999999998</v>
      </c>
      <c r="M501" s="3">
        <v>7.0999999999999994E-2</v>
      </c>
      <c r="N501" s="3">
        <v>0.17899999999999999</v>
      </c>
    </row>
    <row r="502" spans="1:14" x14ac:dyDescent="0.25">
      <c r="A502">
        <v>2018</v>
      </c>
      <c r="B502" t="s">
        <v>42</v>
      </c>
      <c r="C502">
        <v>31</v>
      </c>
      <c r="D502">
        <v>6.3789999999999996</v>
      </c>
      <c r="E502">
        <f>(Master[[#This Row],[Happiness_Score]]*100)/10</f>
        <v>63.79</v>
      </c>
      <c r="F502">
        <v>1.093</v>
      </c>
      <c r="G502">
        <f>(Master[[#This Row],[Economy_GDP_per_Capita]]*100)/2</f>
        <v>54.65</v>
      </c>
      <c r="H502">
        <v>1.4590000000000001</v>
      </c>
      <c r="I502">
        <f>(Master[[#This Row],[Family]]*100)/2</f>
        <v>72.95</v>
      </c>
      <c r="J502">
        <v>0.77100000000000002</v>
      </c>
      <c r="K502">
        <f>(Master[[#This Row],[Health_Life_Expectancy]]*100)/2</f>
        <v>38.550000000000004</v>
      </c>
      <c r="L502" s="3">
        <v>0.625</v>
      </c>
      <c r="M502" s="3">
        <v>0.155</v>
      </c>
      <c r="N502" s="3">
        <v>0.13</v>
      </c>
    </row>
    <row r="503" spans="1:14" x14ac:dyDescent="0.25">
      <c r="A503">
        <v>2018</v>
      </c>
      <c r="B503" t="s">
        <v>37</v>
      </c>
      <c r="C503">
        <v>32</v>
      </c>
      <c r="D503">
        <v>6.3739999999999997</v>
      </c>
      <c r="E503">
        <f>(Master[[#This Row],[Happiness_Score]]*100)/10</f>
        <v>63.739999999999995</v>
      </c>
      <c r="F503">
        <v>1.649</v>
      </c>
      <c r="G503">
        <f>(Master[[#This Row],[Economy_GDP_per_Capita]]*100)/2</f>
        <v>82.45</v>
      </c>
      <c r="H503">
        <v>1.3029999999999999</v>
      </c>
      <c r="I503">
        <f>(Master[[#This Row],[Family]]*100)/2</f>
        <v>65.149999999999991</v>
      </c>
      <c r="J503">
        <v>0.748</v>
      </c>
      <c r="K503">
        <f>(Master[[#This Row],[Health_Life_Expectancy]]*100)/2</f>
        <v>37.4</v>
      </c>
      <c r="L503" s="3">
        <v>0.65400000000000003</v>
      </c>
      <c r="M503" s="3">
        <v>0.17100000000000001</v>
      </c>
      <c r="N503" s="3">
        <v>0.25600000000000001</v>
      </c>
    </row>
    <row r="504" spans="1:14" x14ac:dyDescent="0.25">
      <c r="A504">
        <v>2018</v>
      </c>
      <c r="B504" t="s">
        <v>45</v>
      </c>
      <c r="C504">
        <v>33</v>
      </c>
      <c r="D504">
        <v>6.3710000000000004</v>
      </c>
      <c r="E504">
        <f>(Master[[#This Row],[Happiness_Score]]*100)/10</f>
        <v>63.71</v>
      </c>
      <c r="F504">
        <v>1.379</v>
      </c>
      <c r="G504">
        <f>(Master[[#This Row],[Economy_GDP_per_Capita]]*100)/2</f>
        <v>68.95</v>
      </c>
      <c r="H504">
        <v>1.331</v>
      </c>
      <c r="I504">
        <f>(Master[[#This Row],[Family]]*100)/2</f>
        <v>66.55</v>
      </c>
      <c r="J504">
        <v>0.63300000000000001</v>
      </c>
      <c r="K504">
        <f>(Master[[#This Row],[Health_Life_Expectancy]]*100)/2</f>
        <v>31.65</v>
      </c>
      <c r="L504" s="3">
        <v>0.50900000000000001</v>
      </c>
      <c r="M504" s="3">
        <v>0.127</v>
      </c>
      <c r="N504" s="3">
        <v>9.8000000000000004E-2</v>
      </c>
    </row>
    <row r="505" spans="1:14" x14ac:dyDescent="0.25">
      <c r="A505">
        <v>2018</v>
      </c>
      <c r="B505" t="s">
        <v>32</v>
      </c>
      <c r="C505">
        <v>34</v>
      </c>
      <c r="D505">
        <v>6.343</v>
      </c>
      <c r="E505">
        <f>(Master[[#This Row],[Happiness_Score]]*100)/10</f>
        <v>63.429999999999993</v>
      </c>
      <c r="F505">
        <v>1.5289999999999999</v>
      </c>
      <c r="G505">
        <f>(Master[[#This Row],[Economy_GDP_per_Capita]]*100)/2</f>
        <v>76.449999999999989</v>
      </c>
      <c r="H505">
        <v>1.4510000000000001</v>
      </c>
      <c r="I505">
        <f>(Master[[#This Row],[Family]]*100)/2</f>
        <v>72.55</v>
      </c>
      <c r="J505">
        <v>1.008</v>
      </c>
      <c r="K505">
        <f>(Master[[#This Row],[Health_Life_Expectancy]]*100)/2</f>
        <v>50.4</v>
      </c>
      <c r="L505" s="3">
        <v>0.63100000000000001</v>
      </c>
      <c r="M505" s="3">
        <v>0.45700000000000002</v>
      </c>
      <c r="N505" s="3">
        <v>0.26100000000000001</v>
      </c>
    </row>
    <row r="506" spans="1:14" x14ac:dyDescent="0.25">
      <c r="A506">
        <v>2018</v>
      </c>
      <c r="B506" t="s">
        <v>72</v>
      </c>
      <c r="C506">
        <v>35</v>
      </c>
      <c r="D506">
        <v>6.3220000000000001</v>
      </c>
      <c r="E506">
        <f>(Master[[#This Row],[Happiness_Score]]*100)/10</f>
        <v>63.220000000000006</v>
      </c>
      <c r="F506">
        <v>1.161</v>
      </c>
      <c r="G506">
        <f>(Master[[#This Row],[Economy_GDP_per_Capita]]*100)/2</f>
        <v>58.050000000000004</v>
      </c>
      <c r="H506">
        <v>1.258</v>
      </c>
      <c r="I506">
        <f>(Master[[#This Row],[Family]]*100)/2</f>
        <v>62.9</v>
      </c>
      <c r="J506">
        <v>0.66900000000000004</v>
      </c>
      <c r="K506">
        <f>(Master[[#This Row],[Health_Life_Expectancy]]*100)/2</f>
        <v>33.450000000000003</v>
      </c>
      <c r="L506" s="3">
        <v>0.35599999999999998</v>
      </c>
      <c r="M506" s="3">
        <v>5.8999999999999997E-2</v>
      </c>
      <c r="N506" s="3">
        <v>0.311</v>
      </c>
    </row>
    <row r="507" spans="1:14" x14ac:dyDescent="0.25">
      <c r="A507">
        <v>2018</v>
      </c>
      <c r="B507" t="s">
        <v>46</v>
      </c>
      <c r="C507">
        <v>36</v>
      </c>
      <c r="D507">
        <v>6.31</v>
      </c>
      <c r="E507">
        <f>(Master[[#This Row],[Happiness_Score]]*100)/10</f>
        <v>63.1</v>
      </c>
      <c r="F507">
        <v>1.2509999999999999</v>
      </c>
      <c r="G507">
        <f>(Master[[#This Row],[Economy_GDP_per_Capita]]*100)/2</f>
        <v>62.55</v>
      </c>
      <c r="H507">
        <v>1.538</v>
      </c>
      <c r="I507">
        <f>(Master[[#This Row],[Family]]*100)/2</f>
        <v>76.900000000000006</v>
      </c>
      <c r="J507">
        <v>0.96499999999999997</v>
      </c>
      <c r="K507">
        <f>(Master[[#This Row],[Health_Life_Expectancy]]*100)/2</f>
        <v>48.25</v>
      </c>
      <c r="L507" s="3">
        <v>0.44900000000000001</v>
      </c>
      <c r="M507" s="3">
        <v>7.3999999999999996E-2</v>
      </c>
      <c r="N507" s="3">
        <v>0.14199999999999999</v>
      </c>
    </row>
    <row r="508" spans="1:14" x14ac:dyDescent="0.25">
      <c r="A508">
        <v>2018</v>
      </c>
      <c r="B508" t="s">
        <v>43</v>
      </c>
      <c r="C508">
        <v>37</v>
      </c>
      <c r="D508">
        <v>6.26</v>
      </c>
      <c r="E508">
        <f>(Master[[#This Row],[Happiness_Score]]*100)/10</f>
        <v>62.6</v>
      </c>
      <c r="F508">
        <v>0.96</v>
      </c>
      <c r="G508">
        <f>(Master[[#This Row],[Economy_GDP_per_Capita]]*100)/2</f>
        <v>48</v>
      </c>
      <c r="H508">
        <v>1.4390000000000001</v>
      </c>
      <c r="I508">
        <f>(Master[[#This Row],[Family]]*100)/2</f>
        <v>71.95</v>
      </c>
      <c r="J508">
        <v>0.63500000000000001</v>
      </c>
      <c r="K508">
        <f>(Master[[#This Row],[Health_Life_Expectancy]]*100)/2</f>
        <v>31.75</v>
      </c>
      <c r="L508" s="3">
        <v>0.53100000000000003</v>
      </c>
      <c r="M508" s="3">
        <v>3.9E-2</v>
      </c>
      <c r="N508" s="3">
        <v>9.9000000000000005E-2</v>
      </c>
    </row>
    <row r="509" spans="1:14" x14ac:dyDescent="0.25">
      <c r="A509">
        <v>2018</v>
      </c>
      <c r="B509" t="s">
        <v>218</v>
      </c>
      <c r="C509">
        <v>38</v>
      </c>
      <c r="D509">
        <v>6.1920000000000002</v>
      </c>
      <c r="E509">
        <f>(Master[[#This Row],[Happiness_Score]]*100)/10</f>
        <v>61.92</v>
      </c>
      <c r="F509">
        <v>1.2230000000000001</v>
      </c>
      <c r="G509">
        <f>(Master[[#This Row],[Economy_GDP_per_Capita]]*100)/2</f>
        <v>61.150000000000006</v>
      </c>
      <c r="H509">
        <v>1.492</v>
      </c>
      <c r="I509">
        <f>(Master[[#This Row],[Family]]*100)/2</f>
        <v>74.599999999999994</v>
      </c>
      <c r="J509">
        <v>0.56399999999999995</v>
      </c>
      <c r="K509">
        <f>(Master[[#This Row],[Health_Life_Expectancy]]*100)/2</f>
        <v>28.199999999999996</v>
      </c>
      <c r="L509" s="3">
        <v>0.57499999999999996</v>
      </c>
      <c r="M509" s="3">
        <v>1.9E-2</v>
      </c>
      <c r="N509" s="3">
        <v>0.17100000000000001</v>
      </c>
    </row>
    <row r="510" spans="1:14" x14ac:dyDescent="0.25">
      <c r="A510">
        <v>2018</v>
      </c>
      <c r="B510" t="s">
        <v>56</v>
      </c>
      <c r="C510">
        <v>39</v>
      </c>
      <c r="D510">
        <v>6.173</v>
      </c>
      <c r="E510">
        <f>(Master[[#This Row],[Happiness_Score]]*100)/10</f>
        <v>61.73</v>
      </c>
      <c r="F510">
        <v>1.21</v>
      </c>
      <c r="G510">
        <f>(Master[[#This Row],[Economy_GDP_per_Capita]]*100)/2</f>
        <v>60.5</v>
      </c>
      <c r="H510">
        <v>1.5369999999999999</v>
      </c>
      <c r="I510">
        <f>(Master[[#This Row],[Family]]*100)/2</f>
        <v>76.849999999999994</v>
      </c>
      <c r="J510">
        <v>0.77600000000000002</v>
      </c>
      <c r="K510">
        <f>(Master[[#This Row],[Health_Life_Expectancy]]*100)/2</f>
        <v>38.800000000000004</v>
      </c>
      <c r="L510" s="3">
        <v>0.35399999999999998</v>
      </c>
      <c r="M510" s="3">
        <v>1.4E-2</v>
      </c>
      <c r="N510" s="3">
        <v>0.11799999999999999</v>
      </c>
    </row>
    <row r="511" spans="1:14" x14ac:dyDescent="0.25">
      <c r="A511">
        <v>2018</v>
      </c>
      <c r="B511" t="s">
        <v>53</v>
      </c>
      <c r="C511">
        <v>40</v>
      </c>
      <c r="D511">
        <v>6.1669999999999998</v>
      </c>
      <c r="E511">
        <f>(Master[[#This Row],[Happiness_Score]]*100)/10</f>
        <v>61.669999999999995</v>
      </c>
      <c r="F511">
        <v>0.80600000000000005</v>
      </c>
      <c r="G511">
        <f>(Master[[#This Row],[Economy_GDP_per_Capita]]*100)/2</f>
        <v>40.300000000000004</v>
      </c>
      <c r="H511">
        <v>1.2310000000000001</v>
      </c>
      <c r="I511">
        <f>(Master[[#This Row],[Family]]*100)/2</f>
        <v>61.550000000000004</v>
      </c>
      <c r="J511">
        <v>0.63900000000000001</v>
      </c>
      <c r="K511">
        <f>(Master[[#This Row],[Health_Life_Expectancy]]*100)/2</f>
        <v>31.95</v>
      </c>
      <c r="L511" s="3">
        <v>0.46100000000000002</v>
      </c>
      <c r="M511" s="3">
        <v>8.2000000000000003E-2</v>
      </c>
      <c r="N511" s="3">
        <v>6.5000000000000002E-2</v>
      </c>
    </row>
    <row r="512" spans="1:14" x14ac:dyDescent="0.25">
      <c r="A512">
        <v>2018</v>
      </c>
      <c r="B512" t="s">
        <v>68</v>
      </c>
      <c r="C512">
        <v>41</v>
      </c>
      <c r="D512">
        <v>6.141</v>
      </c>
      <c r="E512">
        <f>(Master[[#This Row],[Happiness_Score]]*100)/10</f>
        <v>61.410000000000004</v>
      </c>
      <c r="F512">
        <v>0.66800000000000004</v>
      </c>
      <c r="G512">
        <f>(Master[[#This Row],[Economy_GDP_per_Capita]]*100)/2</f>
        <v>33.4</v>
      </c>
      <c r="H512">
        <v>1.319</v>
      </c>
      <c r="I512">
        <f>(Master[[#This Row],[Family]]*100)/2</f>
        <v>65.95</v>
      </c>
      <c r="J512">
        <v>0.7</v>
      </c>
      <c r="K512">
        <f>(Master[[#This Row],[Health_Life_Expectancy]]*100)/2</f>
        <v>35</v>
      </c>
      <c r="L512" s="3">
        <v>0.52700000000000002</v>
      </c>
      <c r="M512" s="3">
        <v>0.128</v>
      </c>
      <c r="N512" s="3">
        <v>0.20799999999999999</v>
      </c>
    </row>
    <row r="513" spans="1:14" x14ac:dyDescent="0.25">
      <c r="A513">
        <v>2018</v>
      </c>
      <c r="B513" t="s">
        <v>71</v>
      </c>
      <c r="C513">
        <v>42</v>
      </c>
      <c r="D513">
        <v>6.1230000000000002</v>
      </c>
      <c r="E513">
        <f>(Master[[#This Row],[Happiness_Score]]*100)/10</f>
        <v>61.230000000000004</v>
      </c>
      <c r="F513">
        <v>1.1759999999999999</v>
      </c>
      <c r="G513">
        <f>(Master[[#This Row],[Economy_GDP_per_Capita]]*100)/2</f>
        <v>58.8</v>
      </c>
      <c r="H513">
        <v>1.448</v>
      </c>
      <c r="I513">
        <f>(Master[[#This Row],[Family]]*100)/2</f>
        <v>72.399999999999991</v>
      </c>
      <c r="J513">
        <v>0.78100000000000003</v>
      </c>
      <c r="K513">
        <f>(Master[[#This Row],[Health_Life_Expectancy]]*100)/2</f>
        <v>39.050000000000004</v>
      </c>
      <c r="L513" s="3">
        <v>0.54600000000000004</v>
      </c>
      <c r="M513" s="3">
        <v>6.4000000000000001E-2</v>
      </c>
      <c r="N513" s="3">
        <v>0.108</v>
      </c>
    </row>
    <row r="514" spans="1:14" x14ac:dyDescent="0.25">
      <c r="A514">
        <v>2018</v>
      </c>
      <c r="B514" t="s">
        <v>60</v>
      </c>
      <c r="C514">
        <v>43</v>
      </c>
      <c r="D514">
        <v>6.1050000000000004</v>
      </c>
      <c r="E514">
        <f>(Master[[#This Row],[Happiness_Score]]*100)/10</f>
        <v>61.05</v>
      </c>
      <c r="F514">
        <v>1.3380000000000001</v>
      </c>
      <c r="G514">
        <f>(Master[[#This Row],[Economy_GDP_per_Capita]]*100)/2</f>
        <v>66.900000000000006</v>
      </c>
      <c r="H514">
        <v>1.3660000000000001</v>
      </c>
      <c r="I514">
        <f>(Master[[#This Row],[Family]]*100)/2</f>
        <v>68.300000000000011</v>
      </c>
      <c r="J514">
        <v>0.69799999999999995</v>
      </c>
      <c r="K514">
        <f>(Master[[#This Row],[Health_Life_Expectancy]]*100)/2</f>
        <v>34.9</v>
      </c>
      <c r="L514" s="3">
        <v>0.59399999999999997</v>
      </c>
      <c r="M514" s="3">
        <v>0.123</v>
      </c>
      <c r="N514" s="3">
        <v>0.24299999999999999</v>
      </c>
    </row>
    <row r="515" spans="1:14" x14ac:dyDescent="0.25">
      <c r="A515">
        <v>2018</v>
      </c>
      <c r="B515" t="s">
        <v>55</v>
      </c>
      <c r="C515">
        <v>44</v>
      </c>
      <c r="D515">
        <v>6.0960000000000001</v>
      </c>
      <c r="E515">
        <f>(Master[[#This Row],[Happiness_Score]]*100)/10</f>
        <v>60.96</v>
      </c>
      <c r="F515">
        <v>0.71899999999999997</v>
      </c>
      <c r="G515">
        <f>(Master[[#This Row],[Economy_GDP_per_Capita]]*100)/2</f>
        <v>35.949999999999996</v>
      </c>
      <c r="H515">
        <v>1.5840000000000001</v>
      </c>
      <c r="I515">
        <f>(Master[[#This Row],[Family]]*100)/2</f>
        <v>79.2</v>
      </c>
      <c r="J515">
        <v>0.60499999999999998</v>
      </c>
      <c r="K515">
        <f>(Master[[#This Row],[Health_Life_Expectancy]]*100)/2</f>
        <v>30.25</v>
      </c>
      <c r="L515" s="3">
        <v>0.72399999999999998</v>
      </c>
      <c r="M515" s="3">
        <v>0.25900000000000001</v>
      </c>
      <c r="N515" s="3">
        <v>0.32800000000000001</v>
      </c>
    </row>
    <row r="516" spans="1:14" x14ac:dyDescent="0.25">
      <c r="A516">
        <v>2018</v>
      </c>
      <c r="B516" t="s">
        <v>50</v>
      </c>
      <c r="C516">
        <v>45</v>
      </c>
      <c r="D516">
        <v>6.0830000000000002</v>
      </c>
      <c r="E516">
        <f>(Master[[#This Row],[Happiness_Score]]*100)/10</f>
        <v>60.830000000000005</v>
      </c>
      <c r="F516">
        <v>1.474</v>
      </c>
      <c r="G516">
        <f>(Master[[#This Row],[Economy_GDP_per_Capita]]*100)/2</f>
        <v>73.7</v>
      </c>
      <c r="H516">
        <v>1.3009999999999999</v>
      </c>
      <c r="I516">
        <f>(Master[[#This Row],[Family]]*100)/2</f>
        <v>65.05</v>
      </c>
      <c r="J516">
        <v>0.67500000000000004</v>
      </c>
      <c r="K516">
        <f>(Master[[#This Row],[Health_Life_Expectancy]]*100)/2</f>
        <v>33.75</v>
      </c>
      <c r="L516" s="3">
        <v>0.55400000000000005</v>
      </c>
      <c r="M516" s="3">
        <v>0.106</v>
      </c>
      <c r="N516" s="3">
        <v>0.16700000000000001</v>
      </c>
    </row>
    <row r="517" spans="1:14" x14ac:dyDescent="0.25">
      <c r="A517">
        <v>2018</v>
      </c>
      <c r="B517" t="s">
        <v>44</v>
      </c>
      <c r="C517">
        <v>46</v>
      </c>
      <c r="D517">
        <v>6.0720000000000001</v>
      </c>
      <c r="E517">
        <f>(Master[[#This Row],[Happiness_Score]]*100)/10</f>
        <v>60.720000000000006</v>
      </c>
      <c r="F517">
        <v>1.016</v>
      </c>
      <c r="G517">
        <f>(Master[[#This Row],[Economy_GDP_per_Capita]]*100)/2</f>
        <v>50.8</v>
      </c>
      <c r="H517">
        <v>1.417</v>
      </c>
      <c r="I517">
        <f>(Master[[#This Row],[Family]]*100)/2</f>
        <v>70.850000000000009</v>
      </c>
      <c r="J517">
        <v>0.70699999999999996</v>
      </c>
      <c r="K517">
        <f>(Master[[#This Row],[Health_Life_Expectancy]]*100)/2</f>
        <v>35.35</v>
      </c>
      <c r="L517" s="3">
        <v>0.63700000000000001</v>
      </c>
      <c r="M517" s="3">
        <v>2.9000000000000001E-2</v>
      </c>
      <c r="N517" s="3">
        <v>0.36399999999999999</v>
      </c>
    </row>
    <row r="518" spans="1:14" x14ac:dyDescent="0.25">
      <c r="A518">
        <v>2018</v>
      </c>
      <c r="B518" t="s">
        <v>61</v>
      </c>
      <c r="C518">
        <v>47</v>
      </c>
      <c r="D518">
        <v>6</v>
      </c>
      <c r="E518">
        <f>(Master[[#This Row],[Happiness_Score]]*100)/10</f>
        <v>60</v>
      </c>
      <c r="F518">
        <v>1.264</v>
      </c>
      <c r="G518">
        <f>(Master[[#This Row],[Economy_GDP_per_Capita]]*100)/2</f>
        <v>63.2</v>
      </c>
      <c r="H518">
        <v>1.5009999999999999</v>
      </c>
      <c r="I518">
        <f>(Master[[#This Row],[Family]]*100)/2</f>
        <v>75.05</v>
      </c>
      <c r="J518">
        <v>0.94599999999999995</v>
      </c>
      <c r="K518">
        <f>(Master[[#This Row],[Health_Life_Expectancy]]*100)/2</f>
        <v>47.3</v>
      </c>
      <c r="L518" s="3">
        <v>0.28100000000000003</v>
      </c>
      <c r="M518" s="3">
        <v>2.8000000000000001E-2</v>
      </c>
      <c r="N518" s="3">
        <v>0.13700000000000001</v>
      </c>
    </row>
    <row r="519" spans="1:14" x14ac:dyDescent="0.25">
      <c r="A519">
        <v>2018</v>
      </c>
      <c r="B519" t="s">
        <v>59</v>
      </c>
      <c r="C519">
        <v>48</v>
      </c>
      <c r="D519">
        <v>5.9729999999999999</v>
      </c>
      <c r="E519">
        <f>(Master[[#This Row],[Happiness_Score]]*100)/10</f>
        <v>59.73</v>
      </c>
      <c r="F519">
        <v>0.88900000000000001</v>
      </c>
      <c r="G519">
        <f>(Master[[#This Row],[Economy_GDP_per_Capita]]*100)/2</f>
        <v>44.45</v>
      </c>
      <c r="H519">
        <v>1.33</v>
      </c>
      <c r="I519">
        <f>(Master[[#This Row],[Family]]*100)/2</f>
        <v>66.5</v>
      </c>
      <c r="J519">
        <v>0.73599999999999999</v>
      </c>
      <c r="K519">
        <f>(Master[[#This Row],[Health_Life_Expectancy]]*100)/2</f>
        <v>36.799999999999997</v>
      </c>
      <c r="L519" s="3">
        <v>0.55600000000000005</v>
      </c>
      <c r="M519" s="3">
        <v>0.12</v>
      </c>
      <c r="N519" s="3">
        <v>0.114</v>
      </c>
    </row>
    <row r="520" spans="1:14" x14ac:dyDescent="0.25">
      <c r="A520">
        <v>2018</v>
      </c>
      <c r="B520" t="s">
        <v>174</v>
      </c>
      <c r="C520">
        <v>49</v>
      </c>
      <c r="D520">
        <v>5.9560000000000004</v>
      </c>
      <c r="E520">
        <f>(Master[[#This Row],[Happiness_Score]]*100)/10</f>
        <v>59.56</v>
      </c>
      <c r="F520">
        <v>0.80700000000000005</v>
      </c>
      <c r="G520">
        <f>(Master[[#This Row],[Economy_GDP_per_Capita]]*100)/2</f>
        <v>40.35</v>
      </c>
      <c r="H520">
        <v>1.101</v>
      </c>
      <c r="I520">
        <f>(Master[[#This Row],[Family]]*100)/2</f>
        <v>55.05</v>
      </c>
      <c r="J520">
        <v>0.47399999999999998</v>
      </c>
      <c r="K520">
        <f>(Master[[#This Row],[Health_Life_Expectancy]]*100)/2</f>
        <v>23.7</v>
      </c>
      <c r="L520" s="3">
        <v>0.59299999999999997</v>
      </c>
      <c r="M520" s="3">
        <v>8.8999999999999996E-2</v>
      </c>
      <c r="N520" s="3">
        <v>0.183</v>
      </c>
    </row>
    <row r="521" spans="1:14" x14ac:dyDescent="0.25">
      <c r="A521">
        <v>2018</v>
      </c>
      <c r="B521" t="s">
        <v>67</v>
      </c>
      <c r="C521">
        <v>50</v>
      </c>
      <c r="D521">
        <v>5.952</v>
      </c>
      <c r="E521">
        <f>(Master[[#This Row],[Happiness_Score]]*100)/10</f>
        <v>59.52</v>
      </c>
      <c r="F521">
        <v>1.1970000000000001</v>
      </c>
      <c r="G521">
        <f>(Master[[#This Row],[Economy_GDP_per_Capita]]*100)/2</f>
        <v>59.85</v>
      </c>
      <c r="H521">
        <v>1.5269999999999999</v>
      </c>
      <c r="I521">
        <f>(Master[[#This Row],[Family]]*100)/2</f>
        <v>76.349999999999994</v>
      </c>
      <c r="J521">
        <v>0.71599999999999997</v>
      </c>
      <c r="K521">
        <f>(Master[[#This Row],[Health_Life_Expectancy]]*100)/2</f>
        <v>35.799999999999997</v>
      </c>
      <c r="L521" s="3">
        <v>0.35</v>
      </c>
      <c r="M521" s="3">
        <v>6.0000000000000001E-3</v>
      </c>
      <c r="N521" s="3">
        <v>2.5999999999999999E-2</v>
      </c>
    </row>
    <row r="522" spans="1:14" x14ac:dyDescent="0.25">
      <c r="A522">
        <v>2018</v>
      </c>
      <c r="B522" t="s">
        <v>66</v>
      </c>
      <c r="C522">
        <v>51</v>
      </c>
      <c r="D522">
        <v>5.9480000000000004</v>
      </c>
      <c r="E522">
        <f>(Master[[#This Row],[Happiness_Score]]*100)/10</f>
        <v>59.480000000000004</v>
      </c>
      <c r="F522">
        <v>1.2190000000000001</v>
      </c>
      <c r="G522">
        <f>(Master[[#This Row],[Economy_GDP_per_Capita]]*100)/2</f>
        <v>60.95</v>
      </c>
      <c r="H522">
        <v>1.506</v>
      </c>
      <c r="I522">
        <f>(Master[[#This Row],[Family]]*100)/2</f>
        <v>75.3</v>
      </c>
      <c r="J522">
        <v>0.85599999999999998</v>
      </c>
      <c r="K522">
        <f>(Master[[#This Row],[Health_Life_Expectancy]]*100)/2</f>
        <v>42.8</v>
      </c>
      <c r="L522" s="3">
        <v>0.63300000000000001</v>
      </c>
      <c r="M522" s="3">
        <v>5.0999999999999997E-2</v>
      </c>
      <c r="N522" s="3">
        <v>0.16</v>
      </c>
    </row>
    <row r="523" spans="1:14" x14ac:dyDescent="0.25">
      <c r="A523">
        <v>2018</v>
      </c>
      <c r="B523" t="s">
        <v>99</v>
      </c>
      <c r="C523">
        <v>52</v>
      </c>
      <c r="D523">
        <v>5.9450000000000003</v>
      </c>
      <c r="E523">
        <f>(Master[[#This Row],[Happiness_Score]]*100)/10</f>
        <v>59.45</v>
      </c>
      <c r="F523">
        <v>1.1160000000000001</v>
      </c>
      <c r="G523">
        <f>(Master[[#This Row],[Economy_GDP_per_Capita]]*100)/2</f>
        <v>55.800000000000004</v>
      </c>
      <c r="H523">
        <v>1.2190000000000001</v>
      </c>
      <c r="I523">
        <f>(Master[[#This Row],[Family]]*100)/2</f>
        <v>60.95</v>
      </c>
      <c r="J523">
        <v>0.72599999999999998</v>
      </c>
      <c r="K523">
        <f>(Master[[#This Row],[Health_Life_Expectancy]]*100)/2</f>
        <v>36.299999999999997</v>
      </c>
      <c r="L523" s="3">
        <v>0.52800000000000002</v>
      </c>
      <c r="M523" s="3">
        <v>1E-3</v>
      </c>
      <c r="N523" s="3">
        <v>8.7999999999999995E-2</v>
      </c>
    </row>
    <row r="524" spans="1:14" x14ac:dyDescent="0.25">
      <c r="A524">
        <v>2018</v>
      </c>
      <c r="B524" t="s">
        <v>102</v>
      </c>
      <c r="C524">
        <v>53</v>
      </c>
      <c r="D524">
        <v>5.9329999999999998</v>
      </c>
      <c r="E524">
        <f>(Master[[#This Row],[Happiness_Score]]*100)/10</f>
        <v>59.33</v>
      </c>
      <c r="F524">
        <v>1.1479999999999999</v>
      </c>
      <c r="G524">
        <f>(Master[[#This Row],[Economy_GDP_per_Capita]]*100)/2</f>
        <v>57.4</v>
      </c>
      <c r="H524">
        <v>1.454</v>
      </c>
      <c r="I524">
        <f>(Master[[#This Row],[Family]]*100)/2</f>
        <v>72.7</v>
      </c>
      <c r="J524">
        <v>0.67100000000000004</v>
      </c>
      <c r="K524">
        <f>(Master[[#This Row],[Health_Life_Expectancy]]*100)/2</f>
        <v>33.550000000000004</v>
      </c>
      <c r="L524" s="3">
        <v>0.36299999999999999</v>
      </c>
      <c r="M524" s="3">
        <v>6.6000000000000003E-2</v>
      </c>
      <c r="N524" s="3">
        <v>9.1999999999999998E-2</v>
      </c>
    </row>
    <row r="525" spans="1:14" x14ac:dyDescent="0.25">
      <c r="A525">
        <v>2018</v>
      </c>
      <c r="B525" t="s">
        <v>57</v>
      </c>
      <c r="C525">
        <v>54</v>
      </c>
      <c r="D525">
        <v>5.915</v>
      </c>
      <c r="E525">
        <f>(Master[[#This Row],[Happiness_Score]]*100)/10</f>
        <v>59.15</v>
      </c>
      <c r="F525">
        <v>1.294</v>
      </c>
      <c r="G525">
        <f>(Master[[#This Row],[Economy_GDP_per_Capita]]*100)/2</f>
        <v>64.7</v>
      </c>
      <c r="H525">
        <v>1.462</v>
      </c>
      <c r="I525">
        <f>(Master[[#This Row],[Family]]*100)/2</f>
        <v>73.099999999999994</v>
      </c>
      <c r="J525">
        <v>0.98799999999999999</v>
      </c>
      <c r="K525">
        <f>(Master[[#This Row],[Health_Life_Expectancy]]*100)/2</f>
        <v>49.4</v>
      </c>
      <c r="L525" s="3">
        <v>0.55300000000000005</v>
      </c>
      <c r="M525" s="3">
        <v>0.15</v>
      </c>
      <c r="N525" s="3">
        <v>7.9000000000000001E-2</v>
      </c>
    </row>
    <row r="526" spans="1:14" x14ac:dyDescent="0.25">
      <c r="A526">
        <v>2018</v>
      </c>
      <c r="B526" t="s">
        <v>82</v>
      </c>
      <c r="C526">
        <v>55</v>
      </c>
      <c r="D526">
        <v>5.891</v>
      </c>
      <c r="E526">
        <f>(Master[[#This Row],[Happiness_Score]]*100)/10</f>
        <v>58.910000000000004</v>
      </c>
      <c r="F526">
        <v>1.0900000000000001</v>
      </c>
      <c r="G526">
        <f>(Master[[#This Row],[Economy_GDP_per_Capita]]*100)/2</f>
        <v>54.500000000000007</v>
      </c>
      <c r="H526">
        <v>1.387</v>
      </c>
      <c r="I526">
        <f>(Master[[#This Row],[Family]]*100)/2</f>
        <v>69.349999999999994</v>
      </c>
      <c r="J526">
        <v>0.68400000000000005</v>
      </c>
      <c r="K526">
        <f>(Master[[#This Row],[Health_Life_Expectancy]]*100)/2</f>
        <v>34.200000000000003</v>
      </c>
      <c r="L526" s="3">
        <v>0.58399999999999996</v>
      </c>
      <c r="M526" s="3">
        <v>0.05</v>
      </c>
      <c r="N526" s="3">
        <v>0.245</v>
      </c>
    </row>
    <row r="527" spans="1:14" x14ac:dyDescent="0.25">
      <c r="A527">
        <v>2018</v>
      </c>
      <c r="B527" t="s">
        <v>76</v>
      </c>
      <c r="C527">
        <v>56</v>
      </c>
      <c r="D527">
        <v>5.89</v>
      </c>
      <c r="E527">
        <f>(Master[[#This Row],[Happiness_Score]]*100)/10</f>
        <v>58.9</v>
      </c>
      <c r="F527">
        <v>0.81899999999999995</v>
      </c>
      <c r="G527">
        <f>(Master[[#This Row],[Economy_GDP_per_Capita]]*100)/2</f>
        <v>40.949999999999996</v>
      </c>
      <c r="H527">
        <v>1.4930000000000001</v>
      </c>
      <c r="I527">
        <f>(Master[[#This Row],[Family]]*100)/2</f>
        <v>74.650000000000006</v>
      </c>
      <c r="J527">
        <v>0.69299999999999995</v>
      </c>
      <c r="K527">
        <f>(Master[[#This Row],[Health_Life_Expectancy]]*100)/2</f>
        <v>34.65</v>
      </c>
      <c r="L527" s="3">
        <v>0.57499999999999996</v>
      </c>
      <c r="M527" s="3">
        <v>3.1E-2</v>
      </c>
      <c r="N527" s="3">
        <v>9.6000000000000002E-2</v>
      </c>
    </row>
    <row r="528" spans="1:14" x14ac:dyDescent="0.25">
      <c r="A528">
        <v>2018</v>
      </c>
      <c r="B528" t="s">
        <v>58</v>
      </c>
      <c r="C528">
        <v>57</v>
      </c>
      <c r="D528">
        <v>5.875</v>
      </c>
      <c r="E528">
        <f>(Master[[#This Row],[Happiness_Score]]*100)/10</f>
        <v>58.75</v>
      </c>
      <c r="F528">
        <v>1.266</v>
      </c>
      <c r="G528">
        <f>(Master[[#This Row],[Economy_GDP_per_Capita]]*100)/2</f>
        <v>63.3</v>
      </c>
      <c r="H528">
        <v>1.204</v>
      </c>
      <c r="I528">
        <f>(Master[[#This Row],[Family]]*100)/2</f>
        <v>60.199999999999996</v>
      </c>
      <c r="J528">
        <v>0.95499999999999996</v>
      </c>
      <c r="K528">
        <f>(Master[[#This Row],[Health_Life_Expectancy]]*100)/2</f>
        <v>47.75</v>
      </c>
      <c r="L528" s="3">
        <v>0.24399999999999999</v>
      </c>
      <c r="M528" s="3">
        <v>5.0999999999999997E-2</v>
      </c>
      <c r="N528" s="3">
        <v>0.17499999999999999</v>
      </c>
    </row>
    <row r="529" spans="1:14" x14ac:dyDescent="0.25">
      <c r="A529">
        <v>2018</v>
      </c>
      <c r="B529" t="s">
        <v>237</v>
      </c>
      <c r="C529">
        <v>58</v>
      </c>
      <c r="D529">
        <v>5.835</v>
      </c>
      <c r="E529">
        <f>(Master[[#This Row],[Happiness_Score]]*100)/10</f>
        <v>58.35</v>
      </c>
      <c r="F529">
        <v>1.2290000000000001</v>
      </c>
      <c r="G529">
        <f>(Master[[#This Row],[Economy_GDP_per_Capita]]*100)/2</f>
        <v>61.45</v>
      </c>
      <c r="H529">
        <v>1.2110000000000001</v>
      </c>
      <c r="I529">
        <f>(Master[[#This Row],[Family]]*100)/2</f>
        <v>60.550000000000004</v>
      </c>
      <c r="J529">
        <v>0.90900000000000003</v>
      </c>
      <c r="K529">
        <f>(Master[[#This Row],[Health_Life_Expectancy]]*100)/2</f>
        <v>45.45</v>
      </c>
      <c r="L529" s="3">
        <v>0.495</v>
      </c>
      <c r="M529" s="3">
        <v>0.154</v>
      </c>
      <c r="N529" s="3">
        <v>0.17899999999999999</v>
      </c>
    </row>
    <row r="530" spans="1:14" x14ac:dyDescent="0.25">
      <c r="A530">
        <v>2018</v>
      </c>
      <c r="B530" t="s">
        <v>75</v>
      </c>
      <c r="C530">
        <v>59</v>
      </c>
      <c r="D530">
        <v>5.81</v>
      </c>
      <c r="E530">
        <f>(Master[[#This Row],[Happiness_Score]]*100)/10</f>
        <v>58.1</v>
      </c>
      <c r="F530">
        <v>1.151</v>
      </c>
      <c r="G530">
        <f>(Master[[#This Row],[Economy_GDP_per_Capita]]*100)/2</f>
        <v>57.550000000000004</v>
      </c>
      <c r="H530">
        <v>1.4790000000000001</v>
      </c>
      <c r="I530">
        <f>(Master[[#This Row],[Family]]*100)/2</f>
        <v>73.95</v>
      </c>
      <c r="J530">
        <v>0.59899999999999998</v>
      </c>
      <c r="K530">
        <f>(Master[[#This Row],[Health_Life_Expectancy]]*100)/2</f>
        <v>29.95</v>
      </c>
      <c r="L530" s="3">
        <v>0.39900000000000002</v>
      </c>
      <c r="M530" s="3">
        <v>2.5000000000000001E-2</v>
      </c>
      <c r="N530" s="3">
        <v>6.5000000000000002E-2</v>
      </c>
    </row>
    <row r="531" spans="1:14" x14ac:dyDescent="0.25">
      <c r="A531">
        <v>2018</v>
      </c>
      <c r="B531" t="s">
        <v>65</v>
      </c>
      <c r="C531">
        <v>60</v>
      </c>
      <c r="D531">
        <v>5.79</v>
      </c>
      <c r="E531">
        <f>(Master[[#This Row],[Happiness_Score]]*100)/10</f>
        <v>57.9</v>
      </c>
      <c r="F531">
        <v>1.143</v>
      </c>
      <c r="G531">
        <f>(Master[[#This Row],[Economy_GDP_per_Capita]]*100)/2</f>
        <v>57.15</v>
      </c>
      <c r="H531">
        <v>1.516</v>
      </c>
      <c r="I531">
        <f>(Master[[#This Row],[Family]]*100)/2</f>
        <v>75.8</v>
      </c>
      <c r="J531">
        <v>0.63100000000000001</v>
      </c>
      <c r="K531">
        <f>(Master[[#This Row],[Health_Life_Expectancy]]*100)/2</f>
        <v>31.55</v>
      </c>
      <c r="L531" s="3">
        <v>0.45400000000000001</v>
      </c>
      <c r="M531" s="3">
        <v>0.121</v>
      </c>
      <c r="N531" s="3">
        <v>0.14799999999999999</v>
      </c>
    </row>
    <row r="532" spans="1:14" x14ac:dyDescent="0.25">
      <c r="A532">
        <v>2018</v>
      </c>
      <c r="B532" t="s">
        <v>78</v>
      </c>
      <c r="C532">
        <v>61</v>
      </c>
      <c r="D532">
        <v>5.7619999999999996</v>
      </c>
      <c r="E532">
        <f>(Master[[#This Row],[Happiness_Score]]*100)/10</f>
        <v>57.61999999999999</v>
      </c>
      <c r="F532">
        <v>1.2290000000000001</v>
      </c>
      <c r="G532">
        <f>(Master[[#This Row],[Economy_GDP_per_Capita]]*100)/2</f>
        <v>61.45</v>
      </c>
      <c r="H532">
        <v>1.1910000000000001</v>
      </c>
      <c r="I532">
        <f>(Master[[#This Row],[Family]]*100)/2</f>
        <v>59.550000000000004</v>
      </c>
      <c r="J532">
        <v>0.90900000000000003</v>
      </c>
      <c r="K532">
        <f>(Master[[#This Row],[Health_Life_Expectancy]]*100)/2</f>
        <v>45.45</v>
      </c>
      <c r="L532" s="3">
        <v>0.42299999999999999</v>
      </c>
      <c r="M532" s="3">
        <v>3.5000000000000003E-2</v>
      </c>
      <c r="N532" s="3">
        <v>0.20200000000000001</v>
      </c>
    </row>
    <row r="533" spans="1:14" x14ac:dyDescent="0.25">
      <c r="A533">
        <v>2018</v>
      </c>
      <c r="B533" t="s">
        <v>62</v>
      </c>
      <c r="C533">
        <v>62</v>
      </c>
      <c r="D533">
        <v>5.7519999999999998</v>
      </c>
      <c r="E533">
        <f>(Master[[#This Row],[Happiness_Score]]*100)/10</f>
        <v>57.519999999999996</v>
      </c>
      <c r="F533">
        <v>0.751</v>
      </c>
      <c r="G533">
        <f>(Master[[#This Row],[Economy_GDP_per_Capita]]*100)/2</f>
        <v>37.549999999999997</v>
      </c>
      <c r="H533">
        <v>1.2230000000000001</v>
      </c>
      <c r="I533">
        <f>(Master[[#This Row],[Family]]*100)/2</f>
        <v>61.150000000000006</v>
      </c>
      <c r="J533">
        <v>0.50800000000000001</v>
      </c>
      <c r="K533">
        <f>(Master[[#This Row],[Health_Life_Expectancy]]*100)/2</f>
        <v>25.4</v>
      </c>
      <c r="L533" s="3">
        <v>0.60599999999999998</v>
      </c>
      <c r="M533" s="3">
        <v>5.3999999999999999E-2</v>
      </c>
      <c r="N533" s="3">
        <v>0.14099999999999999</v>
      </c>
    </row>
    <row r="534" spans="1:14" x14ac:dyDescent="0.25">
      <c r="A534">
        <v>2018</v>
      </c>
      <c r="B534" t="s">
        <v>85</v>
      </c>
      <c r="C534">
        <v>63</v>
      </c>
      <c r="D534">
        <v>5.7389999999999999</v>
      </c>
      <c r="E534">
        <f>(Master[[#This Row],[Happiness_Score]]*100)/10</f>
        <v>57.39</v>
      </c>
      <c r="F534">
        <v>1.2</v>
      </c>
      <c r="G534">
        <f>(Master[[#This Row],[Economy_GDP_per_Capita]]*100)/2</f>
        <v>60</v>
      </c>
      <c r="H534">
        <v>1.532</v>
      </c>
      <c r="I534">
        <f>(Master[[#This Row],[Family]]*100)/2</f>
        <v>76.599999999999994</v>
      </c>
      <c r="J534">
        <v>0.73699999999999999</v>
      </c>
      <c r="K534">
        <f>(Master[[#This Row],[Health_Life_Expectancy]]*100)/2</f>
        <v>36.85</v>
      </c>
      <c r="L534" s="3">
        <v>0.55300000000000005</v>
      </c>
      <c r="M534" s="3">
        <v>0.17399999999999999</v>
      </c>
      <c r="N534" s="3">
        <v>8.5999999999999993E-2</v>
      </c>
    </row>
    <row r="535" spans="1:14" x14ac:dyDescent="0.25">
      <c r="A535">
        <v>2018</v>
      </c>
      <c r="B535" t="s">
        <v>64</v>
      </c>
      <c r="C535">
        <v>64</v>
      </c>
      <c r="D535">
        <v>5.681</v>
      </c>
      <c r="E535">
        <f>(Master[[#This Row],[Happiness_Score]]*100)/10</f>
        <v>56.81</v>
      </c>
      <c r="F535">
        <v>0.83499999999999996</v>
      </c>
      <c r="G535">
        <f>(Master[[#This Row],[Economy_GDP_per_Capita]]*100)/2</f>
        <v>41.75</v>
      </c>
      <c r="H535">
        <v>1.522</v>
      </c>
      <c r="I535">
        <f>(Master[[#This Row],[Family]]*100)/2</f>
        <v>76.099999999999994</v>
      </c>
      <c r="J535">
        <v>0.61499999999999999</v>
      </c>
      <c r="K535">
        <f>(Master[[#This Row],[Health_Life_Expectancy]]*100)/2</f>
        <v>30.75</v>
      </c>
      <c r="L535" s="3">
        <v>0.54100000000000004</v>
      </c>
      <c r="M535" s="3">
        <v>7.3999999999999996E-2</v>
      </c>
      <c r="N535" s="3">
        <v>0.16200000000000001</v>
      </c>
    </row>
    <row r="536" spans="1:14" x14ac:dyDescent="0.25">
      <c r="A536">
        <v>2018</v>
      </c>
      <c r="B536" t="s">
        <v>69</v>
      </c>
      <c r="C536">
        <v>65</v>
      </c>
      <c r="D536">
        <v>5.6630000000000003</v>
      </c>
      <c r="E536">
        <f>(Master[[#This Row],[Happiness_Score]]*100)/10</f>
        <v>56.63000000000001</v>
      </c>
      <c r="F536">
        <v>0.93400000000000005</v>
      </c>
      <c r="G536">
        <f>(Master[[#This Row],[Economy_GDP_per_Capita]]*100)/2</f>
        <v>46.7</v>
      </c>
      <c r="H536">
        <v>1.2490000000000001</v>
      </c>
      <c r="I536">
        <f>(Master[[#This Row],[Family]]*100)/2</f>
        <v>62.45</v>
      </c>
      <c r="J536">
        <v>0.67400000000000004</v>
      </c>
      <c r="K536">
        <f>(Master[[#This Row],[Health_Life_Expectancy]]*100)/2</f>
        <v>33.700000000000003</v>
      </c>
      <c r="L536" s="3">
        <v>0.53</v>
      </c>
      <c r="M536" s="3">
        <v>3.4000000000000002E-2</v>
      </c>
      <c r="N536" s="3">
        <v>9.1999999999999998E-2</v>
      </c>
    </row>
    <row r="537" spans="1:14" x14ac:dyDescent="0.25">
      <c r="A537">
        <v>2018</v>
      </c>
      <c r="B537" t="s">
        <v>80</v>
      </c>
      <c r="C537">
        <v>66</v>
      </c>
      <c r="D537">
        <v>5.6619999999999999</v>
      </c>
      <c r="E537">
        <f>(Master[[#This Row],[Happiness_Score]]*100)/10</f>
        <v>56.620000000000005</v>
      </c>
      <c r="F537">
        <v>0.85499999999999998</v>
      </c>
      <c r="G537">
        <f>(Master[[#This Row],[Economy_GDP_per_Capita]]*100)/2</f>
        <v>42.75</v>
      </c>
      <c r="H537">
        <v>1.23</v>
      </c>
      <c r="I537">
        <f>(Master[[#This Row],[Family]]*100)/2</f>
        <v>61.5</v>
      </c>
      <c r="J537">
        <v>0.57799999999999996</v>
      </c>
      <c r="K537">
        <f>(Master[[#This Row],[Health_Life_Expectancy]]*100)/2</f>
        <v>28.9</v>
      </c>
      <c r="L537" s="3">
        <v>0.44800000000000001</v>
      </c>
      <c r="M537" s="3">
        <v>2.3E-2</v>
      </c>
      <c r="N537" s="3">
        <v>0.27400000000000002</v>
      </c>
    </row>
    <row r="538" spans="1:14" x14ac:dyDescent="0.25">
      <c r="A538">
        <v>2018</v>
      </c>
      <c r="B538" t="s">
        <v>63</v>
      </c>
      <c r="C538">
        <v>67</v>
      </c>
      <c r="D538">
        <v>5.64</v>
      </c>
      <c r="E538">
        <f>(Master[[#This Row],[Happiness_Score]]*100)/10</f>
        <v>56.4</v>
      </c>
      <c r="F538">
        <v>0.65700000000000003</v>
      </c>
      <c r="G538">
        <f>(Master[[#This Row],[Economy_GDP_per_Capita]]*100)/2</f>
        <v>32.85</v>
      </c>
      <c r="H538">
        <v>1.3009999999999999</v>
      </c>
      <c r="I538">
        <f>(Master[[#This Row],[Family]]*100)/2</f>
        <v>65.05</v>
      </c>
      <c r="J538">
        <v>0.62</v>
      </c>
      <c r="K538">
        <f>(Master[[#This Row],[Health_Life_Expectancy]]*100)/2</f>
        <v>31</v>
      </c>
      <c r="L538" s="3">
        <v>0.23200000000000001</v>
      </c>
      <c r="M538" s="3">
        <v>0</v>
      </c>
      <c r="N538" s="3">
        <v>0.17100000000000001</v>
      </c>
    </row>
    <row r="539" spans="1:14" x14ac:dyDescent="0.25">
      <c r="A539">
        <v>2018</v>
      </c>
      <c r="B539" t="s">
        <v>81</v>
      </c>
      <c r="C539">
        <v>68</v>
      </c>
      <c r="D539">
        <v>5.6360000000000001</v>
      </c>
      <c r="E539">
        <f>(Master[[#This Row],[Happiness_Score]]*100)/10</f>
        <v>56.36</v>
      </c>
      <c r="F539">
        <v>1.016</v>
      </c>
      <c r="G539">
        <f>(Master[[#This Row],[Economy_GDP_per_Capita]]*100)/2</f>
        <v>50.8</v>
      </c>
      <c r="H539">
        <v>1.5329999999999999</v>
      </c>
      <c r="I539">
        <f>(Master[[#This Row],[Family]]*100)/2</f>
        <v>76.649999999999991</v>
      </c>
      <c r="J539">
        <v>0.51700000000000002</v>
      </c>
      <c r="K539">
        <f>(Master[[#This Row],[Health_Life_Expectancy]]*100)/2</f>
        <v>25.85</v>
      </c>
      <c r="L539" s="3">
        <v>0.41699999999999998</v>
      </c>
      <c r="M539" s="3">
        <v>3.6999999999999998E-2</v>
      </c>
      <c r="N539" s="3">
        <v>0.19900000000000001</v>
      </c>
    </row>
    <row r="540" spans="1:14" x14ac:dyDescent="0.25">
      <c r="A540">
        <v>2018</v>
      </c>
      <c r="B540" t="s">
        <v>117</v>
      </c>
      <c r="C540">
        <v>69</v>
      </c>
      <c r="D540">
        <v>5.62</v>
      </c>
      <c r="E540">
        <f>(Master[[#This Row],[Happiness_Score]]*100)/10</f>
        <v>56.2</v>
      </c>
      <c r="F540">
        <v>1.171</v>
      </c>
      <c r="G540">
        <f>(Master[[#This Row],[Economy_GDP_per_Capita]]*100)/2</f>
        <v>58.550000000000004</v>
      </c>
      <c r="H540">
        <v>1.401</v>
      </c>
      <c r="I540">
        <f>(Master[[#This Row],[Family]]*100)/2</f>
        <v>70.05</v>
      </c>
      <c r="J540">
        <v>0.73199999999999998</v>
      </c>
      <c r="K540">
        <f>(Master[[#This Row],[Health_Life_Expectancy]]*100)/2</f>
        <v>36.6</v>
      </c>
      <c r="L540" s="3">
        <v>0.25900000000000001</v>
      </c>
      <c r="M540" s="3">
        <v>2.1999999999999999E-2</v>
      </c>
      <c r="N540" s="3">
        <v>6.0999999999999999E-2</v>
      </c>
    </row>
    <row r="541" spans="1:14" x14ac:dyDescent="0.25">
      <c r="A541">
        <v>2018</v>
      </c>
      <c r="B541" t="s">
        <v>74</v>
      </c>
      <c r="C541">
        <v>70</v>
      </c>
      <c r="D541">
        <v>5.5659999999999998</v>
      </c>
      <c r="E541">
        <f>(Master[[#This Row],[Happiness_Score]]*100)/10</f>
        <v>55.660000000000004</v>
      </c>
      <c r="F541">
        <v>0.98499999999999999</v>
      </c>
      <c r="G541">
        <f>(Master[[#This Row],[Economy_GDP_per_Capita]]*100)/2</f>
        <v>49.25</v>
      </c>
      <c r="H541">
        <v>1.35</v>
      </c>
      <c r="I541">
        <f>(Master[[#This Row],[Family]]*100)/2</f>
        <v>67.5</v>
      </c>
      <c r="J541">
        <v>0.55300000000000005</v>
      </c>
      <c r="K541">
        <f>(Master[[#This Row],[Health_Life_Expectancy]]*100)/2</f>
        <v>27.650000000000002</v>
      </c>
      <c r="L541" s="3">
        <v>0.496</v>
      </c>
      <c r="M541" s="3">
        <v>0.14799999999999999</v>
      </c>
      <c r="N541" s="3">
        <v>0.11600000000000001</v>
      </c>
    </row>
    <row r="542" spans="1:14" x14ac:dyDescent="0.25">
      <c r="A542">
        <v>2018</v>
      </c>
      <c r="B542" t="s">
        <v>103</v>
      </c>
      <c r="C542">
        <v>71</v>
      </c>
      <c r="D542">
        <v>5.524</v>
      </c>
      <c r="E542">
        <f>(Master[[#This Row],[Happiness_Score]]*100)/10</f>
        <v>55.239999999999995</v>
      </c>
      <c r="F542">
        <v>0.77500000000000002</v>
      </c>
      <c r="G542">
        <f>(Master[[#This Row],[Economy_GDP_per_Capita]]*100)/2</f>
        <v>38.75</v>
      </c>
      <c r="H542">
        <v>1.3120000000000001</v>
      </c>
      <c r="I542">
        <f>(Master[[#This Row],[Family]]*100)/2</f>
        <v>65.600000000000009</v>
      </c>
      <c r="J542">
        <v>0.51300000000000001</v>
      </c>
      <c r="K542">
        <f>(Master[[#This Row],[Health_Life_Expectancy]]*100)/2</f>
        <v>25.650000000000002</v>
      </c>
      <c r="L542" s="3">
        <v>0.64300000000000002</v>
      </c>
      <c r="M542" s="3">
        <v>0.105</v>
      </c>
      <c r="N542" s="3">
        <v>0.12</v>
      </c>
    </row>
    <row r="543" spans="1:14" x14ac:dyDescent="0.25">
      <c r="A543">
        <v>2018</v>
      </c>
      <c r="B543" t="s">
        <v>118</v>
      </c>
      <c r="C543">
        <v>72</v>
      </c>
      <c r="D543">
        <v>5.5039999999999996</v>
      </c>
      <c r="E543">
        <f>(Master[[#This Row],[Happiness_Score]]*100)/10</f>
        <v>55.04</v>
      </c>
      <c r="F543">
        <v>0.62</v>
      </c>
      <c r="G543">
        <f>(Master[[#This Row],[Economy_GDP_per_Capita]]*100)/2</f>
        <v>31</v>
      </c>
      <c r="H543">
        <v>1.2050000000000001</v>
      </c>
      <c r="I543">
        <f>(Master[[#This Row],[Family]]*100)/2</f>
        <v>60.25</v>
      </c>
      <c r="J543">
        <v>0.622</v>
      </c>
      <c r="K543">
        <f>(Master[[#This Row],[Health_Life_Expectancy]]*100)/2</f>
        <v>31.1</v>
      </c>
      <c r="L543" s="3">
        <v>0.45900000000000002</v>
      </c>
      <c r="M543" s="3">
        <v>7.3999999999999996E-2</v>
      </c>
      <c r="N543" s="3">
        <v>0.19700000000000001</v>
      </c>
    </row>
    <row r="544" spans="1:14" x14ac:dyDescent="0.25">
      <c r="A544">
        <v>2018</v>
      </c>
      <c r="B544" t="s">
        <v>70</v>
      </c>
      <c r="C544">
        <v>73</v>
      </c>
      <c r="D544">
        <v>5.4829999999999997</v>
      </c>
      <c r="E544">
        <f>(Master[[#This Row],[Happiness_Score]]*100)/10</f>
        <v>54.83</v>
      </c>
      <c r="F544">
        <v>1.0389999999999999</v>
      </c>
      <c r="G544">
        <f>(Master[[#This Row],[Economy_GDP_per_Capita]]*100)/2</f>
        <v>51.949999999999996</v>
      </c>
      <c r="H544">
        <v>1.498</v>
      </c>
      <c r="I544">
        <f>(Master[[#This Row],[Family]]*100)/2</f>
        <v>74.900000000000006</v>
      </c>
      <c r="J544">
        <v>0.7</v>
      </c>
      <c r="K544">
        <f>(Master[[#This Row],[Health_Life_Expectancy]]*100)/2</f>
        <v>35</v>
      </c>
      <c r="L544" s="3">
        <v>0.307</v>
      </c>
      <c r="M544" s="3">
        <v>0.154</v>
      </c>
      <c r="N544" s="3">
        <v>0.10100000000000001</v>
      </c>
    </row>
    <row r="545" spans="1:14" x14ac:dyDescent="0.25">
      <c r="A545">
        <v>2018</v>
      </c>
      <c r="B545" t="s">
        <v>88</v>
      </c>
      <c r="C545">
        <v>74</v>
      </c>
      <c r="D545">
        <v>5.4829999999999997</v>
      </c>
      <c r="E545">
        <f>(Master[[#This Row],[Happiness_Score]]*100)/10</f>
        <v>54.83</v>
      </c>
      <c r="F545">
        <v>1.1479999999999999</v>
      </c>
      <c r="G545">
        <f>(Master[[#This Row],[Economy_GDP_per_Capita]]*100)/2</f>
        <v>57.4</v>
      </c>
      <c r="H545">
        <v>1.38</v>
      </c>
      <c r="I545">
        <f>(Master[[#This Row],[Family]]*100)/2</f>
        <v>69</v>
      </c>
      <c r="J545">
        <v>0.68600000000000005</v>
      </c>
      <c r="K545">
        <f>(Master[[#This Row],[Health_Life_Expectancy]]*100)/2</f>
        <v>34.300000000000004</v>
      </c>
      <c r="L545" s="3">
        <v>0.32400000000000001</v>
      </c>
      <c r="M545" s="3">
        <v>0.109</v>
      </c>
      <c r="N545" s="3">
        <v>0.106</v>
      </c>
    </row>
    <row r="546" spans="1:14" x14ac:dyDescent="0.25">
      <c r="A546">
        <v>2018</v>
      </c>
      <c r="B546" t="s">
        <v>94</v>
      </c>
      <c r="C546">
        <v>75</v>
      </c>
      <c r="D546">
        <v>5.4720000000000004</v>
      </c>
      <c r="E546">
        <f>(Master[[#This Row],[Happiness_Score]]*100)/10</f>
        <v>54.720000000000006</v>
      </c>
      <c r="F546">
        <v>0.65200000000000002</v>
      </c>
      <c r="G546">
        <f>(Master[[#This Row],[Economy_GDP_per_Capita]]*100)/2</f>
        <v>32.6</v>
      </c>
      <c r="H546">
        <v>0.81</v>
      </c>
      <c r="I546">
        <f>(Master[[#This Row],[Family]]*100)/2</f>
        <v>40.5</v>
      </c>
      <c r="J546">
        <v>0.42399999999999999</v>
      </c>
      <c r="K546">
        <f>(Master[[#This Row],[Health_Life_Expectancy]]*100)/2</f>
        <v>21.2</v>
      </c>
      <c r="L546" s="3">
        <v>0.33400000000000002</v>
      </c>
      <c r="M546" s="3">
        <v>0.113</v>
      </c>
      <c r="N546" s="3">
        <v>0.216</v>
      </c>
    </row>
    <row r="547" spans="1:14" x14ac:dyDescent="0.25">
      <c r="A547">
        <v>2018</v>
      </c>
      <c r="B547" t="s">
        <v>84</v>
      </c>
      <c r="C547">
        <v>76</v>
      </c>
      <c r="D547">
        <v>5.43</v>
      </c>
      <c r="E547">
        <f>(Master[[#This Row],[Happiness_Score]]*100)/10</f>
        <v>54.3</v>
      </c>
      <c r="F547">
        <v>1.405</v>
      </c>
      <c r="G547">
        <f>(Master[[#This Row],[Economy_GDP_per_Capita]]*100)/2</f>
        <v>70.25</v>
      </c>
      <c r="H547">
        <v>1.29</v>
      </c>
      <c r="I547">
        <f>(Master[[#This Row],[Family]]*100)/2</f>
        <v>64.5</v>
      </c>
      <c r="J547">
        <v>1.03</v>
      </c>
      <c r="K547">
        <f>(Master[[#This Row],[Health_Life_Expectancy]]*100)/2</f>
        <v>51.5</v>
      </c>
      <c r="L547" s="3">
        <v>0.52400000000000002</v>
      </c>
      <c r="M547" s="3">
        <v>0.29099999999999998</v>
      </c>
      <c r="N547" s="3">
        <v>0.246</v>
      </c>
    </row>
    <row r="548" spans="1:14" x14ac:dyDescent="0.25">
      <c r="A548">
        <v>2018</v>
      </c>
      <c r="B548" t="s">
        <v>101</v>
      </c>
      <c r="C548">
        <v>77</v>
      </c>
      <c r="D548">
        <v>5.41</v>
      </c>
      <c r="E548">
        <f>(Master[[#This Row],[Happiness_Score]]*100)/10</f>
        <v>54.1</v>
      </c>
      <c r="F548">
        <v>1.1879999999999999</v>
      </c>
      <c r="G548">
        <f>(Master[[#This Row],[Economy_GDP_per_Capita]]*100)/2</f>
        <v>59.4</v>
      </c>
      <c r="H548">
        <v>1.429</v>
      </c>
      <c r="I548">
        <f>(Master[[#This Row],[Family]]*100)/2</f>
        <v>71.45</v>
      </c>
      <c r="J548">
        <v>0.88400000000000001</v>
      </c>
      <c r="K548">
        <f>(Master[[#This Row],[Health_Life_Expectancy]]*100)/2</f>
        <v>44.2</v>
      </c>
      <c r="L548" s="3">
        <v>0.56200000000000006</v>
      </c>
      <c r="M548" s="3">
        <v>1.7000000000000001E-2</v>
      </c>
      <c r="N548" s="3">
        <v>5.5E-2</v>
      </c>
    </row>
    <row r="549" spans="1:14" x14ac:dyDescent="0.25">
      <c r="A549">
        <v>2018</v>
      </c>
      <c r="B549" t="s">
        <v>100</v>
      </c>
      <c r="C549">
        <v>78</v>
      </c>
      <c r="D549">
        <v>5.3979999999999997</v>
      </c>
      <c r="E549">
        <f>(Master[[#This Row],[Happiness_Score]]*100)/10</f>
        <v>53.98</v>
      </c>
      <c r="F549">
        <v>0.97499999999999998</v>
      </c>
      <c r="G549">
        <f>(Master[[#This Row],[Economy_GDP_per_Capita]]*100)/2</f>
        <v>48.75</v>
      </c>
      <c r="H549">
        <v>1.369</v>
      </c>
      <c r="I549">
        <f>(Master[[#This Row],[Family]]*100)/2</f>
        <v>68.45</v>
      </c>
      <c r="J549">
        <v>0.68500000000000005</v>
      </c>
      <c r="K549">
        <f>(Master[[#This Row],[Health_Life_Expectancy]]*100)/2</f>
        <v>34.25</v>
      </c>
      <c r="L549" s="3">
        <v>0.28799999999999998</v>
      </c>
      <c r="M549" s="3">
        <v>4.2999999999999997E-2</v>
      </c>
      <c r="N549" s="3">
        <v>0.13400000000000001</v>
      </c>
    </row>
    <row r="550" spans="1:14" x14ac:dyDescent="0.25">
      <c r="A550">
        <v>2018</v>
      </c>
      <c r="B550" t="s">
        <v>115</v>
      </c>
      <c r="C550">
        <v>79</v>
      </c>
      <c r="D550">
        <v>5.3579999999999997</v>
      </c>
      <c r="E550">
        <f>(Master[[#This Row],[Happiness_Score]]*100)/10</f>
        <v>53.58</v>
      </c>
      <c r="F550">
        <v>1.1539999999999999</v>
      </c>
      <c r="G550">
        <f>(Master[[#This Row],[Economy_GDP_per_Capita]]*100)/2</f>
        <v>57.699999999999996</v>
      </c>
      <c r="H550">
        <v>1.202</v>
      </c>
      <c r="I550">
        <f>(Master[[#This Row],[Family]]*100)/2</f>
        <v>60.099999999999994</v>
      </c>
      <c r="J550">
        <v>0.879</v>
      </c>
      <c r="K550">
        <f>(Master[[#This Row],[Health_Life_Expectancy]]*100)/2</f>
        <v>43.95</v>
      </c>
      <c r="L550" s="3">
        <v>0.13100000000000001</v>
      </c>
      <c r="M550" s="3">
        <v>4.3999999999999997E-2</v>
      </c>
      <c r="N550" s="3">
        <v>0</v>
      </c>
    </row>
    <row r="551" spans="1:14" x14ac:dyDescent="0.25">
      <c r="A551">
        <v>2018</v>
      </c>
      <c r="B551" t="s">
        <v>116</v>
      </c>
      <c r="C551">
        <v>80</v>
      </c>
      <c r="D551">
        <v>5.3579999999999997</v>
      </c>
      <c r="E551">
        <f>(Master[[#This Row],[Happiness_Score]]*100)/10</f>
        <v>53.58</v>
      </c>
      <c r="F551">
        <v>0.96499999999999997</v>
      </c>
      <c r="G551">
        <f>(Master[[#This Row],[Economy_GDP_per_Capita]]*100)/2</f>
        <v>48.25</v>
      </c>
      <c r="H551">
        <v>1.179</v>
      </c>
      <c r="I551">
        <f>(Master[[#This Row],[Family]]*100)/2</f>
        <v>58.95</v>
      </c>
      <c r="J551">
        <v>0.78500000000000003</v>
      </c>
      <c r="K551">
        <f>(Master[[#This Row],[Health_Life_Expectancy]]*100)/2</f>
        <v>39.25</v>
      </c>
      <c r="L551" s="3">
        <v>0.503</v>
      </c>
      <c r="M551" s="3">
        <v>0.13600000000000001</v>
      </c>
      <c r="N551" s="3">
        <v>0.214</v>
      </c>
    </row>
    <row r="552" spans="1:14" x14ac:dyDescent="0.25">
      <c r="A552">
        <v>2018</v>
      </c>
      <c r="B552" t="s">
        <v>96</v>
      </c>
      <c r="C552">
        <v>81</v>
      </c>
      <c r="D552">
        <v>5.3470000000000004</v>
      </c>
      <c r="E552">
        <f>(Master[[#This Row],[Happiness_Score]]*100)/10</f>
        <v>53.470000000000006</v>
      </c>
      <c r="F552">
        <v>1.0169999999999999</v>
      </c>
      <c r="G552">
        <f>(Master[[#This Row],[Economy_GDP_per_Capita]]*100)/2</f>
        <v>50.849999999999994</v>
      </c>
      <c r="H552">
        <v>1.2789999999999999</v>
      </c>
      <c r="I552">
        <f>(Master[[#This Row],[Family]]*100)/2</f>
        <v>63.949999999999996</v>
      </c>
      <c r="J552">
        <v>0.72899999999999998</v>
      </c>
      <c r="K552">
        <f>(Master[[#This Row],[Health_Life_Expectancy]]*100)/2</f>
        <v>36.449999999999996</v>
      </c>
      <c r="L552" s="3">
        <v>0.25900000000000001</v>
      </c>
      <c r="M552" s="3">
        <v>8.1000000000000003E-2</v>
      </c>
      <c r="N552" s="3">
        <v>0.111</v>
      </c>
    </row>
    <row r="553" spans="1:14" x14ac:dyDescent="0.25">
      <c r="A553">
        <v>2018</v>
      </c>
      <c r="B553" t="s">
        <v>73</v>
      </c>
      <c r="C553">
        <v>82</v>
      </c>
      <c r="D553">
        <v>5.3209999999999997</v>
      </c>
      <c r="E553">
        <f>(Master[[#This Row],[Happiness_Score]]*100)/10</f>
        <v>53.21</v>
      </c>
      <c r="F553">
        <v>1.115</v>
      </c>
      <c r="G553">
        <f>(Master[[#This Row],[Economy_GDP_per_Capita]]*100)/2</f>
        <v>55.75</v>
      </c>
      <c r="H553">
        <v>1.161</v>
      </c>
      <c r="I553">
        <f>(Master[[#This Row],[Family]]*100)/2</f>
        <v>58.050000000000004</v>
      </c>
      <c r="J553">
        <v>0.73699999999999999</v>
      </c>
      <c r="K553">
        <f>(Master[[#This Row],[Health_Life_Expectancy]]*100)/2</f>
        <v>36.85</v>
      </c>
      <c r="L553" s="3">
        <v>0.38</v>
      </c>
      <c r="M553" s="3">
        <v>3.9E-2</v>
      </c>
      <c r="N553" s="3">
        <v>0.12</v>
      </c>
    </row>
    <row r="554" spans="1:14" x14ac:dyDescent="0.25">
      <c r="A554">
        <v>2018</v>
      </c>
      <c r="B554" t="s">
        <v>111</v>
      </c>
      <c r="C554">
        <v>83</v>
      </c>
      <c r="D554">
        <v>5.3019999999999996</v>
      </c>
      <c r="E554">
        <f>(Master[[#This Row],[Happiness_Score]]*100)/10</f>
        <v>53.019999999999996</v>
      </c>
      <c r="F554">
        <v>0.98199999999999998</v>
      </c>
      <c r="G554">
        <f>(Master[[#This Row],[Economy_GDP_per_Capita]]*100)/2</f>
        <v>49.1</v>
      </c>
      <c r="H554">
        <v>1.4410000000000001</v>
      </c>
      <c r="I554">
        <f>(Master[[#This Row],[Family]]*100)/2</f>
        <v>72.05</v>
      </c>
      <c r="J554">
        <v>0.61399999999999999</v>
      </c>
      <c r="K554">
        <f>(Master[[#This Row],[Health_Life_Expectancy]]*100)/2</f>
        <v>30.7</v>
      </c>
      <c r="L554" s="3">
        <v>0.57799999999999996</v>
      </c>
      <c r="M554" s="3">
        <v>0.106</v>
      </c>
      <c r="N554" s="3">
        <v>0.12</v>
      </c>
    </row>
    <row r="555" spans="1:14" x14ac:dyDescent="0.25">
      <c r="A555">
        <v>2018</v>
      </c>
      <c r="B555" t="s">
        <v>79</v>
      </c>
      <c r="C555">
        <v>84</v>
      </c>
      <c r="D555">
        <v>5.2949999999999999</v>
      </c>
      <c r="E555">
        <f>(Master[[#This Row],[Happiness_Score]]*100)/10</f>
        <v>52.95</v>
      </c>
      <c r="F555">
        <v>0.97899999999999998</v>
      </c>
      <c r="G555">
        <f>(Master[[#This Row],[Economy_GDP_per_Capita]]*100)/2</f>
        <v>48.949999999999996</v>
      </c>
      <c r="H555">
        <v>1.1539999999999999</v>
      </c>
      <c r="I555">
        <f>(Master[[#This Row],[Family]]*100)/2</f>
        <v>57.699999999999996</v>
      </c>
      <c r="J555">
        <v>0.68700000000000006</v>
      </c>
      <c r="K555">
        <f>(Master[[#This Row],[Health_Life_Expectancy]]*100)/2</f>
        <v>34.35</v>
      </c>
      <c r="L555" s="3">
        <v>7.6999999999999999E-2</v>
      </c>
      <c r="M555" s="3">
        <v>0.13500000000000001</v>
      </c>
      <c r="N555" s="3">
        <v>5.5E-2</v>
      </c>
    </row>
    <row r="556" spans="1:14" x14ac:dyDescent="0.25">
      <c r="A556">
        <v>2018</v>
      </c>
      <c r="B556" t="s">
        <v>105</v>
      </c>
      <c r="C556">
        <v>85</v>
      </c>
      <c r="D556">
        <v>5.2539999999999996</v>
      </c>
      <c r="E556">
        <f>(Master[[#This Row],[Happiness_Score]]*100)/10</f>
        <v>52.54</v>
      </c>
      <c r="F556">
        <v>0.77900000000000003</v>
      </c>
      <c r="G556">
        <f>(Master[[#This Row],[Economy_GDP_per_Capita]]*100)/2</f>
        <v>38.950000000000003</v>
      </c>
      <c r="H556">
        <v>0.79700000000000004</v>
      </c>
      <c r="I556">
        <f>(Master[[#This Row],[Family]]*100)/2</f>
        <v>39.85</v>
      </c>
      <c r="J556">
        <v>0.66900000000000004</v>
      </c>
      <c r="K556">
        <f>(Master[[#This Row],[Health_Life_Expectancy]]*100)/2</f>
        <v>33.450000000000003</v>
      </c>
      <c r="L556" s="3">
        <v>0.46</v>
      </c>
      <c r="M556" s="3">
        <v>7.3999999999999996E-2</v>
      </c>
      <c r="N556" s="3">
        <v>2.5999999999999999E-2</v>
      </c>
    </row>
    <row r="557" spans="1:14" x14ac:dyDescent="0.25">
      <c r="A557">
        <v>2018</v>
      </c>
      <c r="B557" t="s">
        <v>97</v>
      </c>
      <c r="C557">
        <v>86</v>
      </c>
      <c r="D557">
        <v>5.2460000000000004</v>
      </c>
      <c r="E557">
        <f>(Master[[#This Row],[Happiness_Score]]*100)/10</f>
        <v>52.46</v>
      </c>
      <c r="F557">
        <v>0.98899999999999999</v>
      </c>
      <c r="G557">
        <f>(Master[[#This Row],[Economy_GDP_per_Capita]]*100)/2</f>
        <v>49.45</v>
      </c>
      <c r="H557">
        <v>1.1419999999999999</v>
      </c>
      <c r="I557">
        <f>(Master[[#This Row],[Family]]*100)/2</f>
        <v>57.099999999999994</v>
      </c>
      <c r="J557">
        <v>0.79900000000000004</v>
      </c>
      <c r="K557">
        <f>(Master[[#This Row],[Health_Life_Expectancy]]*100)/2</f>
        <v>39.950000000000003</v>
      </c>
      <c r="L557" s="3">
        <v>0.59699999999999998</v>
      </c>
      <c r="M557" s="3">
        <v>0.10299999999999999</v>
      </c>
      <c r="N557" s="3">
        <v>2.9000000000000001E-2</v>
      </c>
    </row>
    <row r="558" spans="1:14" x14ac:dyDescent="0.25">
      <c r="A558">
        <v>2018</v>
      </c>
      <c r="B558" t="s">
        <v>93</v>
      </c>
      <c r="C558">
        <v>87</v>
      </c>
      <c r="D558">
        <v>5.2009999999999996</v>
      </c>
      <c r="E558">
        <f>(Master[[#This Row],[Happiness_Score]]*100)/10</f>
        <v>52.009999999999991</v>
      </c>
      <c r="F558">
        <v>1.024</v>
      </c>
      <c r="G558">
        <f>(Master[[#This Row],[Economy_GDP_per_Capita]]*100)/2</f>
        <v>51.2</v>
      </c>
      <c r="H558">
        <v>1.161</v>
      </c>
      <c r="I558">
        <f>(Master[[#This Row],[Family]]*100)/2</f>
        <v>58.050000000000004</v>
      </c>
      <c r="J558">
        <v>0.60299999999999998</v>
      </c>
      <c r="K558">
        <f>(Master[[#This Row],[Health_Life_Expectancy]]*100)/2</f>
        <v>30.15</v>
      </c>
      <c r="L558" s="3">
        <v>0.43</v>
      </c>
      <c r="M558" s="3">
        <v>0.17599999999999999</v>
      </c>
      <c r="N558" s="3">
        <v>3.1E-2</v>
      </c>
    </row>
    <row r="559" spans="1:14" x14ac:dyDescent="0.25">
      <c r="A559">
        <v>2018</v>
      </c>
      <c r="B559" t="s">
        <v>119</v>
      </c>
      <c r="C559">
        <v>88</v>
      </c>
      <c r="D559">
        <v>5.1989999999999998</v>
      </c>
      <c r="E559">
        <f>(Master[[#This Row],[Happiness_Score]]*100)/10</f>
        <v>51.989999999999995</v>
      </c>
      <c r="F559">
        <v>0.47399999999999998</v>
      </c>
      <c r="G559">
        <f>(Master[[#This Row],[Economy_GDP_per_Capita]]*100)/2</f>
        <v>23.7</v>
      </c>
      <c r="H559">
        <v>1.1659999999999999</v>
      </c>
      <c r="I559">
        <f>(Master[[#This Row],[Family]]*100)/2</f>
        <v>58.3</v>
      </c>
      <c r="J559">
        <v>0.59799999999999998</v>
      </c>
      <c r="K559">
        <f>(Master[[#This Row],[Health_Life_Expectancy]]*100)/2</f>
        <v>29.9</v>
      </c>
      <c r="L559" s="3">
        <v>0.29199999999999998</v>
      </c>
      <c r="M559" s="3">
        <v>3.4000000000000002E-2</v>
      </c>
      <c r="N559" s="3">
        <v>0.187</v>
      </c>
    </row>
    <row r="560" spans="1:14" x14ac:dyDescent="0.25">
      <c r="A560">
        <v>2018</v>
      </c>
      <c r="B560" t="s">
        <v>106</v>
      </c>
      <c r="C560">
        <v>89</v>
      </c>
      <c r="D560">
        <v>5.1849999999999996</v>
      </c>
      <c r="E560">
        <f>(Master[[#This Row],[Happiness_Score]]*100)/10</f>
        <v>51.85</v>
      </c>
      <c r="F560">
        <v>0.95899999999999996</v>
      </c>
      <c r="G560">
        <f>(Master[[#This Row],[Economy_GDP_per_Capita]]*100)/2</f>
        <v>47.949999999999996</v>
      </c>
      <c r="H560">
        <v>1.2390000000000001</v>
      </c>
      <c r="I560">
        <f>(Master[[#This Row],[Family]]*100)/2</f>
        <v>61.95</v>
      </c>
      <c r="J560">
        <v>0.69099999999999995</v>
      </c>
      <c r="K560">
        <f>(Master[[#This Row],[Health_Life_Expectancy]]*100)/2</f>
        <v>34.549999999999997</v>
      </c>
      <c r="L560" s="3">
        <v>0.39400000000000002</v>
      </c>
      <c r="M560" s="3">
        <v>5.1999999999999998E-2</v>
      </c>
      <c r="N560" s="3">
        <v>0.17299999999999999</v>
      </c>
    </row>
    <row r="561" spans="1:14" x14ac:dyDescent="0.25">
      <c r="A561">
        <v>2018</v>
      </c>
      <c r="B561" t="s">
        <v>95</v>
      </c>
      <c r="C561">
        <v>90</v>
      </c>
      <c r="D561">
        <v>5.1609999999999996</v>
      </c>
      <c r="E561">
        <f>(Master[[#This Row],[Happiness_Score]]*100)/10</f>
        <v>51.609999999999992</v>
      </c>
      <c r="F561">
        <v>0.82199999999999995</v>
      </c>
      <c r="G561">
        <f>(Master[[#This Row],[Economy_GDP_per_Capita]]*100)/2</f>
        <v>41.099999999999994</v>
      </c>
      <c r="H561">
        <v>1.2649999999999999</v>
      </c>
      <c r="I561">
        <f>(Master[[#This Row],[Family]]*100)/2</f>
        <v>63.249999999999993</v>
      </c>
      <c r="J561">
        <v>0.64500000000000002</v>
      </c>
      <c r="K561">
        <f>(Master[[#This Row],[Health_Life_Expectancy]]*100)/2</f>
        <v>32.25</v>
      </c>
      <c r="L561" s="3">
        <v>0.46800000000000003</v>
      </c>
      <c r="M561" s="3">
        <v>0.13400000000000001</v>
      </c>
      <c r="N561" s="3">
        <v>0.13</v>
      </c>
    </row>
    <row r="562" spans="1:14" x14ac:dyDescent="0.25">
      <c r="A562">
        <v>2018</v>
      </c>
      <c r="B562" t="s">
        <v>90</v>
      </c>
      <c r="C562">
        <v>91</v>
      </c>
      <c r="D562">
        <v>5.1550000000000002</v>
      </c>
      <c r="E562">
        <f>(Master[[#This Row],[Happiness_Score]]*100)/10</f>
        <v>51.55</v>
      </c>
      <c r="F562">
        <v>0.68899999999999995</v>
      </c>
      <c r="G562">
        <f>(Master[[#This Row],[Economy_GDP_per_Capita]]*100)/2</f>
        <v>34.449999999999996</v>
      </c>
      <c r="H562">
        <v>1.1719999999999999</v>
      </c>
      <c r="I562">
        <f>(Master[[#This Row],[Family]]*100)/2</f>
        <v>58.599999999999994</v>
      </c>
      <c r="J562">
        <v>4.8000000000000001E-2</v>
      </c>
      <c r="K562">
        <f>(Master[[#This Row],[Health_Life_Expectancy]]*100)/2</f>
        <v>2.4</v>
      </c>
      <c r="L562" s="3">
        <v>0.46200000000000002</v>
      </c>
      <c r="M562" s="3">
        <v>3.2000000000000001E-2</v>
      </c>
      <c r="N562" s="3">
        <v>0.20100000000000001</v>
      </c>
    </row>
    <row r="563" spans="1:14" x14ac:dyDescent="0.25">
      <c r="A563">
        <v>2018</v>
      </c>
      <c r="B563" t="s">
        <v>89</v>
      </c>
      <c r="C563">
        <v>92</v>
      </c>
      <c r="D563">
        <v>5.1310000000000002</v>
      </c>
      <c r="E563">
        <f>(Master[[#This Row],[Happiness_Score]]*100)/10</f>
        <v>51.31</v>
      </c>
      <c r="F563">
        <v>0.53</v>
      </c>
      <c r="G563">
        <f>(Master[[#This Row],[Economy_GDP_per_Capita]]*100)/2</f>
        <v>26.5</v>
      </c>
      <c r="H563">
        <v>1.4159999999999999</v>
      </c>
      <c r="I563">
        <f>(Master[[#This Row],[Family]]*100)/2</f>
        <v>70.8</v>
      </c>
      <c r="J563">
        <v>0.59399999999999997</v>
      </c>
      <c r="K563">
        <f>(Master[[#This Row],[Health_Life_Expectancy]]*100)/2</f>
        <v>29.7</v>
      </c>
      <c r="L563" s="3">
        <v>0.54</v>
      </c>
      <c r="M563" s="3">
        <v>3.5000000000000003E-2</v>
      </c>
      <c r="N563" s="3">
        <v>0.28100000000000003</v>
      </c>
    </row>
    <row r="564" spans="1:14" x14ac:dyDescent="0.25">
      <c r="A564">
        <v>2018</v>
      </c>
      <c r="B564" t="s">
        <v>109</v>
      </c>
      <c r="C564">
        <v>93</v>
      </c>
      <c r="D564">
        <v>5.1289999999999996</v>
      </c>
      <c r="E564">
        <f>(Master[[#This Row],[Happiness_Score]]*100)/10</f>
        <v>51.29</v>
      </c>
      <c r="F564">
        <v>0.91500000000000004</v>
      </c>
      <c r="G564">
        <f>(Master[[#This Row],[Economy_GDP_per_Capita]]*100)/2</f>
        <v>45.75</v>
      </c>
      <c r="H564">
        <v>1.0780000000000001</v>
      </c>
      <c r="I564">
        <f>(Master[[#This Row],[Family]]*100)/2</f>
        <v>53.900000000000006</v>
      </c>
      <c r="J564">
        <v>0.75800000000000001</v>
      </c>
      <c r="K564">
        <f>(Master[[#This Row],[Health_Life_Expectancy]]*100)/2</f>
        <v>37.9</v>
      </c>
      <c r="L564" s="3">
        <v>0.28000000000000003</v>
      </c>
      <c r="M564" s="3">
        <v>0</v>
      </c>
      <c r="N564" s="3">
        <v>0.216</v>
      </c>
    </row>
    <row r="565" spans="1:14" x14ac:dyDescent="0.25">
      <c r="A565">
        <v>2018</v>
      </c>
      <c r="B565" t="s">
        <v>113</v>
      </c>
      <c r="C565">
        <v>94</v>
      </c>
      <c r="D565">
        <v>5.125</v>
      </c>
      <c r="E565">
        <f>(Master[[#This Row],[Happiness_Score]]*100)/10</f>
        <v>51.25</v>
      </c>
      <c r="F565">
        <v>0.91400000000000003</v>
      </c>
      <c r="G565">
        <f>(Master[[#This Row],[Economy_GDP_per_Capita]]*100)/2</f>
        <v>45.7</v>
      </c>
      <c r="H565">
        <v>1.5169999999999999</v>
      </c>
      <c r="I565">
        <f>(Master[[#This Row],[Family]]*100)/2</f>
        <v>75.849999999999994</v>
      </c>
      <c r="J565">
        <v>0.57499999999999996</v>
      </c>
      <c r="K565">
        <f>(Master[[#This Row],[Health_Life_Expectancy]]*100)/2</f>
        <v>28.749999999999996</v>
      </c>
      <c r="L565" s="3">
        <v>0.39500000000000002</v>
      </c>
      <c r="M565" s="3">
        <v>3.2000000000000001E-2</v>
      </c>
      <c r="N565" s="3">
        <v>0.253</v>
      </c>
    </row>
    <row r="566" spans="1:14" x14ac:dyDescent="0.25">
      <c r="A566">
        <v>2018</v>
      </c>
      <c r="B566" t="s">
        <v>87</v>
      </c>
      <c r="C566">
        <v>95</v>
      </c>
      <c r="D566">
        <v>5.1029999999999998</v>
      </c>
      <c r="E566">
        <f>(Master[[#This Row],[Happiness_Score]]*100)/10</f>
        <v>51.029999999999994</v>
      </c>
      <c r="F566">
        <v>0.71499999999999997</v>
      </c>
      <c r="G566">
        <f>(Master[[#This Row],[Economy_GDP_per_Capita]]*100)/2</f>
        <v>35.75</v>
      </c>
      <c r="H566">
        <v>1.365</v>
      </c>
      <c r="I566">
        <f>(Master[[#This Row],[Family]]*100)/2</f>
        <v>68.25</v>
      </c>
      <c r="J566">
        <v>0.70199999999999996</v>
      </c>
      <c r="K566">
        <f>(Master[[#This Row],[Health_Life_Expectancy]]*100)/2</f>
        <v>35.099999999999994</v>
      </c>
      <c r="L566" s="3">
        <v>0.61799999999999999</v>
      </c>
      <c r="M566" s="3">
        <v>7.9000000000000001E-2</v>
      </c>
      <c r="N566" s="3">
        <v>0.17699999999999999</v>
      </c>
    </row>
    <row r="567" spans="1:14" x14ac:dyDescent="0.25">
      <c r="A567">
        <v>2018</v>
      </c>
      <c r="B567" t="s">
        <v>86</v>
      </c>
      <c r="C567">
        <v>96</v>
      </c>
      <c r="D567">
        <v>5.093</v>
      </c>
      <c r="E567">
        <f>(Master[[#This Row],[Happiness_Score]]*100)/10</f>
        <v>50.93</v>
      </c>
      <c r="F567">
        <v>0.89900000000000002</v>
      </c>
      <c r="G567">
        <f>(Master[[#This Row],[Economy_GDP_per_Capita]]*100)/2</f>
        <v>44.95</v>
      </c>
      <c r="H567">
        <v>1.2150000000000001</v>
      </c>
      <c r="I567">
        <f>(Master[[#This Row],[Family]]*100)/2</f>
        <v>60.750000000000007</v>
      </c>
      <c r="J567">
        <v>0.52200000000000002</v>
      </c>
      <c r="K567">
        <f>(Master[[#This Row],[Health_Life_Expectancy]]*100)/2</f>
        <v>26.1</v>
      </c>
      <c r="L567" s="3">
        <v>0.53800000000000003</v>
      </c>
      <c r="M567" s="3">
        <v>1.7999999999999999E-2</v>
      </c>
      <c r="N567" s="3">
        <v>0.48399999999999999</v>
      </c>
    </row>
    <row r="568" spans="1:14" x14ac:dyDescent="0.25">
      <c r="A568">
        <v>2018</v>
      </c>
      <c r="B568" t="s">
        <v>91</v>
      </c>
      <c r="C568">
        <v>97</v>
      </c>
      <c r="D568">
        <v>5.0819999999999999</v>
      </c>
      <c r="E568">
        <f>(Master[[#This Row],[Happiness_Score]]*100)/10</f>
        <v>50.82</v>
      </c>
      <c r="F568">
        <v>0.79600000000000004</v>
      </c>
      <c r="G568">
        <f>(Master[[#This Row],[Economy_GDP_per_Capita]]*100)/2</f>
        <v>39.800000000000004</v>
      </c>
      <c r="H568">
        <v>1.335</v>
      </c>
      <c r="I568">
        <f>(Master[[#This Row],[Family]]*100)/2</f>
        <v>66.75</v>
      </c>
      <c r="J568">
        <v>0.52700000000000002</v>
      </c>
      <c r="K568">
        <f>(Master[[#This Row],[Health_Life_Expectancy]]*100)/2</f>
        <v>26.35</v>
      </c>
      <c r="L568" s="3">
        <v>0.54100000000000004</v>
      </c>
      <c r="M568" s="3">
        <v>0.17100000000000001</v>
      </c>
      <c r="N568" s="3">
        <v>0.36399999999999999</v>
      </c>
    </row>
    <row r="569" spans="1:14" x14ac:dyDescent="0.25">
      <c r="A569">
        <v>2018</v>
      </c>
      <c r="B569" t="s">
        <v>175</v>
      </c>
      <c r="C569">
        <v>98</v>
      </c>
      <c r="D569">
        <v>4.9820000000000002</v>
      </c>
      <c r="E569">
        <f>(Master[[#This Row],[Happiness_Score]]*100)/10</f>
        <v>49.820000000000007</v>
      </c>
      <c r="F569">
        <v>0</v>
      </c>
      <c r="G569">
        <f>(Master[[#This Row],[Economy_GDP_per_Capita]]*100)/2</f>
        <v>0</v>
      </c>
      <c r="H569">
        <v>0.71199999999999997</v>
      </c>
      <c r="I569">
        <f>(Master[[#This Row],[Family]]*100)/2</f>
        <v>35.6</v>
      </c>
      <c r="J569">
        <v>0.115</v>
      </c>
      <c r="K569">
        <f>(Master[[#This Row],[Health_Life_Expectancy]]*100)/2</f>
        <v>5.75</v>
      </c>
      <c r="L569" s="3">
        <v>0.67400000000000004</v>
      </c>
      <c r="M569" s="3">
        <v>0.28199999999999997</v>
      </c>
      <c r="N569" s="3">
        <v>0.23799999999999999</v>
      </c>
    </row>
    <row r="570" spans="1:14" x14ac:dyDescent="0.25">
      <c r="A570">
        <v>2018</v>
      </c>
      <c r="B570" t="s">
        <v>146</v>
      </c>
      <c r="C570">
        <v>99</v>
      </c>
      <c r="D570">
        <v>4.9749999999999996</v>
      </c>
      <c r="E570">
        <f>(Master[[#This Row],[Happiness_Score]]*100)/10</f>
        <v>49.749999999999993</v>
      </c>
      <c r="F570">
        <v>0.53500000000000003</v>
      </c>
      <c r="G570">
        <f>(Master[[#This Row],[Economy_GDP_per_Capita]]*100)/2</f>
        <v>26.75</v>
      </c>
      <c r="H570">
        <v>0.89100000000000001</v>
      </c>
      <c r="I570">
        <f>(Master[[#This Row],[Family]]*100)/2</f>
        <v>44.55</v>
      </c>
      <c r="J570">
        <v>0.182</v>
      </c>
      <c r="K570">
        <f>(Master[[#This Row],[Health_Life_Expectancy]]*100)/2</f>
        <v>9.1</v>
      </c>
      <c r="L570" s="3">
        <v>0.45400000000000001</v>
      </c>
      <c r="M570" s="3">
        <v>4.2999999999999997E-2</v>
      </c>
      <c r="N570" s="3">
        <v>0.183</v>
      </c>
    </row>
    <row r="571" spans="1:14" x14ac:dyDescent="0.25">
      <c r="A571">
        <v>2018</v>
      </c>
      <c r="B571" t="s">
        <v>147</v>
      </c>
      <c r="C571">
        <v>100</v>
      </c>
      <c r="D571">
        <v>4.9329999999999998</v>
      </c>
      <c r="E571">
        <f>(Master[[#This Row],[Happiness_Score]]*100)/10</f>
        <v>49.33</v>
      </c>
      <c r="F571">
        <v>1.054</v>
      </c>
      <c r="G571">
        <f>(Master[[#This Row],[Economy_GDP_per_Capita]]*100)/2</f>
        <v>52.7</v>
      </c>
      <c r="H571">
        <v>1.5149999999999999</v>
      </c>
      <c r="I571">
        <f>(Master[[#This Row],[Family]]*100)/2</f>
        <v>75.75</v>
      </c>
      <c r="J571">
        <v>0.71199999999999997</v>
      </c>
      <c r="K571">
        <f>(Master[[#This Row],[Health_Life_Expectancy]]*100)/2</f>
        <v>35.6</v>
      </c>
      <c r="L571" s="3">
        <v>0.35899999999999999</v>
      </c>
      <c r="M571" s="3">
        <v>8.9999999999999993E-3</v>
      </c>
      <c r="N571" s="3">
        <v>6.4000000000000001E-2</v>
      </c>
    </row>
    <row r="572" spans="1:14" x14ac:dyDescent="0.25">
      <c r="A572">
        <v>2018</v>
      </c>
      <c r="B572" t="s">
        <v>134</v>
      </c>
      <c r="C572">
        <v>101</v>
      </c>
      <c r="D572">
        <v>4.88</v>
      </c>
      <c r="E572">
        <f>(Master[[#This Row],[Happiness_Score]]*100)/10</f>
        <v>48.8</v>
      </c>
      <c r="F572">
        <v>0.42499999999999999</v>
      </c>
      <c r="G572">
        <f>(Master[[#This Row],[Economy_GDP_per_Capita]]*100)/2</f>
        <v>21.25</v>
      </c>
      <c r="H572">
        <v>1.228</v>
      </c>
      <c r="I572">
        <f>(Master[[#This Row],[Family]]*100)/2</f>
        <v>61.4</v>
      </c>
      <c r="J572">
        <v>0.53900000000000003</v>
      </c>
      <c r="K572">
        <f>(Master[[#This Row],[Health_Life_Expectancy]]*100)/2</f>
        <v>26.950000000000003</v>
      </c>
      <c r="L572" s="3">
        <v>0.52600000000000002</v>
      </c>
      <c r="M572" s="3">
        <v>7.8E-2</v>
      </c>
      <c r="N572" s="3">
        <v>0.30199999999999999</v>
      </c>
    </row>
    <row r="573" spans="1:14" x14ac:dyDescent="0.25">
      <c r="A573">
        <v>2018</v>
      </c>
      <c r="B573" t="s">
        <v>31</v>
      </c>
      <c r="C573">
        <v>102</v>
      </c>
      <c r="D573">
        <v>4.806</v>
      </c>
      <c r="E573">
        <f>(Master[[#This Row],[Happiness_Score]]*100)/10</f>
        <v>48.06</v>
      </c>
      <c r="F573">
        <v>0.996</v>
      </c>
      <c r="G573">
        <f>(Master[[#This Row],[Economy_GDP_per_Capita]]*100)/2</f>
        <v>49.8</v>
      </c>
      <c r="H573">
        <v>1.4690000000000001</v>
      </c>
      <c r="I573">
        <f>(Master[[#This Row],[Family]]*100)/2</f>
        <v>73.45</v>
      </c>
      <c r="J573">
        <v>0.65700000000000003</v>
      </c>
      <c r="K573">
        <f>(Master[[#This Row],[Health_Life_Expectancy]]*100)/2</f>
        <v>32.85</v>
      </c>
      <c r="L573" s="3">
        <v>0.13300000000000001</v>
      </c>
      <c r="M573" s="3">
        <v>5.1999999999999998E-2</v>
      </c>
      <c r="N573" s="3">
        <v>5.6000000000000001E-2</v>
      </c>
    </row>
    <row r="574" spans="1:14" x14ac:dyDescent="0.25">
      <c r="A574">
        <v>2018</v>
      </c>
      <c r="B574" t="s">
        <v>156</v>
      </c>
      <c r="C574">
        <v>103</v>
      </c>
      <c r="D574">
        <v>4.758</v>
      </c>
      <c r="E574">
        <f>(Master[[#This Row],[Happiness_Score]]*100)/10</f>
        <v>47.58</v>
      </c>
      <c r="F574">
        <v>1.036</v>
      </c>
      <c r="G574">
        <f>(Master[[#This Row],[Economy_GDP_per_Capita]]*100)/2</f>
        <v>51.800000000000004</v>
      </c>
      <c r="H574">
        <v>1.1639999999999999</v>
      </c>
      <c r="I574">
        <f>(Master[[#This Row],[Family]]*100)/2</f>
        <v>58.199999999999996</v>
      </c>
      <c r="J574">
        <v>0.40400000000000003</v>
      </c>
      <c r="K574">
        <f>(Master[[#This Row],[Health_Life_Expectancy]]*100)/2</f>
        <v>20.200000000000003</v>
      </c>
      <c r="L574" s="3">
        <v>0.35599999999999998</v>
      </c>
      <c r="M574" s="3">
        <v>5.1999999999999998E-2</v>
      </c>
      <c r="N574" s="3">
        <v>3.2000000000000001E-2</v>
      </c>
    </row>
    <row r="575" spans="1:14" x14ac:dyDescent="0.25">
      <c r="A575">
        <v>2018</v>
      </c>
      <c r="B575" t="s">
        <v>121</v>
      </c>
      <c r="C575">
        <v>104</v>
      </c>
      <c r="D575">
        <v>4.7430000000000003</v>
      </c>
      <c r="E575">
        <f>(Master[[#This Row],[Happiness_Score]]*100)/10</f>
        <v>47.43</v>
      </c>
      <c r="F575">
        <v>0.64200000000000002</v>
      </c>
      <c r="G575">
        <f>(Master[[#This Row],[Economy_GDP_per_Capita]]*100)/2</f>
        <v>32.1</v>
      </c>
      <c r="H575">
        <v>1.2170000000000001</v>
      </c>
      <c r="I575">
        <f>(Master[[#This Row],[Family]]*100)/2</f>
        <v>60.85</v>
      </c>
      <c r="J575">
        <v>0.60199999999999998</v>
      </c>
      <c r="K575">
        <f>(Master[[#This Row],[Health_Life_Expectancy]]*100)/2</f>
        <v>30.099999999999998</v>
      </c>
      <c r="L575" s="3">
        <v>0.26600000000000001</v>
      </c>
      <c r="M575" s="3">
        <v>7.5999999999999998E-2</v>
      </c>
      <c r="N575" s="3">
        <v>8.5999999999999993E-2</v>
      </c>
    </row>
    <row r="576" spans="1:14" x14ac:dyDescent="0.25">
      <c r="A576">
        <v>2018</v>
      </c>
      <c r="B576" t="s">
        <v>126</v>
      </c>
      <c r="C576">
        <v>105</v>
      </c>
      <c r="D576">
        <v>4.7240000000000002</v>
      </c>
      <c r="E576">
        <f>(Master[[#This Row],[Happiness_Score]]*100)/10</f>
        <v>47.24</v>
      </c>
      <c r="F576">
        <v>0.94</v>
      </c>
      <c r="G576">
        <f>(Master[[#This Row],[Economy_GDP_per_Capita]]*100)/2</f>
        <v>47</v>
      </c>
      <c r="H576">
        <v>1.41</v>
      </c>
      <c r="I576">
        <f>(Master[[#This Row],[Family]]*100)/2</f>
        <v>70.5</v>
      </c>
      <c r="J576">
        <v>0.33</v>
      </c>
      <c r="K576">
        <f>(Master[[#This Row],[Health_Life_Expectancy]]*100)/2</f>
        <v>16.5</v>
      </c>
      <c r="L576" s="3">
        <v>0.51600000000000001</v>
      </c>
      <c r="M576" s="3">
        <v>5.6000000000000001E-2</v>
      </c>
      <c r="N576" s="3">
        <v>0.10299999999999999</v>
      </c>
    </row>
    <row r="577" spans="1:14" x14ac:dyDescent="0.25">
      <c r="A577">
        <v>2018</v>
      </c>
      <c r="B577" t="s">
        <v>123</v>
      </c>
      <c r="C577">
        <v>106</v>
      </c>
      <c r="D577">
        <v>4.7069999999999999</v>
      </c>
      <c r="E577">
        <f>(Master[[#This Row],[Happiness_Score]]*100)/10</f>
        <v>47.07</v>
      </c>
      <c r="F577">
        <v>1.0589999999999999</v>
      </c>
      <c r="G577">
        <f>(Master[[#This Row],[Economy_GDP_per_Capita]]*100)/2</f>
        <v>52.949999999999996</v>
      </c>
      <c r="H577">
        <v>0.77100000000000002</v>
      </c>
      <c r="I577">
        <f>(Master[[#This Row],[Family]]*100)/2</f>
        <v>38.550000000000004</v>
      </c>
      <c r="J577">
        <v>0.69099999999999995</v>
      </c>
      <c r="K577">
        <f>(Master[[#This Row],[Health_Life_Expectancy]]*100)/2</f>
        <v>34.549999999999997</v>
      </c>
      <c r="L577" s="3">
        <v>0.45900000000000002</v>
      </c>
      <c r="M577" s="3">
        <v>0.129</v>
      </c>
      <c r="N577" s="3">
        <v>0.28199999999999997</v>
      </c>
    </row>
    <row r="578" spans="1:14" x14ac:dyDescent="0.25">
      <c r="A578">
        <v>2018</v>
      </c>
      <c r="B578" t="s">
        <v>164</v>
      </c>
      <c r="C578">
        <v>107</v>
      </c>
      <c r="D578">
        <v>4.6710000000000003</v>
      </c>
      <c r="E578">
        <f>(Master[[#This Row],[Happiness_Score]]*100)/10</f>
        <v>46.71</v>
      </c>
      <c r="F578">
        <v>0.54100000000000004</v>
      </c>
      <c r="G578">
        <f>(Master[[#This Row],[Economy_GDP_per_Capita]]*100)/2</f>
        <v>27.05</v>
      </c>
      <c r="H578">
        <v>0.872</v>
      </c>
      <c r="I578">
        <f>(Master[[#This Row],[Family]]*100)/2</f>
        <v>43.6</v>
      </c>
      <c r="J578">
        <v>0.08</v>
      </c>
      <c r="K578">
        <f>(Master[[#This Row],[Health_Life_Expectancy]]*100)/2</f>
        <v>4</v>
      </c>
      <c r="L578" s="3">
        <v>0.46700000000000003</v>
      </c>
      <c r="M578" s="3">
        <v>0.10299999999999999</v>
      </c>
      <c r="N578" s="3">
        <v>0.14599999999999999</v>
      </c>
    </row>
    <row r="579" spans="1:14" x14ac:dyDescent="0.25">
      <c r="A579">
        <v>2018</v>
      </c>
      <c r="B579" t="s">
        <v>127</v>
      </c>
      <c r="C579">
        <v>108</v>
      </c>
      <c r="D579">
        <v>4.657</v>
      </c>
      <c r="E579">
        <f>(Master[[#This Row],[Happiness_Score]]*100)/10</f>
        <v>46.57</v>
      </c>
      <c r="F579">
        <v>0.59199999999999997</v>
      </c>
      <c r="G579">
        <f>(Master[[#This Row],[Economy_GDP_per_Capita]]*100)/2</f>
        <v>29.599999999999998</v>
      </c>
      <c r="H579">
        <v>0.89600000000000002</v>
      </c>
      <c r="I579">
        <f>(Master[[#This Row],[Family]]*100)/2</f>
        <v>44.800000000000004</v>
      </c>
      <c r="J579">
        <v>0.33700000000000002</v>
      </c>
      <c r="K579">
        <f>(Master[[#This Row],[Health_Life_Expectancy]]*100)/2</f>
        <v>16.850000000000001</v>
      </c>
      <c r="L579" s="3">
        <v>0.499</v>
      </c>
      <c r="M579" s="3">
        <v>2.9000000000000001E-2</v>
      </c>
      <c r="N579" s="3">
        <v>0.21199999999999999</v>
      </c>
    </row>
    <row r="580" spans="1:14" x14ac:dyDescent="0.25">
      <c r="A580">
        <v>2018</v>
      </c>
      <c r="B580" t="s">
        <v>155</v>
      </c>
      <c r="C580">
        <v>109</v>
      </c>
      <c r="D580">
        <v>4.6310000000000002</v>
      </c>
      <c r="E580">
        <f>(Master[[#This Row],[Happiness_Score]]*100)/10</f>
        <v>46.31</v>
      </c>
      <c r="F580">
        <v>0.42899999999999999</v>
      </c>
      <c r="G580">
        <f>(Master[[#This Row],[Economy_GDP_per_Capita]]*100)/2</f>
        <v>21.45</v>
      </c>
      <c r="H580">
        <v>1.117</v>
      </c>
      <c r="I580">
        <f>(Master[[#This Row],[Family]]*100)/2</f>
        <v>55.85</v>
      </c>
      <c r="J580">
        <v>0.433</v>
      </c>
      <c r="K580">
        <f>(Master[[#This Row],[Health_Life_Expectancy]]*100)/2</f>
        <v>21.65</v>
      </c>
      <c r="L580" s="3">
        <v>0.40600000000000003</v>
      </c>
      <c r="M580" s="3">
        <v>8.2000000000000003E-2</v>
      </c>
      <c r="N580" s="3">
        <v>0.13800000000000001</v>
      </c>
    </row>
    <row r="581" spans="1:14" x14ac:dyDescent="0.25">
      <c r="A581">
        <v>2018</v>
      </c>
      <c r="B581" t="s">
        <v>112</v>
      </c>
      <c r="C581">
        <v>110</v>
      </c>
      <c r="D581">
        <v>4.6230000000000002</v>
      </c>
      <c r="E581">
        <f>(Master[[#This Row],[Happiness_Score]]*100)/10</f>
        <v>46.230000000000004</v>
      </c>
      <c r="F581">
        <v>0.72</v>
      </c>
      <c r="G581">
        <f>(Master[[#This Row],[Economy_GDP_per_Capita]]*100)/2</f>
        <v>36</v>
      </c>
      <c r="H581">
        <v>1.034</v>
      </c>
      <c r="I581">
        <f>(Master[[#This Row],[Family]]*100)/2</f>
        <v>51.7</v>
      </c>
      <c r="J581">
        <v>0.441</v>
      </c>
      <c r="K581">
        <f>(Master[[#This Row],[Health_Life_Expectancy]]*100)/2</f>
        <v>22.05</v>
      </c>
      <c r="L581" s="3">
        <v>0.626</v>
      </c>
      <c r="M581" s="3">
        <v>0.17399999999999999</v>
      </c>
      <c r="N581" s="3">
        <v>0.23</v>
      </c>
    </row>
    <row r="582" spans="1:14" x14ac:dyDescent="0.25">
      <c r="A582">
        <v>2018</v>
      </c>
      <c r="B582" t="s">
        <v>120</v>
      </c>
      <c r="C582">
        <v>111</v>
      </c>
      <c r="D582">
        <v>4.5919999999999996</v>
      </c>
      <c r="E582">
        <f>(Master[[#This Row],[Happiness_Score]]*100)/10</f>
        <v>45.92</v>
      </c>
      <c r="F582">
        <v>0.9</v>
      </c>
      <c r="G582">
        <f>(Master[[#This Row],[Economy_GDP_per_Capita]]*100)/2</f>
        <v>45</v>
      </c>
      <c r="H582">
        <v>0.90600000000000003</v>
      </c>
      <c r="I582">
        <f>(Master[[#This Row],[Family]]*100)/2</f>
        <v>45.300000000000004</v>
      </c>
      <c r="J582">
        <v>0.69</v>
      </c>
      <c r="K582">
        <f>(Master[[#This Row],[Health_Life_Expectancy]]*100)/2</f>
        <v>34.5</v>
      </c>
      <c r="L582" s="3">
        <v>0.27100000000000002</v>
      </c>
      <c r="M582" s="3">
        <v>6.3E-2</v>
      </c>
      <c r="N582" s="3">
        <v>0.04</v>
      </c>
    </row>
    <row r="583" spans="1:14" x14ac:dyDescent="0.25">
      <c r="A583">
        <v>2018</v>
      </c>
      <c r="B583" t="s">
        <v>108</v>
      </c>
      <c r="C583">
        <v>112</v>
      </c>
      <c r="D583">
        <v>4.5860000000000003</v>
      </c>
      <c r="E583">
        <f>(Master[[#This Row],[Happiness_Score]]*100)/10</f>
        <v>45.86</v>
      </c>
      <c r="F583">
        <v>0.91600000000000004</v>
      </c>
      <c r="G583">
        <f>(Master[[#This Row],[Economy_GDP_per_Capita]]*100)/2</f>
        <v>45.800000000000004</v>
      </c>
      <c r="H583">
        <v>0.81699999999999995</v>
      </c>
      <c r="I583">
        <f>(Master[[#This Row],[Family]]*100)/2</f>
        <v>40.849999999999994</v>
      </c>
      <c r="J583">
        <v>0.79</v>
      </c>
      <c r="K583">
        <f>(Master[[#This Row],[Health_Life_Expectancy]]*100)/2</f>
        <v>39.5</v>
      </c>
      <c r="L583" s="3">
        <v>0.41899999999999998</v>
      </c>
      <c r="M583" s="3">
        <v>3.2000000000000001E-2</v>
      </c>
      <c r="N583" s="3">
        <v>0.14899999999999999</v>
      </c>
    </row>
    <row r="584" spans="1:14" x14ac:dyDescent="0.25">
      <c r="A584">
        <v>2018</v>
      </c>
      <c r="B584" t="s">
        <v>136</v>
      </c>
      <c r="C584">
        <v>113</v>
      </c>
      <c r="D584">
        <v>4.5709999999999997</v>
      </c>
      <c r="E584">
        <f>(Master[[#This Row],[Happiness_Score]]*100)/10</f>
        <v>45.709999999999994</v>
      </c>
      <c r="F584">
        <v>0.25600000000000001</v>
      </c>
      <c r="G584">
        <f>(Master[[#This Row],[Economy_GDP_per_Capita]]*100)/2</f>
        <v>12.8</v>
      </c>
      <c r="H584">
        <v>0.81299999999999994</v>
      </c>
      <c r="I584">
        <f>(Master[[#This Row],[Family]]*100)/2</f>
        <v>40.65</v>
      </c>
      <c r="J584">
        <v>0</v>
      </c>
      <c r="K584">
        <f>(Master[[#This Row],[Health_Life_Expectancy]]*100)/2</f>
        <v>0</v>
      </c>
      <c r="L584" s="3">
        <v>0.35499999999999998</v>
      </c>
      <c r="M584" s="3">
        <v>5.2999999999999999E-2</v>
      </c>
      <c r="N584" s="3">
        <v>0.23799999999999999</v>
      </c>
    </row>
    <row r="585" spans="1:14" x14ac:dyDescent="0.25">
      <c r="A585">
        <v>2018</v>
      </c>
      <c r="B585" t="s">
        <v>152</v>
      </c>
      <c r="C585">
        <v>114</v>
      </c>
      <c r="D585">
        <v>4.5590000000000002</v>
      </c>
      <c r="E585">
        <f>(Master[[#This Row],[Happiness_Score]]*100)/10</f>
        <v>45.59</v>
      </c>
      <c r="F585">
        <v>0.68200000000000005</v>
      </c>
      <c r="G585">
        <f>(Master[[#This Row],[Economy_GDP_per_Capita]]*100)/2</f>
        <v>34.1</v>
      </c>
      <c r="H585">
        <v>0.81100000000000005</v>
      </c>
      <c r="I585">
        <f>(Master[[#This Row],[Family]]*100)/2</f>
        <v>40.550000000000004</v>
      </c>
      <c r="J585">
        <v>0.34300000000000003</v>
      </c>
      <c r="K585">
        <f>(Master[[#This Row],[Health_Life_Expectancy]]*100)/2</f>
        <v>17.150000000000002</v>
      </c>
      <c r="L585" s="3">
        <v>0.51400000000000001</v>
      </c>
      <c r="M585" s="3">
        <v>7.6999999999999999E-2</v>
      </c>
      <c r="N585" s="3">
        <v>9.0999999999999998E-2</v>
      </c>
    </row>
    <row r="586" spans="1:14" x14ac:dyDescent="0.25">
      <c r="A586">
        <v>2018</v>
      </c>
      <c r="B586" t="s">
        <v>122</v>
      </c>
      <c r="C586">
        <v>115</v>
      </c>
      <c r="D586">
        <v>4.5</v>
      </c>
      <c r="E586">
        <f>(Master[[#This Row],[Happiness_Score]]*100)/10</f>
        <v>45</v>
      </c>
      <c r="F586">
        <v>0.53200000000000003</v>
      </c>
      <c r="G586">
        <f>(Master[[#This Row],[Economy_GDP_per_Capita]]*100)/2</f>
        <v>26.6</v>
      </c>
      <c r="H586">
        <v>0.85</v>
      </c>
      <c r="I586">
        <f>(Master[[#This Row],[Family]]*100)/2</f>
        <v>42.5</v>
      </c>
      <c r="J586">
        <v>0.57899999999999996</v>
      </c>
      <c r="K586">
        <f>(Master[[#This Row],[Health_Life_Expectancy]]*100)/2</f>
        <v>28.95</v>
      </c>
      <c r="L586" s="3">
        <v>0.57999999999999996</v>
      </c>
      <c r="M586" s="3">
        <v>0.14399999999999999</v>
      </c>
      <c r="N586" s="3">
        <v>0.153</v>
      </c>
    </row>
    <row r="587" spans="1:14" x14ac:dyDescent="0.25">
      <c r="A587">
        <v>2018</v>
      </c>
      <c r="B587" t="s">
        <v>145</v>
      </c>
      <c r="C587">
        <v>116</v>
      </c>
      <c r="D587">
        <v>4.4710000000000001</v>
      </c>
      <c r="E587">
        <f>(Master[[#This Row],[Happiness_Score]]*100)/10</f>
        <v>44.71</v>
      </c>
      <c r="F587">
        <v>0.91800000000000004</v>
      </c>
      <c r="G587">
        <f>(Master[[#This Row],[Economy_GDP_per_Capita]]*100)/2</f>
        <v>45.9</v>
      </c>
      <c r="H587">
        <v>1.3140000000000001</v>
      </c>
      <c r="I587">
        <f>(Master[[#This Row],[Family]]*100)/2</f>
        <v>65.7</v>
      </c>
      <c r="J587">
        <v>0.67200000000000004</v>
      </c>
      <c r="K587">
        <f>(Master[[#This Row],[Health_Life_Expectancy]]*100)/2</f>
        <v>33.6</v>
      </c>
      <c r="L587" s="3">
        <v>0.58499999999999996</v>
      </c>
      <c r="M587" s="3">
        <v>0.05</v>
      </c>
      <c r="N587" s="3">
        <v>0.307</v>
      </c>
    </row>
    <row r="588" spans="1:14" x14ac:dyDescent="0.25">
      <c r="A588">
        <v>2018</v>
      </c>
      <c r="B588" t="s">
        <v>125</v>
      </c>
      <c r="C588">
        <v>117</v>
      </c>
      <c r="D588">
        <v>4.4560000000000004</v>
      </c>
      <c r="E588">
        <f>(Master[[#This Row],[Happiness_Score]]*100)/10</f>
        <v>44.56</v>
      </c>
      <c r="F588">
        <v>1.01</v>
      </c>
      <c r="G588">
        <f>(Master[[#This Row],[Economy_GDP_per_Capita]]*100)/2</f>
        <v>50.5</v>
      </c>
      <c r="H588">
        <v>0.97099999999999997</v>
      </c>
      <c r="I588">
        <f>(Master[[#This Row],[Family]]*100)/2</f>
        <v>48.55</v>
      </c>
      <c r="J588">
        <v>0.53600000000000003</v>
      </c>
      <c r="K588">
        <f>(Master[[#This Row],[Health_Life_Expectancy]]*100)/2</f>
        <v>26.8</v>
      </c>
      <c r="L588" s="3">
        <v>0.30399999999999999</v>
      </c>
      <c r="M588" s="3">
        <v>9.5000000000000001E-2</v>
      </c>
      <c r="N588" s="3">
        <v>0.14799999999999999</v>
      </c>
    </row>
    <row r="589" spans="1:14" x14ac:dyDescent="0.25">
      <c r="A589">
        <v>2018</v>
      </c>
      <c r="B589" t="s">
        <v>151</v>
      </c>
      <c r="C589">
        <v>118</v>
      </c>
      <c r="D589">
        <v>4.4470000000000001</v>
      </c>
      <c r="E589">
        <f>(Master[[#This Row],[Happiness_Score]]*100)/10</f>
        <v>44.47</v>
      </c>
      <c r="F589">
        <v>0.37</v>
      </c>
      <c r="G589">
        <f>(Master[[#This Row],[Economy_GDP_per_Capita]]*100)/2</f>
        <v>18.5</v>
      </c>
      <c r="H589">
        <v>1.2330000000000001</v>
      </c>
      <c r="I589">
        <f>(Master[[#This Row],[Family]]*100)/2</f>
        <v>61.650000000000006</v>
      </c>
      <c r="J589">
        <v>0.152</v>
      </c>
      <c r="K589">
        <f>(Master[[#This Row],[Health_Life_Expectancy]]*100)/2</f>
        <v>7.6</v>
      </c>
      <c r="L589" s="3">
        <v>0.36699999999999999</v>
      </c>
      <c r="M589" s="3">
        <v>5.6000000000000001E-2</v>
      </c>
      <c r="N589" s="3">
        <v>0.13900000000000001</v>
      </c>
    </row>
    <row r="590" spans="1:14" x14ac:dyDescent="0.25">
      <c r="A590">
        <v>2018</v>
      </c>
      <c r="B590" t="s">
        <v>177</v>
      </c>
      <c r="C590">
        <v>119</v>
      </c>
      <c r="D590">
        <v>4.4409999999999998</v>
      </c>
      <c r="E590">
        <f>(Master[[#This Row],[Happiness_Score]]*100)/10</f>
        <v>44.41</v>
      </c>
      <c r="F590">
        <v>0.874</v>
      </c>
      <c r="G590">
        <f>(Master[[#This Row],[Economy_GDP_per_Capita]]*100)/2</f>
        <v>43.7</v>
      </c>
      <c r="H590">
        <v>1.2809999999999999</v>
      </c>
      <c r="I590">
        <f>(Master[[#This Row],[Family]]*100)/2</f>
        <v>64.05</v>
      </c>
      <c r="J590">
        <v>0.36499999999999999</v>
      </c>
      <c r="K590">
        <f>(Master[[#This Row],[Health_Life_Expectancy]]*100)/2</f>
        <v>18.25</v>
      </c>
      <c r="L590" s="3">
        <v>0.51900000000000002</v>
      </c>
      <c r="M590" s="3">
        <v>6.4000000000000001E-2</v>
      </c>
      <c r="N590" s="3">
        <v>5.0999999999999997E-2</v>
      </c>
    </row>
    <row r="591" spans="1:14" x14ac:dyDescent="0.25">
      <c r="A591">
        <v>2018</v>
      </c>
      <c r="B591" t="s">
        <v>158</v>
      </c>
      <c r="C591">
        <v>120</v>
      </c>
      <c r="D591">
        <v>4.4329999999999998</v>
      </c>
      <c r="E591">
        <f>(Master[[#This Row],[Happiness_Score]]*100)/10</f>
        <v>44.33</v>
      </c>
      <c r="F591">
        <v>0.54900000000000004</v>
      </c>
      <c r="G591">
        <f>(Master[[#This Row],[Economy_GDP_per_Capita]]*100)/2</f>
        <v>27.450000000000003</v>
      </c>
      <c r="H591">
        <v>1.0880000000000001</v>
      </c>
      <c r="I591">
        <f>(Master[[#This Row],[Family]]*100)/2</f>
        <v>54.400000000000006</v>
      </c>
      <c r="J591">
        <v>0.45700000000000002</v>
      </c>
      <c r="K591">
        <f>(Master[[#This Row],[Health_Life_Expectancy]]*100)/2</f>
        <v>22.85</v>
      </c>
      <c r="L591" s="3">
        <v>0.69599999999999995</v>
      </c>
      <c r="M591" s="3">
        <v>6.5000000000000002E-2</v>
      </c>
      <c r="N591" s="3">
        <v>0.25600000000000001</v>
      </c>
    </row>
    <row r="592" spans="1:14" x14ac:dyDescent="0.25">
      <c r="A592">
        <v>2018</v>
      </c>
      <c r="B592" t="s">
        <v>165</v>
      </c>
      <c r="C592">
        <v>121</v>
      </c>
      <c r="D592">
        <v>4.4240000000000004</v>
      </c>
      <c r="E592">
        <f>(Master[[#This Row],[Happiness_Score]]*100)/10</f>
        <v>44.24</v>
      </c>
      <c r="F592">
        <v>0.314</v>
      </c>
      <c r="G592">
        <f>(Master[[#This Row],[Economy_GDP_per_Capita]]*100)/2</f>
        <v>15.7</v>
      </c>
      <c r="H592">
        <v>1.097</v>
      </c>
      <c r="I592">
        <f>(Master[[#This Row],[Family]]*100)/2</f>
        <v>54.85</v>
      </c>
      <c r="J592">
        <v>0.254</v>
      </c>
      <c r="K592">
        <f>(Master[[#This Row],[Health_Life_Expectancy]]*100)/2</f>
        <v>12.7</v>
      </c>
      <c r="L592" s="3">
        <v>0.312</v>
      </c>
      <c r="M592" s="3">
        <v>0.128</v>
      </c>
      <c r="N592" s="3">
        <v>0.17499999999999999</v>
      </c>
    </row>
    <row r="593" spans="1:14" x14ac:dyDescent="0.25">
      <c r="A593">
        <v>2018</v>
      </c>
      <c r="B593" t="s">
        <v>148</v>
      </c>
      <c r="C593">
        <v>122</v>
      </c>
      <c r="D593">
        <v>4.4189999999999996</v>
      </c>
      <c r="E593">
        <f>(Master[[#This Row],[Happiness_Score]]*100)/10</f>
        <v>44.19</v>
      </c>
      <c r="F593">
        <v>0.88500000000000001</v>
      </c>
      <c r="G593">
        <f>(Master[[#This Row],[Economy_GDP_per_Capita]]*100)/2</f>
        <v>44.25</v>
      </c>
      <c r="H593">
        <v>1.0249999999999999</v>
      </c>
      <c r="I593">
        <f>(Master[[#This Row],[Family]]*100)/2</f>
        <v>51.249999999999993</v>
      </c>
      <c r="J593">
        <v>0.55300000000000005</v>
      </c>
      <c r="K593">
        <f>(Master[[#This Row],[Health_Life_Expectancy]]*100)/2</f>
        <v>27.650000000000002</v>
      </c>
      <c r="L593" s="3">
        <v>0.312</v>
      </c>
      <c r="M593" s="3">
        <v>0.107</v>
      </c>
      <c r="N593" s="3">
        <v>9.1999999999999998E-2</v>
      </c>
    </row>
    <row r="594" spans="1:14" x14ac:dyDescent="0.25">
      <c r="A594">
        <v>2018</v>
      </c>
      <c r="B594" t="s">
        <v>107</v>
      </c>
      <c r="C594">
        <v>123</v>
      </c>
      <c r="D594">
        <v>4.4169999999999998</v>
      </c>
      <c r="E594">
        <f>(Master[[#This Row],[Happiness_Score]]*100)/10</f>
        <v>44.17</v>
      </c>
      <c r="F594">
        <v>0.19800000000000001</v>
      </c>
      <c r="G594">
        <f>(Master[[#This Row],[Economy_GDP_per_Capita]]*100)/2</f>
        <v>9.9</v>
      </c>
      <c r="H594">
        <v>0.90200000000000002</v>
      </c>
      <c r="I594">
        <f>(Master[[#This Row],[Family]]*100)/2</f>
        <v>45.1</v>
      </c>
      <c r="J594">
        <v>0.17299999999999999</v>
      </c>
      <c r="K594">
        <f>(Master[[#This Row],[Health_Life_Expectancy]]*100)/2</f>
        <v>8.6499999999999986</v>
      </c>
      <c r="L594" s="3">
        <v>0.53100000000000003</v>
      </c>
      <c r="M594" s="3">
        <v>0.158</v>
      </c>
      <c r="N594" s="3">
        <v>0.20599999999999999</v>
      </c>
    </row>
    <row r="595" spans="1:14" x14ac:dyDescent="0.25">
      <c r="A595">
        <v>2018</v>
      </c>
      <c r="B595" t="s">
        <v>138</v>
      </c>
      <c r="C595">
        <v>124</v>
      </c>
      <c r="D595">
        <v>4.41</v>
      </c>
      <c r="E595">
        <f>(Master[[#This Row],[Happiness_Score]]*100)/10</f>
        <v>44.1</v>
      </c>
      <c r="F595">
        <v>0.49299999999999999</v>
      </c>
      <c r="G595">
        <f>(Master[[#This Row],[Economy_GDP_per_Capita]]*100)/2</f>
        <v>24.65</v>
      </c>
      <c r="H595">
        <v>1.048</v>
      </c>
      <c r="I595">
        <f>(Master[[#This Row],[Family]]*100)/2</f>
        <v>52.400000000000006</v>
      </c>
      <c r="J595">
        <v>0.45400000000000001</v>
      </c>
      <c r="K595">
        <f>(Master[[#This Row],[Health_Life_Expectancy]]*100)/2</f>
        <v>22.7</v>
      </c>
      <c r="L595" s="3">
        <v>0.504</v>
      </c>
      <c r="M595" s="3">
        <v>5.5E-2</v>
      </c>
      <c r="N595" s="3">
        <v>0.35199999999999998</v>
      </c>
    </row>
    <row r="596" spans="1:14" x14ac:dyDescent="0.25">
      <c r="A596">
        <v>2018</v>
      </c>
      <c r="B596" t="s">
        <v>98</v>
      </c>
      <c r="C596">
        <v>125</v>
      </c>
      <c r="D596">
        <v>4.3769999999999998</v>
      </c>
      <c r="E596">
        <f>(Master[[#This Row],[Happiness_Score]]*100)/10</f>
        <v>43.769999999999996</v>
      </c>
      <c r="F596">
        <v>0.56200000000000006</v>
      </c>
      <c r="G596">
        <f>(Master[[#This Row],[Economy_GDP_per_Capita]]*100)/2</f>
        <v>28.1</v>
      </c>
      <c r="H596">
        <v>1.0469999999999999</v>
      </c>
      <c r="I596">
        <f>(Master[[#This Row],[Family]]*100)/2</f>
        <v>52.349999999999994</v>
      </c>
      <c r="J596">
        <v>0.29499999999999998</v>
      </c>
      <c r="K596">
        <f>(Master[[#This Row],[Health_Life_Expectancy]]*100)/2</f>
        <v>14.75</v>
      </c>
      <c r="L596" s="3">
        <v>0.503</v>
      </c>
      <c r="M596" s="3">
        <v>8.2000000000000003E-2</v>
      </c>
      <c r="N596" s="3">
        <v>0.221</v>
      </c>
    </row>
    <row r="597" spans="1:14" x14ac:dyDescent="0.25">
      <c r="A597">
        <v>2018</v>
      </c>
      <c r="B597" t="s">
        <v>137</v>
      </c>
      <c r="C597">
        <v>126</v>
      </c>
      <c r="D597">
        <v>4.3559999999999999</v>
      </c>
      <c r="E597">
        <f>(Master[[#This Row],[Happiness_Score]]*100)/10</f>
        <v>43.559999999999995</v>
      </c>
      <c r="F597">
        <v>0.55700000000000005</v>
      </c>
      <c r="G597">
        <f>(Master[[#This Row],[Economy_GDP_per_Capita]]*100)/2</f>
        <v>27.85</v>
      </c>
      <c r="H597">
        <v>1.2450000000000001</v>
      </c>
      <c r="I597">
        <f>(Master[[#This Row],[Family]]*100)/2</f>
        <v>62.250000000000007</v>
      </c>
      <c r="J597">
        <v>0.29199999999999998</v>
      </c>
      <c r="K597">
        <f>(Master[[#This Row],[Health_Life_Expectancy]]*100)/2</f>
        <v>14.6</v>
      </c>
      <c r="L597" s="3">
        <v>0.129</v>
      </c>
      <c r="M597" s="3">
        <v>9.2999999999999999E-2</v>
      </c>
      <c r="N597" s="3">
        <v>0.13400000000000001</v>
      </c>
    </row>
    <row r="598" spans="1:14" x14ac:dyDescent="0.25">
      <c r="A598">
        <v>2018</v>
      </c>
      <c r="B598" t="s">
        <v>135</v>
      </c>
      <c r="C598">
        <v>127</v>
      </c>
      <c r="D598">
        <v>4.3499999999999996</v>
      </c>
      <c r="E598">
        <f>(Master[[#This Row],[Happiness_Score]]*100)/10</f>
        <v>43.499999999999993</v>
      </c>
      <c r="F598">
        <v>0.308</v>
      </c>
      <c r="G598">
        <f>(Master[[#This Row],[Economy_GDP_per_Capita]]*100)/2</f>
        <v>15.4</v>
      </c>
      <c r="H598">
        <v>0.95</v>
      </c>
      <c r="I598">
        <f>(Master[[#This Row],[Family]]*100)/2</f>
        <v>47.5</v>
      </c>
      <c r="J598">
        <v>0.39100000000000001</v>
      </c>
      <c r="K598">
        <f>(Master[[#This Row],[Health_Life_Expectancy]]*100)/2</f>
        <v>19.55</v>
      </c>
      <c r="L598" s="3">
        <v>0.45200000000000001</v>
      </c>
      <c r="M598" s="3">
        <v>0.14599999999999999</v>
      </c>
      <c r="N598" s="3">
        <v>0.22</v>
      </c>
    </row>
    <row r="599" spans="1:14" x14ac:dyDescent="0.25">
      <c r="A599">
        <v>2018</v>
      </c>
      <c r="B599" t="s">
        <v>143</v>
      </c>
      <c r="C599">
        <v>128</v>
      </c>
      <c r="D599">
        <v>4.34</v>
      </c>
      <c r="E599">
        <f>(Master[[#This Row],[Happiness_Score]]*100)/10</f>
        <v>43.4</v>
      </c>
      <c r="F599">
        <v>0.85299999999999998</v>
      </c>
      <c r="G599">
        <f>(Master[[#This Row],[Economy_GDP_per_Capita]]*100)/2</f>
        <v>42.65</v>
      </c>
      <c r="H599">
        <v>0.59199999999999997</v>
      </c>
      <c r="I599">
        <f>(Master[[#This Row],[Family]]*100)/2</f>
        <v>29.599999999999998</v>
      </c>
      <c r="J599">
        <v>0.64300000000000002</v>
      </c>
      <c r="K599">
        <f>(Master[[#This Row],[Health_Life_Expectancy]]*100)/2</f>
        <v>32.15</v>
      </c>
      <c r="L599" s="3">
        <v>0.375</v>
      </c>
      <c r="M599" s="3">
        <v>0.215</v>
      </c>
      <c r="N599" s="3">
        <v>3.7999999999999999E-2</v>
      </c>
    </row>
    <row r="600" spans="1:14" x14ac:dyDescent="0.25">
      <c r="A600">
        <v>2018</v>
      </c>
      <c r="B600" t="s">
        <v>140</v>
      </c>
      <c r="C600">
        <v>129</v>
      </c>
      <c r="D600">
        <v>4.3209999999999997</v>
      </c>
      <c r="E600">
        <f>(Master[[#This Row],[Happiness_Score]]*100)/10</f>
        <v>43.209999999999994</v>
      </c>
      <c r="F600">
        <v>0.81599999999999995</v>
      </c>
      <c r="G600">
        <f>(Master[[#This Row],[Economy_GDP_per_Capita]]*100)/2</f>
        <v>40.799999999999997</v>
      </c>
      <c r="H600">
        <v>0.99</v>
      </c>
      <c r="I600">
        <f>(Master[[#This Row],[Family]]*100)/2</f>
        <v>49.5</v>
      </c>
      <c r="J600">
        <v>0.66600000000000004</v>
      </c>
      <c r="K600">
        <f>(Master[[#This Row],[Health_Life_Expectancy]]*100)/2</f>
        <v>33.300000000000004</v>
      </c>
      <c r="L600" s="3">
        <v>0.26</v>
      </c>
      <c r="M600" s="3">
        <v>2.8000000000000001E-2</v>
      </c>
      <c r="N600" s="3">
        <v>7.6999999999999999E-2</v>
      </c>
    </row>
    <row r="601" spans="1:14" x14ac:dyDescent="0.25">
      <c r="A601">
        <v>2018</v>
      </c>
      <c r="B601" t="s">
        <v>142</v>
      </c>
      <c r="C601">
        <v>130</v>
      </c>
      <c r="D601">
        <v>4.3079999999999998</v>
      </c>
      <c r="E601">
        <f>(Master[[#This Row],[Happiness_Score]]*100)/10</f>
        <v>43.08</v>
      </c>
      <c r="F601">
        <v>0.68200000000000005</v>
      </c>
      <c r="G601">
        <f>(Master[[#This Row],[Economy_GDP_per_Capita]]*100)/2</f>
        <v>34.1</v>
      </c>
      <c r="H601">
        <v>1.1739999999999999</v>
      </c>
      <c r="I601">
        <f>(Master[[#This Row],[Family]]*100)/2</f>
        <v>58.699999999999996</v>
      </c>
      <c r="J601">
        <v>0.42899999999999999</v>
      </c>
      <c r="K601">
        <f>(Master[[#This Row],[Health_Life_Expectancy]]*100)/2</f>
        <v>21.45</v>
      </c>
      <c r="L601" s="3">
        <v>0.57999999999999996</v>
      </c>
      <c r="M601" s="3">
        <v>0.17799999999999999</v>
      </c>
      <c r="N601" s="3">
        <v>0.59799999999999998</v>
      </c>
    </row>
    <row r="602" spans="1:14" x14ac:dyDescent="0.25">
      <c r="A602">
        <v>2018</v>
      </c>
      <c r="B602" t="s">
        <v>162</v>
      </c>
      <c r="C602">
        <v>131</v>
      </c>
      <c r="D602">
        <v>4.3010000000000002</v>
      </c>
      <c r="E602">
        <f>(Master[[#This Row],[Happiness_Score]]*100)/10</f>
        <v>43.010000000000005</v>
      </c>
      <c r="F602">
        <v>0.35799999999999998</v>
      </c>
      <c r="G602">
        <f>(Master[[#This Row],[Economy_GDP_per_Capita]]*100)/2</f>
        <v>17.899999999999999</v>
      </c>
      <c r="H602">
        <v>0.90700000000000003</v>
      </c>
      <c r="I602">
        <f>(Master[[#This Row],[Family]]*100)/2</f>
        <v>45.35</v>
      </c>
      <c r="J602">
        <v>5.2999999999999999E-2</v>
      </c>
      <c r="K602">
        <f>(Master[[#This Row],[Health_Life_Expectancy]]*100)/2</f>
        <v>2.65</v>
      </c>
      <c r="L602" s="3">
        <v>0.189</v>
      </c>
      <c r="M602" s="3">
        <v>0.06</v>
      </c>
      <c r="N602" s="3">
        <v>0.18099999999999999</v>
      </c>
    </row>
    <row r="603" spans="1:14" x14ac:dyDescent="0.25">
      <c r="A603">
        <v>2018</v>
      </c>
      <c r="B603" t="s">
        <v>133</v>
      </c>
      <c r="C603">
        <v>132</v>
      </c>
      <c r="D603">
        <v>4.2450000000000001</v>
      </c>
      <c r="E603">
        <f>(Master[[#This Row],[Happiness_Score]]*100)/10</f>
        <v>42.45</v>
      </c>
      <c r="F603">
        <v>6.9000000000000006E-2</v>
      </c>
      <c r="G603">
        <f>(Master[[#This Row],[Economy_GDP_per_Capita]]*100)/2</f>
        <v>3.45</v>
      </c>
      <c r="H603">
        <v>1.1359999999999999</v>
      </c>
      <c r="I603">
        <f>(Master[[#This Row],[Family]]*100)/2</f>
        <v>56.8</v>
      </c>
      <c r="J603">
        <v>0.20399999999999999</v>
      </c>
      <c r="K603">
        <f>(Master[[#This Row],[Health_Life_Expectancy]]*100)/2</f>
        <v>10.199999999999999</v>
      </c>
      <c r="L603" s="3">
        <v>0.312</v>
      </c>
      <c r="M603" s="3">
        <v>5.1999999999999998E-2</v>
      </c>
      <c r="N603" s="3">
        <v>0.19700000000000001</v>
      </c>
    </row>
    <row r="604" spans="1:14" x14ac:dyDescent="0.25">
      <c r="A604">
        <v>2018</v>
      </c>
      <c r="B604" t="s">
        <v>130</v>
      </c>
      <c r="C604">
        <v>133</v>
      </c>
      <c r="D604">
        <v>4.1900000000000004</v>
      </c>
      <c r="E604">
        <f>(Master[[#This Row],[Happiness_Score]]*100)/10</f>
        <v>41.900000000000006</v>
      </c>
      <c r="F604">
        <v>0.72099999999999997</v>
      </c>
      <c r="G604">
        <f>(Master[[#This Row],[Economy_GDP_per_Capita]]*100)/2</f>
        <v>36.049999999999997</v>
      </c>
      <c r="H604">
        <v>0.747</v>
      </c>
      <c r="I604">
        <f>(Master[[#This Row],[Family]]*100)/2</f>
        <v>37.35</v>
      </c>
      <c r="J604">
        <v>0.48499999999999999</v>
      </c>
      <c r="K604">
        <f>(Master[[#This Row],[Health_Life_Expectancy]]*100)/2</f>
        <v>24.25</v>
      </c>
      <c r="L604" s="3">
        <v>0.53900000000000003</v>
      </c>
      <c r="M604" s="3">
        <v>9.2999999999999999E-2</v>
      </c>
      <c r="N604" s="3">
        <v>0.17199999999999999</v>
      </c>
    </row>
    <row r="605" spans="1:14" x14ac:dyDescent="0.25">
      <c r="A605">
        <v>2018</v>
      </c>
      <c r="B605" t="s">
        <v>157</v>
      </c>
      <c r="C605">
        <v>134</v>
      </c>
      <c r="D605">
        <v>4.1660000000000004</v>
      </c>
      <c r="E605">
        <f>(Master[[#This Row],[Happiness_Score]]*100)/10</f>
        <v>41.660000000000004</v>
      </c>
      <c r="F605">
        <v>0.13100000000000001</v>
      </c>
      <c r="G605">
        <f>(Master[[#This Row],[Economy_GDP_per_Capita]]*100)/2</f>
        <v>6.5500000000000007</v>
      </c>
      <c r="H605">
        <v>0.86699999999999999</v>
      </c>
      <c r="I605">
        <f>(Master[[#This Row],[Family]]*100)/2</f>
        <v>43.35</v>
      </c>
      <c r="J605">
        <v>0.221</v>
      </c>
      <c r="K605">
        <f>(Master[[#This Row],[Health_Life_Expectancy]]*100)/2</f>
        <v>11.05</v>
      </c>
      <c r="L605" s="3">
        <v>0.39</v>
      </c>
      <c r="M605" s="3">
        <v>9.9000000000000005E-2</v>
      </c>
      <c r="N605" s="3">
        <v>0.17499999999999999</v>
      </c>
    </row>
    <row r="606" spans="1:14" x14ac:dyDescent="0.25">
      <c r="A606">
        <v>2018</v>
      </c>
      <c r="B606" t="s">
        <v>154</v>
      </c>
      <c r="C606">
        <v>135</v>
      </c>
      <c r="D606">
        <v>4.1609999999999996</v>
      </c>
      <c r="E606">
        <f>(Master[[#This Row],[Happiness_Score]]*100)/10</f>
        <v>41.61</v>
      </c>
      <c r="F606">
        <v>0.32200000000000001</v>
      </c>
      <c r="G606">
        <f>(Master[[#This Row],[Economy_GDP_per_Capita]]*100)/2</f>
        <v>16.100000000000001</v>
      </c>
      <c r="H606">
        <v>1.0900000000000001</v>
      </c>
      <c r="I606">
        <f>(Master[[#This Row],[Family]]*100)/2</f>
        <v>54.500000000000007</v>
      </c>
      <c r="J606">
        <v>0.23699999999999999</v>
      </c>
      <c r="K606">
        <f>(Master[[#This Row],[Health_Life_Expectancy]]*100)/2</f>
        <v>11.85</v>
      </c>
      <c r="L606" s="3">
        <v>0.45</v>
      </c>
      <c r="M606" s="3">
        <v>6.0999999999999999E-2</v>
      </c>
      <c r="N606" s="3">
        <v>0.25900000000000001</v>
      </c>
    </row>
    <row r="607" spans="1:14" x14ac:dyDescent="0.25">
      <c r="A607">
        <v>2018</v>
      </c>
      <c r="B607" t="s">
        <v>168</v>
      </c>
      <c r="C607">
        <v>136</v>
      </c>
      <c r="D607">
        <v>4.141</v>
      </c>
      <c r="E607">
        <f>(Master[[#This Row],[Happiness_Score]]*100)/10</f>
        <v>41.410000000000004</v>
      </c>
      <c r="F607">
        <v>0.378</v>
      </c>
      <c r="G607">
        <f>(Master[[#This Row],[Economy_GDP_per_Capita]]*100)/2</f>
        <v>18.899999999999999</v>
      </c>
      <c r="H607">
        <v>0.372</v>
      </c>
      <c r="I607">
        <f>(Master[[#This Row],[Family]]*100)/2</f>
        <v>18.600000000000001</v>
      </c>
      <c r="J607">
        <v>0.24</v>
      </c>
      <c r="K607">
        <f>(Master[[#This Row],[Health_Life_Expectancy]]*100)/2</f>
        <v>12</v>
      </c>
      <c r="L607" s="3">
        <v>0.44</v>
      </c>
      <c r="M607" s="3">
        <v>6.7000000000000004E-2</v>
      </c>
      <c r="N607" s="3">
        <v>0.16300000000000001</v>
      </c>
    </row>
    <row r="608" spans="1:14" x14ac:dyDescent="0.25">
      <c r="A608">
        <v>2018</v>
      </c>
      <c r="B608" t="s">
        <v>131</v>
      </c>
      <c r="C608">
        <v>137</v>
      </c>
      <c r="D608">
        <v>4.1390000000000002</v>
      </c>
      <c r="E608">
        <f>(Master[[#This Row],[Happiness_Score]]*100)/10</f>
        <v>41.39</v>
      </c>
      <c r="F608">
        <v>0.60499999999999998</v>
      </c>
      <c r="G608">
        <f>(Master[[#This Row],[Economy_GDP_per_Capita]]*100)/2</f>
        <v>30.25</v>
      </c>
      <c r="H608">
        <v>1.24</v>
      </c>
      <c r="I608">
        <f>(Master[[#This Row],[Family]]*100)/2</f>
        <v>62</v>
      </c>
      <c r="J608">
        <v>0.312</v>
      </c>
      <c r="K608">
        <f>(Master[[#This Row],[Health_Life_Expectancy]]*100)/2</f>
        <v>15.6</v>
      </c>
      <c r="L608" s="3">
        <v>1.6E-2</v>
      </c>
      <c r="M608" s="3">
        <v>8.2000000000000003E-2</v>
      </c>
      <c r="N608" s="3">
        <v>0.13400000000000001</v>
      </c>
    </row>
    <row r="609" spans="1:14" x14ac:dyDescent="0.25">
      <c r="A609">
        <v>2018</v>
      </c>
      <c r="B609" t="s">
        <v>124</v>
      </c>
      <c r="C609">
        <v>138</v>
      </c>
      <c r="D609">
        <v>4.1029999999999998</v>
      </c>
      <c r="E609">
        <f>(Master[[#This Row],[Happiness_Score]]*100)/10</f>
        <v>41.029999999999994</v>
      </c>
      <c r="F609">
        <v>0.79300000000000004</v>
      </c>
      <c r="G609">
        <f>(Master[[#This Row],[Economy_GDP_per_Capita]]*100)/2</f>
        <v>39.65</v>
      </c>
      <c r="H609">
        <v>1.413</v>
      </c>
      <c r="I609">
        <f>(Master[[#This Row],[Family]]*100)/2</f>
        <v>70.650000000000006</v>
      </c>
      <c r="J609">
        <v>0.60899999999999999</v>
      </c>
      <c r="K609">
        <f>(Master[[#This Row],[Health_Life_Expectancy]]*100)/2</f>
        <v>30.45</v>
      </c>
      <c r="L609" s="3">
        <v>0.16300000000000001</v>
      </c>
      <c r="M609" s="3">
        <v>1.0999999999999999E-2</v>
      </c>
      <c r="N609" s="3">
        <v>0.187</v>
      </c>
    </row>
    <row r="610" spans="1:14" x14ac:dyDescent="0.25">
      <c r="A610">
        <v>2018</v>
      </c>
      <c r="B610" t="s">
        <v>171</v>
      </c>
      <c r="C610">
        <v>139</v>
      </c>
      <c r="D610">
        <v>3.9990000000000001</v>
      </c>
      <c r="E610">
        <f>(Master[[#This Row],[Happiness_Score]]*100)/10</f>
        <v>39.99</v>
      </c>
      <c r="F610">
        <v>0.25900000000000001</v>
      </c>
      <c r="G610">
        <f>(Master[[#This Row],[Economy_GDP_per_Capita]]*100)/2</f>
        <v>12.950000000000001</v>
      </c>
      <c r="H610">
        <v>0.47399999999999998</v>
      </c>
      <c r="I610">
        <f>(Master[[#This Row],[Family]]*100)/2</f>
        <v>23.7</v>
      </c>
      <c r="J610">
        <v>0.253</v>
      </c>
      <c r="K610">
        <f>(Master[[#This Row],[Health_Life_Expectancy]]*100)/2</f>
        <v>12.65</v>
      </c>
      <c r="L610" s="3">
        <v>0.434</v>
      </c>
      <c r="M610" s="3">
        <v>0.10100000000000001</v>
      </c>
      <c r="N610" s="3">
        <v>0.158</v>
      </c>
    </row>
    <row r="611" spans="1:14" x14ac:dyDescent="0.25">
      <c r="A611">
        <v>2018</v>
      </c>
      <c r="B611" t="s">
        <v>163</v>
      </c>
      <c r="C611">
        <v>140</v>
      </c>
      <c r="D611">
        <v>3.964</v>
      </c>
      <c r="E611">
        <f>(Master[[#This Row],[Happiness_Score]]*100)/10</f>
        <v>39.64</v>
      </c>
      <c r="F611">
        <v>0.34399999999999997</v>
      </c>
      <c r="G611">
        <f>(Master[[#This Row],[Economy_GDP_per_Capita]]*100)/2</f>
        <v>17.2</v>
      </c>
      <c r="H611">
        <v>0.79200000000000004</v>
      </c>
      <c r="I611">
        <f>(Master[[#This Row],[Family]]*100)/2</f>
        <v>39.6</v>
      </c>
      <c r="J611">
        <v>0.21099999999999999</v>
      </c>
      <c r="K611">
        <f>(Master[[#This Row],[Health_Life_Expectancy]]*100)/2</f>
        <v>10.549999999999999</v>
      </c>
      <c r="L611" s="3">
        <v>0.39400000000000002</v>
      </c>
      <c r="M611" s="3">
        <v>9.4E-2</v>
      </c>
      <c r="N611" s="3">
        <v>0.185</v>
      </c>
    </row>
    <row r="612" spans="1:14" x14ac:dyDescent="0.25">
      <c r="A612">
        <v>2018</v>
      </c>
      <c r="B612" t="s">
        <v>110</v>
      </c>
      <c r="C612">
        <v>141</v>
      </c>
      <c r="D612">
        <v>3.8079999999999998</v>
      </c>
      <c r="E612">
        <f>(Master[[#This Row],[Happiness_Score]]*100)/10</f>
        <v>38.08</v>
      </c>
      <c r="F612">
        <v>0.47199999999999998</v>
      </c>
      <c r="G612">
        <f>(Master[[#This Row],[Economy_GDP_per_Capita]]*100)/2</f>
        <v>23.599999999999998</v>
      </c>
      <c r="H612">
        <v>1.2150000000000001</v>
      </c>
      <c r="I612">
        <f>(Master[[#This Row],[Family]]*100)/2</f>
        <v>60.750000000000007</v>
      </c>
      <c r="J612">
        <v>7.9000000000000001E-2</v>
      </c>
      <c r="K612">
        <f>(Master[[#This Row],[Health_Life_Expectancy]]*100)/2</f>
        <v>3.95</v>
      </c>
      <c r="L612" s="3">
        <v>0.42299999999999999</v>
      </c>
      <c r="M612" s="3">
        <v>0.112</v>
      </c>
      <c r="N612" s="3">
        <v>0.11600000000000001</v>
      </c>
    </row>
    <row r="613" spans="1:14" x14ac:dyDescent="0.25">
      <c r="A613">
        <v>2018</v>
      </c>
      <c r="B613" t="s">
        <v>150</v>
      </c>
      <c r="C613">
        <v>142</v>
      </c>
      <c r="D613">
        <v>3.7949999999999999</v>
      </c>
      <c r="E613">
        <f>(Master[[#This Row],[Happiness_Score]]*100)/10</f>
        <v>37.950000000000003</v>
      </c>
      <c r="F613">
        <v>0.73</v>
      </c>
      <c r="G613">
        <f>(Master[[#This Row],[Economy_GDP_per_Capita]]*100)/2</f>
        <v>36.5</v>
      </c>
      <c r="H613">
        <v>1.125</v>
      </c>
      <c r="I613">
        <f>(Master[[#This Row],[Family]]*100)/2</f>
        <v>56.25</v>
      </c>
      <c r="J613">
        <v>0.26900000000000002</v>
      </c>
      <c r="K613">
        <f>(Master[[#This Row],[Health_Life_Expectancy]]*100)/2</f>
        <v>13.450000000000001</v>
      </c>
      <c r="L613" s="3">
        <v>0</v>
      </c>
      <c r="M613" s="3">
        <v>6.0999999999999999E-2</v>
      </c>
      <c r="N613" s="3">
        <v>7.9000000000000001E-2</v>
      </c>
    </row>
    <row r="614" spans="1:14" x14ac:dyDescent="0.25">
      <c r="A614">
        <v>2018</v>
      </c>
      <c r="B614" t="s">
        <v>160</v>
      </c>
      <c r="C614">
        <v>143</v>
      </c>
      <c r="D614">
        <v>3.774</v>
      </c>
      <c r="E614">
        <f>(Master[[#This Row],[Happiness_Score]]*100)/10</f>
        <v>37.739999999999995</v>
      </c>
      <c r="F614">
        <v>0.26200000000000001</v>
      </c>
      <c r="G614">
        <f>(Master[[#This Row],[Economy_GDP_per_Capita]]*100)/2</f>
        <v>13.100000000000001</v>
      </c>
      <c r="H614">
        <v>0.90800000000000003</v>
      </c>
      <c r="I614">
        <f>(Master[[#This Row],[Family]]*100)/2</f>
        <v>45.4</v>
      </c>
      <c r="J614">
        <v>0.40200000000000002</v>
      </c>
      <c r="K614">
        <f>(Master[[#This Row],[Health_Life_Expectancy]]*100)/2</f>
        <v>20.100000000000001</v>
      </c>
      <c r="L614" s="3">
        <v>0.221</v>
      </c>
      <c r="M614" s="3">
        <v>4.9000000000000002E-2</v>
      </c>
      <c r="N614" s="3">
        <v>0.155</v>
      </c>
    </row>
    <row r="615" spans="1:14" x14ac:dyDescent="0.25">
      <c r="A615">
        <v>2018</v>
      </c>
      <c r="B615" t="s">
        <v>128</v>
      </c>
      <c r="C615">
        <v>144</v>
      </c>
      <c r="D615">
        <v>3.6920000000000002</v>
      </c>
      <c r="E615">
        <f>(Master[[#This Row],[Happiness_Score]]*100)/10</f>
        <v>36.92</v>
      </c>
      <c r="F615">
        <v>0.35699999999999998</v>
      </c>
      <c r="G615">
        <f>(Master[[#This Row],[Economy_GDP_per_Capita]]*100)/2</f>
        <v>17.849999999999998</v>
      </c>
      <c r="H615">
        <v>1.0940000000000001</v>
      </c>
      <c r="I615">
        <f>(Master[[#This Row],[Family]]*100)/2</f>
        <v>54.7</v>
      </c>
      <c r="J615">
        <v>0.248</v>
      </c>
      <c r="K615">
        <f>(Master[[#This Row],[Health_Life_Expectancy]]*100)/2</f>
        <v>12.4</v>
      </c>
      <c r="L615" s="3">
        <v>0.40600000000000003</v>
      </c>
      <c r="M615" s="3">
        <v>9.9000000000000005E-2</v>
      </c>
      <c r="N615" s="3">
        <v>0.13200000000000001</v>
      </c>
    </row>
    <row r="616" spans="1:14" x14ac:dyDescent="0.25">
      <c r="A616">
        <v>2018</v>
      </c>
      <c r="B616" t="s">
        <v>166</v>
      </c>
      <c r="C616">
        <v>145</v>
      </c>
      <c r="D616">
        <v>3.6320000000000001</v>
      </c>
      <c r="E616">
        <f>(Master[[#This Row],[Happiness_Score]]*100)/10</f>
        <v>36.32</v>
      </c>
      <c r="F616">
        <v>0.33200000000000002</v>
      </c>
      <c r="G616">
        <f>(Master[[#This Row],[Economy_GDP_per_Capita]]*100)/2</f>
        <v>16.600000000000001</v>
      </c>
      <c r="H616">
        <v>0.53700000000000003</v>
      </c>
      <c r="I616">
        <f>(Master[[#This Row],[Family]]*100)/2</f>
        <v>26.85</v>
      </c>
      <c r="J616">
        <v>0.255</v>
      </c>
      <c r="K616">
        <f>(Master[[#This Row],[Health_Life_Expectancy]]*100)/2</f>
        <v>12.75</v>
      </c>
      <c r="L616" s="3">
        <v>8.5000000000000006E-2</v>
      </c>
      <c r="M616" s="3">
        <v>3.5999999999999997E-2</v>
      </c>
      <c r="N616" s="3">
        <v>0.191</v>
      </c>
    </row>
    <row r="617" spans="1:14" x14ac:dyDescent="0.25">
      <c r="A617">
        <v>2018</v>
      </c>
      <c r="B617" t="s">
        <v>141</v>
      </c>
      <c r="C617">
        <v>146</v>
      </c>
      <c r="D617">
        <v>3.59</v>
      </c>
      <c r="E617">
        <f>(Master[[#This Row],[Happiness_Score]]*100)/10</f>
        <v>35.9</v>
      </c>
      <c r="F617">
        <v>1.0169999999999999</v>
      </c>
      <c r="G617">
        <f>(Master[[#This Row],[Economy_GDP_per_Capita]]*100)/2</f>
        <v>50.849999999999994</v>
      </c>
      <c r="H617">
        <v>1.1739999999999999</v>
      </c>
      <c r="I617">
        <f>(Master[[#This Row],[Family]]*100)/2</f>
        <v>58.699999999999996</v>
      </c>
      <c r="J617">
        <v>0.41699999999999998</v>
      </c>
      <c r="K617">
        <f>(Master[[#This Row],[Health_Life_Expectancy]]*100)/2</f>
        <v>20.849999999999998</v>
      </c>
      <c r="L617" s="3">
        <v>0.55700000000000005</v>
      </c>
      <c r="M617" s="3">
        <v>9.1999999999999998E-2</v>
      </c>
      <c r="N617" s="3">
        <v>4.2000000000000003E-2</v>
      </c>
    </row>
    <row r="618" spans="1:14" x14ac:dyDescent="0.25">
      <c r="A618">
        <v>2018</v>
      </c>
      <c r="B618" t="s">
        <v>144</v>
      </c>
      <c r="C618">
        <v>147</v>
      </c>
      <c r="D618">
        <v>3.5870000000000002</v>
      </c>
      <c r="E618">
        <f>(Master[[#This Row],[Happiness_Score]]*100)/10</f>
        <v>35.870000000000005</v>
      </c>
      <c r="F618">
        <v>0.186</v>
      </c>
      <c r="G618">
        <f>(Master[[#This Row],[Economy_GDP_per_Capita]]*100)/2</f>
        <v>9.3000000000000007</v>
      </c>
      <c r="H618">
        <v>0.54100000000000004</v>
      </c>
      <c r="I618">
        <f>(Master[[#This Row],[Family]]*100)/2</f>
        <v>27.05</v>
      </c>
      <c r="J618">
        <v>0.30599999999999999</v>
      </c>
      <c r="K618">
        <f>(Master[[#This Row],[Health_Life_Expectancy]]*100)/2</f>
        <v>15.299999999999999</v>
      </c>
      <c r="L618" s="3">
        <v>0.53100000000000003</v>
      </c>
      <c r="M618" s="3">
        <v>0.08</v>
      </c>
      <c r="N618" s="3">
        <v>0.21</v>
      </c>
    </row>
    <row r="619" spans="1:14" x14ac:dyDescent="0.25">
      <c r="A619">
        <v>2018</v>
      </c>
      <c r="B619" t="s">
        <v>132</v>
      </c>
      <c r="C619">
        <v>148</v>
      </c>
      <c r="D619">
        <v>3.5819999999999999</v>
      </c>
      <c r="E619">
        <f>(Master[[#This Row],[Happiness_Score]]*100)/10</f>
        <v>35.82</v>
      </c>
      <c r="F619">
        <v>0.315</v>
      </c>
      <c r="G619">
        <f>(Master[[#This Row],[Economy_GDP_per_Capita]]*100)/2</f>
        <v>15.75</v>
      </c>
      <c r="H619">
        <v>0.71399999999999997</v>
      </c>
      <c r="I619">
        <f>(Master[[#This Row],[Family]]*100)/2</f>
        <v>35.699999999999996</v>
      </c>
      <c r="J619">
        <v>0.28899999999999998</v>
      </c>
      <c r="K619">
        <f>(Master[[#This Row],[Health_Life_Expectancy]]*100)/2</f>
        <v>14.45</v>
      </c>
      <c r="L619" s="3">
        <v>2.5000000000000001E-2</v>
      </c>
      <c r="M619" s="3">
        <v>0.104</v>
      </c>
      <c r="N619" s="3">
        <v>0.39200000000000002</v>
      </c>
    </row>
    <row r="620" spans="1:14" x14ac:dyDescent="0.25">
      <c r="A620">
        <v>2018</v>
      </c>
      <c r="B620" t="s">
        <v>129</v>
      </c>
      <c r="C620">
        <v>149</v>
      </c>
      <c r="D620">
        <v>3.4950000000000001</v>
      </c>
      <c r="E620">
        <f>(Master[[#This Row],[Happiness_Score]]*100)/10</f>
        <v>34.950000000000003</v>
      </c>
      <c r="F620">
        <v>7.5999999999999998E-2</v>
      </c>
      <c r="G620">
        <f>(Master[[#This Row],[Economy_GDP_per_Capita]]*100)/2</f>
        <v>3.8</v>
      </c>
      <c r="H620">
        <v>0.85799999999999998</v>
      </c>
      <c r="I620">
        <f>(Master[[#This Row],[Family]]*100)/2</f>
        <v>42.9</v>
      </c>
      <c r="J620">
        <v>0.26700000000000002</v>
      </c>
      <c r="K620">
        <f>(Master[[#This Row],[Health_Life_Expectancy]]*100)/2</f>
        <v>13.350000000000001</v>
      </c>
      <c r="L620" s="3">
        <v>0.41899999999999998</v>
      </c>
      <c r="M620" s="3">
        <v>0.03</v>
      </c>
      <c r="N620" s="3">
        <v>0.20599999999999999</v>
      </c>
    </row>
    <row r="621" spans="1:14" x14ac:dyDescent="0.25">
      <c r="A621">
        <v>2018</v>
      </c>
      <c r="B621" t="s">
        <v>169</v>
      </c>
      <c r="C621">
        <v>150</v>
      </c>
      <c r="D621">
        <v>3.4620000000000002</v>
      </c>
      <c r="E621">
        <f>(Master[[#This Row],[Happiness_Score]]*100)/10</f>
        <v>34.620000000000005</v>
      </c>
      <c r="F621">
        <v>0.68899999999999995</v>
      </c>
      <c r="G621">
        <f>(Master[[#This Row],[Economy_GDP_per_Capita]]*100)/2</f>
        <v>34.449999999999996</v>
      </c>
      <c r="H621">
        <v>0.38200000000000001</v>
      </c>
      <c r="I621">
        <f>(Master[[#This Row],[Family]]*100)/2</f>
        <v>19.100000000000001</v>
      </c>
      <c r="J621">
        <v>0.53900000000000003</v>
      </c>
      <c r="K621">
        <f>(Master[[#This Row],[Health_Life_Expectancy]]*100)/2</f>
        <v>26.950000000000003</v>
      </c>
      <c r="L621" s="3">
        <v>8.7999999999999995E-2</v>
      </c>
      <c r="M621" s="3">
        <v>0.14399999999999999</v>
      </c>
      <c r="N621" s="3">
        <v>0.376</v>
      </c>
    </row>
    <row r="622" spans="1:14" x14ac:dyDescent="0.25">
      <c r="A622">
        <v>2018</v>
      </c>
      <c r="B622" t="s">
        <v>167</v>
      </c>
      <c r="C622">
        <v>151</v>
      </c>
      <c r="D622">
        <v>3.4079999999999999</v>
      </c>
      <c r="E622">
        <f>(Master[[#This Row],[Happiness_Score]]*100)/10</f>
        <v>34.08</v>
      </c>
      <c r="F622">
        <v>0.33200000000000002</v>
      </c>
      <c r="G622">
        <f>(Master[[#This Row],[Economy_GDP_per_Capita]]*100)/2</f>
        <v>16.600000000000001</v>
      </c>
      <c r="H622">
        <v>0.89600000000000002</v>
      </c>
      <c r="I622">
        <f>(Master[[#This Row],[Family]]*100)/2</f>
        <v>44.800000000000004</v>
      </c>
      <c r="J622">
        <v>0.4</v>
      </c>
      <c r="K622">
        <f>(Master[[#This Row],[Health_Life_Expectancy]]*100)/2</f>
        <v>20</v>
      </c>
      <c r="L622" s="3">
        <v>0.63600000000000001</v>
      </c>
      <c r="M622" s="3">
        <v>0.44400000000000001</v>
      </c>
      <c r="N622" s="3">
        <v>0.2</v>
      </c>
    </row>
    <row r="623" spans="1:14" x14ac:dyDescent="0.25">
      <c r="A623">
        <v>2018</v>
      </c>
      <c r="B623" t="s">
        <v>149</v>
      </c>
      <c r="C623">
        <v>152</v>
      </c>
      <c r="D623">
        <v>3.355</v>
      </c>
      <c r="E623">
        <f>(Master[[#This Row],[Happiness_Score]]*100)/10</f>
        <v>33.549999999999997</v>
      </c>
      <c r="F623">
        <v>0.442</v>
      </c>
      <c r="G623">
        <f>(Master[[#This Row],[Economy_GDP_per_Capita]]*100)/2</f>
        <v>22.1</v>
      </c>
      <c r="H623">
        <v>1.073</v>
      </c>
      <c r="I623">
        <f>(Master[[#This Row],[Family]]*100)/2</f>
        <v>53.65</v>
      </c>
      <c r="J623">
        <v>0.34300000000000003</v>
      </c>
      <c r="K623">
        <f>(Master[[#This Row],[Health_Life_Expectancy]]*100)/2</f>
        <v>17.150000000000002</v>
      </c>
      <c r="L623" s="3">
        <v>0.24399999999999999</v>
      </c>
      <c r="M623" s="3">
        <v>6.4000000000000001E-2</v>
      </c>
      <c r="N623" s="3">
        <v>8.3000000000000004E-2</v>
      </c>
    </row>
    <row r="624" spans="1:14" x14ac:dyDescent="0.25">
      <c r="A624">
        <v>2018</v>
      </c>
      <c r="B624" t="s">
        <v>159</v>
      </c>
      <c r="C624">
        <v>153</v>
      </c>
      <c r="D624">
        <v>3.3029999999999999</v>
      </c>
      <c r="E624">
        <f>(Master[[#This Row],[Happiness_Score]]*100)/10</f>
        <v>33.03</v>
      </c>
      <c r="F624">
        <v>0.45500000000000002</v>
      </c>
      <c r="G624">
        <f>(Master[[#This Row],[Economy_GDP_per_Capita]]*100)/2</f>
        <v>22.75</v>
      </c>
      <c r="H624">
        <v>0.99099999999999999</v>
      </c>
      <c r="I624">
        <f>(Master[[#This Row],[Family]]*100)/2</f>
        <v>49.55</v>
      </c>
      <c r="J624">
        <v>0.38100000000000001</v>
      </c>
      <c r="K624">
        <f>(Master[[#This Row],[Health_Life_Expectancy]]*100)/2</f>
        <v>19.05</v>
      </c>
      <c r="L624" s="3">
        <v>0.48099999999999998</v>
      </c>
      <c r="M624" s="3">
        <v>9.7000000000000003E-2</v>
      </c>
      <c r="N624" s="3">
        <v>0.27</v>
      </c>
    </row>
    <row r="625" spans="1:14" x14ac:dyDescent="0.25">
      <c r="A625">
        <v>2018</v>
      </c>
      <c r="B625" t="s">
        <v>178</v>
      </c>
      <c r="C625">
        <v>154</v>
      </c>
      <c r="D625">
        <v>3.254</v>
      </c>
      <c r="E625">
        <f>(Master[[#This Row],[Happiness_Score]]*100)/10</f>
        <v>32.54</v>
      </c>
      <c r="F625">
        <v>0.33700000000000002</v>
      </c>
      <c r="G625">
        <f>(Master[[#This Row],[Economy_GDP_per_Capita]]*100)/2</f>
        <v>16.850000000000001</v>
      </c>
      <c r="H625">
        <v>0.60799999999999998</v>
      </c>
      <c r="I625">
        <f>(Master[[#This Row],[Family]]*100)/2</f>
        <v>30.4</v>
      </c>
      <c r="J625">
        <v>0.17699999999999999</v>
      </c>
      <c r="K625">
        <f>(Master[[#This Row],[Health_Life_Expectancy]]*100)/2</f>
        <v>8.85</v>
      </c>
      <c r="L625" s="3">
        <v>0.112</v>
      </c>
      <c r="M625" s="3">
        <v>0.106</v>
      </c>
      <c r="N625" s="3">
        <v>0.224</v>
      </c>
    </row>
    <row r="626" spans="1:14" x14ac:dyDescent="0.25">
      <c r="A626">
        <v>2018</v>
      </c>
      <c r="B626" t="s">
        <v>161</v>
      </c>
      <c r="C626">
        <v>155</v>
      </c>
      <c r="D626">
        <v>3.0830000000000002</v>
      </c>
      <c r="E626">
        <f>(Master[[#This Row],[Happiness_Score]]*100)/10</f>
        <v>30.830000000000002</v>
      </c>
      <c r="F626">
        <v>2.4E-2</v>
      </c>
      <c r="G626">
        <f>(Master[[#This Row],[Economy_GDP_per_Capita]]*100)/2</f>
        <v>1.2</v>
      </c>
      <c r="H626">
        <v>0</v>
      </c>
      <c r="I626">
        <f>(Master[[#This Row],[Family]]*100)/2</f>
        <v>0</v>
      </c>
      <c r="J626">
        <v>0.01</v>
      </c>
      <c r="K626">
        <f>(Master[[#This Row],[Health_Life_Expectancy]]*100)/2</f>
        <v>0.5</v>
      </c>
      <c r="L626" s="3">
        <v>0.30499999999999999</v>
      </c>
      <c r="M626" s="3">
        <v>3.7999999999999999E-2</v>
      </c>
      <c r="N626" s="3">
        <v>0.218</v>
      </c>
    </row>
    <row r="627" spans="1:14" x14ac:dyDescent="0.25">
      <c r="A627">
        <v>2018</v>
      </c>
      <c r="B627" t="s">
        <v>170</v>
      </c>
      <c r="C627">
        <v>156</v>
      </c>
      <c r="D627">
        <v>2.9049999999999998</v>
      </c>
      <c r="E627">
        <f>(Master[[#This Row],[Happiness_Score]]*100)/10</f>
        <v>29.05</v>
      </c>
      <c r="F627">
        <v>9.0999999999999998E-2</v>
      </c>
      <c r="G627">
        <f>(Master[[#This Row],[Economy_GDP_per_Capita]]*100)/2</f>
        <v>4.55</v>
      </c>
      <c r="H627">
        <v>0.627</v>
      </c>
      <c r="I627">
        <f>(Master[[#This Row],[Family]]*100)/2</f>
        <v>31.35</v>
      </c>
      <c r="J627">
        <v>0.14499999999999999</v>
      </c>
      <c r="K627">
        <f>(Master[[#This Row],[Health_Life_Expectancy]]*100)/2</f>
        <v>7.2499999999999991</v>
      </c>
      <c r="L627" s="3">
        <v>6.5000000000000002E-2</v>
      </c>
      <c r="M627" s="3">
        <v>7.5999999999999998E-2</v>
      </c>
      <c r="N627" s="3">
        <v>0.14899999999999999</v>
      </c>
    </row>
    <row r="628" spans="1:14" x14ac:dyDescent="0.25">
      <c r="A628">
        <v>2019</v>
      </c>
      <c r="B628" t="s">
        <v>11</v>
      </c>
      <c r="C628">
        <v>1</v>
      </c>
      <c r="D628">
        <v>7.7690000000000001</v>
      </c>
      <c r="E628">
        <f>(Master[[#This Row],[Happiness_Score]]*100)/10</f>
        <v>77.69</v>
      </c>
      <c r="F628">
        <v>1.34</v>
      </c>
      <c r="G628">
        <f>(Master[[#This Row],[Economy_GDP_per_Capita]]*100)/2</f>
        <v>67</v>
      </c>
      <c r="H628">
        <v>1.587</v>
      </c>
      <c r="I628">
        <f>(Master[[#This Row],[Family]]*100)/2</f>
        <v>79.349999999999994</v>
      </c>
      <c r="J628">
        <v>0.98599999999999999</v>
      </c>
      <c r="K628">
        <f>(Master[[#This Row],[Health_Life_Expectancy]]*100)/2</f>
        <v>49.3</v>
      </c>
      <c r="L628" s="3">
        <v>0.59599999999999997</v>
      </c>
      <c r="M628" s="3">
        <v>0.39300000000000002</v>
      </c>
      <c r="N628" s="3">
        <v>0.153</v>
      </c>
    </row>
    <row r="629" spans="1:14" x14ac:dyDescent="0.25">
      <c r="A629">
        <v>2019</v>
      </c>
      <c r="B629" t="s">
        <v>7</v>
      </c>
      <c r="C629">
        <v>2</v>
      </c>
      <c r="D629">
        <v>7.6</v>
      </c>
      <c r="E629">
        <f>(Master[[#This Row],[Happiness_Score]]*100)/10</f>
        <v>76</v>
      </c>
      <c r="F629">
        <v>1.383</v>
      </c>
      <c r="G629">
        <f>(Master[[#This Row],[Economy_GDP_per_Capita]]*100)/2</f>
        <v>69.150000000000006</v>
      </c>
      <c r="H629">
        <v>1.573</v>
      </c>
      <c r="I629">
        <f>(Master[[#This Row],[Family]]*100)/2</f>
        <v>78.649999999999991</v>
      </c>
      <c r="J629">
        <v>0.996</v>
      </c>
      <c r="K629">
        <f>(Master[[#This Row],[Health_Life_Expectancy]]*100)/2</f>
        <v>49.8</v>
      </c>
      <c r="L629" s="3">
        <v>0.59199999999999997</v>
      </c>
      <c r="M629" s="3">
        <v>0.41</v>
      </c>
      <c r="N629" s="3">
        <v>0.252</v>
      </c>
    </row>
    <row r="630" spans="1:14" x14ac:dyDescent="0.25">
      <c r="A630">
        <v>2019</v>
      </c>
      <c r="B630" t="s">
        <v>8</v>
      </c>
      <c r="C630">
        <v>3</v>
      </c>
      <c r="D630">
        <v>7.5540000000000003</v>
      </c>
      <c r="E630">
        <f>(Master[[#This Row],[Happiness_Score]]*100)/10</f>
        <v>75.539999999999992</v>
      </c>
      <c r="F630">
        <v>1.488</v>
      </c>
      <c r="G630">
        <f>(Master[[#This Row],[Economy_GDP_per_Capita]]*100)/2</f>
        <v>74.400000000000006</v>
      </c>
      <c r="H630">
        <v>1.5820000000000001</v>
      </c>
      <c r="I630">
        <f>(Master[[#This Row],[Family]]*100)/2</f>
        <v>79.100000000000009</v>
      </c>
      <c r="J630">
        <v>1.028</v>
      </c>
      <c r="K630">
        <f>(Master[[#This Row],[Health_Life_Expectancy]]*100)/2</f>
        <v>51.4</v>
      </c>
      <c r="L630" s="3">
        <v>0.60299999999999998</v>
      </c>
      <c r="M630" s="3">
        <v>0.34100000000000003</v>
      </c>
      <c r="N630" s="3">
        <v>0.27100000000000002</v>
      </c>
    </row>
    <row r="631" spans="1:14" x14ac:dyDescent="0.25">
      <c r="A631">
        <v>2019</v>
      </c>
      <c r="B631" t="s">
        <v>6</v>
      </c>
      <c r="C631">
        <v>4</v>
      </c>
      <c r="D631">
        <v>7.4939999999999998</v>
      </c>
      <c r="E631">
        <f>(Master[[#This Row],[Happiness_Score]]*100)/10</f>
        <v>74.94</v>
      </c>
      <c r="F631">
        <v>1.38</v>
      </c>
      <c r="G631">
        <f>(Master[[#This Row],[Economy_GDP_per_Capita]]*100)/2</f>
        <v>69</v>
      </c>
      <c r="H631">
        <v>1.6240000000000001</v>
      </c>
      <c r="I631">
        <f>(Master[[#This Row],[Family]]*100)/2</f>
        <v>81.2</v>
      </c>
      <c r="J631">
        <v>1.026</v>
      </c>
      <c r="K631">
        <f>(Master[[#This Row],[Health_Life_Expectancy]]*100)/2</f>
        <v>51.300000000000004</v>
      </c>
      <c r="L631" s="3">
        <v>0.59099999999999997</v>
      </c>
      <c r="M631" s="3">
        <v>0.11799999999999999</v>
      </c>
      <c r="N631" s="3">
        <v>0.35399999999999998</v>
      </c>
    </row>
    <row r="632" spans="1:14" x14ac:dyDescent="0.25">
      <c r="A632">
        <v>2019</v>
      </c>
      <c r="B632" t="s">
        <v>12</v>
      </c>
      <c r="C632">
        <v>5</v>
      </c>
      <c r="D632">
        <v>7.4880000000000004</v>
      </c>
      <c r="E632">
        <f>(Master[[#This Row],[Happiness_Score]]*100)/10</f>
        <v>74.88000000000001</v>
      </c>
      <c r="F632">
        <v>1.3959999999999999</v>
      </c>
      <c r="G632">
        <f>(Master[[#This Row],[Economy_GDP_per_Capita]]*100)/2</f>
        <v>69.8</v>
      </c>
      <c r="H632">
        <v>1.522</v>
      </c>
      <c r="I632">
        <f>(Master[[#This Row],[Family]]*100)/2</f>
        <v>76.099999999999994</v>
      </c>
      <c r="J632">
        <v>0.999</v>
      </c>
      <c r="K632">
        <f>(Master[[#This Row],[Health_Life_Expectancy]]*100)/2</f>
        <v>49.95</v>
      </c>
      <c r="L632" s="3">
        <v>0.55700000000000005</v>
      </c>
      <c r="M632" s="3">
        <v>0.29799999999999999</v>
      </c>
      <c r="N632" s="3">
        <v>0.32200000000000001</v>
      </c>
    </row>
    <row r="633" spans="1:14" x14ac:dyDescent="0.25">
      <c r="A633">
        <v>2019</v>
      </c>
      <c r="B633" t="s">
        <v>4</v>
      </c>
      <c r="C633">
        <v>6</v>
      </c>
      <c r="D633">
        <v>7.48</v>
      </c>
      <c r="E633">
        <f>(Master[[#This Row],[Happiness_Score]]*100)/10</f>
        <v>74.8</v>
      </c>
      <c r="F633">
        <v>1.452</v>
      </c>
      <c r="G633">
        <f>(Master[[#This Row],[Economy_GDP_per_Capita]]*100)/2</f>
        <v>72.599999999999994</v>
      </c>
      <c r="H633">
        <v>1.526</v>
      </c>
      <c r="I633">
        <f>(Master[[#This Row],[Family]]*100)/2</f>
        <v>76.3</v>
      </c>
      <c r="J633">
        <v>1.052</v>
      </c>
      <c r="K633">
        <f>(Master[[#This Row],[Health_Life_Expectancy]]*100)/2</f>
        <v>52.6</v>
      </c>
      <c r="L633" s="3">
        <v>0.57199999999999995</v>
      </c>
      <c r="M633" s="3">
        <v>0.34300000000000003</v>
      </c>
      <c r="N633" s="3">
        <v>0.26300000000000001</v>
      </c>
    </row>
    <row r="634" spans="1:14" x14ac:dyDescent="0.25">
      <c r="A634">
        <v>2019</v>
      </c>
      <c r="B634" t="s">
        <v>13</v>
      </c>
      <c r="C634">
        <v>7</v>
      </c>
      <c r="D634">
        <v>7.343</v>
      </c>
      <c r="E634">
        <f>(Master[[#This Row],[Happiness_Score]]*100)/10</f>
        <v>73.429999999999993</v>
      </c>
      <c r="F634">
        <v>1.387</v>
      </c>
      <c r="G634">
        <f>(Master[[#This Row],[Economy_GDP_per_Capita]]*100)/2</f>
        <v>69.349999999999994</v>
      </c>
      <c r="H634">
        <v>1.4870000000000001</v>
      </c>
      <c r="I634">
        <f>(Master[[#This Row],[Family]]*100)/2</f>
        <v>74.350000000000009</v>
      </c>
      <c r="J634">
        <v>1.0089999999999999</v>
      </c>
      <c r="K634">
        <f>(Master[[#This Row],[Health_Life_Expectancy]]*100)/2</f>
        <v>50.449999999999996</v>
      </c>
      <c r="L634" s="3">
        <v>0.57399999999999995</v>
      </c>
      <c r="M634" s="3">
        <v>0.373</v>
      </c>
      <c r="N634" s="3">
        <v>0.26700000000000002</v>
      </c>
    </row>
    <row r="635" spans="1:14" x14ac:dyDescent="0.25">
      <c r="A635">
        <v>2019</v>
      </c>
      <c r="B635" t="s">
        <v>14</v>
      </c>
      <c r="C635">
        <v>8</v>
      </c>
      <c r="D635">
        <v>7.3070000000000004</v>
      </c>
      <c r="E635">
        <f>(Master[[#This Row],[Happiness_Score]]*100)/10</f>
        <v>73.070000000000007</v>
      </c>
      <c r="F635">
        <v>1.3029999999999999</v>
      </c>
      <c r="G635">
        <f>(Master[[#This Row],[Economy_GDP_per_Capita]]*100)/2</f>
        <v>65.149999999999991</v>
      </c>
      <c r="H635">
        <v>1.5569999999999999</v>
      </c>
      <c r="I635">
        <f>(Master[[#This Row],[Family]]*100)/2</f>
        <v>77.849999999999994</v>
      </c>
      <c r="J635">
        <v>1.026</v>
      </c>
      <c r="K635">
        <f>(Master[[#This Row],[Health_Life_Expectancy]]*100)/2</f>
        <v>51.300000000000004</v>
      </c>
      <c r="L635" s="3">
        <v>0.58499999999999996</v>
      </c>
      <c r="M635" s="3">
        <v>0.38</v>
      </c>
      <c r="N635" s="3">
        <v>0.33</v>
      </c>
    </row>
    <row r="636" spans="1:14" x14ac:dyDescent="0.25">
      <c r="A636">
        <v>2019</v>
      </c>
      <c r="B636" t="s">
        <v>9</v>
      </c>
      <c r="C636">
        <v>9</v>
      </c>
      <c r="D636">
        <v>7.2779999999999996</v>
      </c>
      <c r="E636">
        <f>(Master[[#This Row],[Happiness_Score]]*100)/10</f>
        <v>72.78</v>
      </c>
      <c r="F636">
        <v>1.365</v>
      </c>
      <c r="G636">
        <f>(Master[[#This Row],[Economy_GDP_per_Capita]]*100)/2</f>
        <v>68.25</v>
      </c>
      <c r="H636">
        <v>1.5049999999999999</v>
      </c>
      <c r="I636">
        <f>(Master[[#This Row],[Family]]*100)/2</f>
        <v>75.25</v>
      </c>
      <c r="J636">
        <v>1.0389999999999999</v>
      </c>
      <c r="K636">
        <f>(Master[[#This Row],[Health_Life_Expectancy]]*100)/2</f>
        <v>51.949999999999996</v>
      </c>
      <c r="L636" s="3">
        <v>0.58399999999999996</v>
      </c>
      <c r="M636" s="3">
        <v>0.308</v>
      </c>
      <c r="N636" s="3">
        <v>0.28499999999999998</v>
      </c>
    </row>
    <row r="637" spans="1:14" x14ac:dyDescent="0.25">
      <c r="A637">
        <v>2019</v>
      </c>
      <c r="B637" t="s">
        <v>21</v>
      </c>
      <c r="C637">
        <v>10</v>
      </c>
      <c r="D637">
        <v>7.2460000000000004</v>
      </c>
      <c r="E637">
        <f>(Master[[#This Row],[Happiness_Score]]*100)/10</f>
        <v>72.460000000000008</v>
      </c>
      <c r="F637">
        <v>1.3759999999999999</v>
      </c>
      <c r="G637">
        <f>(Master[[#This Row],[Economy_GDP_per_Capita]]*100)/2</f>
        <v>68.8</v>
      </c>
      <c r="H637">
        <v>1.4750000000000001</v>
      </c>
      <c r="I637">
        <f>(Master[[#This Row],[Family]]*100)/2</f>
        <v>73.75</v>
      </c>
      <c r="J637">
        <v>1.016</v>
      </c>
      <c r="K637">
        <f>(Master[[#This Row],[Health_Life_Expectancy]]*100)/2</f>
        <v>50.8</v>
      </c>
      <c r="L637" s="3">
        <v>0.53200000000000003</v>
      </c>
      <c r="M637" s="3">
        <v>0.22600000000000001</v>
      </c>
      <c r="N637" s="3">
        <v>0.24399999999999999</v>
      </c>
    </row>
    <row r="638" spans="1:14" x14ac:dyDescent="0.25">
      <c r="A638">
        <v>2019</v>
      </c>
      <c r="B638" t="s">
        <v>16</v>
      </c>
      <c r="C638">
        <v>11</v>
      </c>
      <c r="D638">
        <v>7.2279999999999998</v>
      </c>
      <c r="E638">
        <f>(Master[[#This Row],[Happiness_Score]]*100)/10</f>
        <v>72.28</v>
      </c>
      <c r="F638">
        <v>1.3720000000000001</v>
      </c>
      <c r="G638">
        <f>(Master[[#This Row],[Economy_GDP_per_Capita]]*100)/2</f>
        <v>68.600000000000009</v>
      </c>
      <c r="H638">
        <v>1.548</v>
      </c>
      <c r="I638">
        <f>(Master[[#This Row],[Family]]*100)/2</f>
        <v>77.400000000000006</v>
      </c>
      <c r="J638">
        <v>1.036</v>
      </c>
      <c r="K638">
        <f>(Master[[#This Row],[Health_Life_Expectancy]]*100)/2</f>
        <v>51.800000000000004</v>
      </c>
      <c r="L638" s="3">
        <v>0.55700000000000005</v>
      </c>
      <c r="M638" s="3">
        <v>0.28999999999999998</v>
      </c>
      <c r="N638" s="3">
        <v>0.33200000000000002</v>
      </c>
    </row>
    <row r="639" spans="1:14" x14ac:dyDescent="0.25">
      <c r="A639">
        <v>2019</v>
      </c>
      <c r="B639" t="s">
        <v>19</v>
      </c>
      <c r="C639">
        <v>12</v>
      </c>
      <c r="D639">
        <v>7.1669999999999998</v>
      </c>
      <c r="E639">
        <f>(Master[[#This Row],[Happiness_Score]]*100)/10</f>
        <v>71.669999999999987</v>
      </c>
      <c r="F639">
        <v>1.034</v>
      </c>
      <c r="G639">
        <f>(Master[[#This Row],[Economy_GDP_per_Capita]]*100)/2</f>
        <v>51.7</v>
      </c>
      <c r="H639">
        <v>1.4410000000000001</v>
      </c>
      <c r="I639">
        <f>(Master[[#This Row],[Family]]*100)/2</f>
        <v>72.05</v>
      </c>
      <c r="J639">
        <v>0.96299999999999997</v>
      </c>
      <c r="K639">
        <f>(Master[[#This Row],[Health_Life_Expectancy]]*100)/2</f>
        <v>48.15</v>
      </c>
      <c r="L639" s="3">
        <v>0.55800000000000005</v>
      </c>
      <c r="M639" s="3">
        <v>9.2999999999999999E-2</v>
      </c>
      <c r="N639" s="3">
        <v>0.14399999999999999</v>
      </c>
    </row>
    <row r="640" spans="1:14" x14ac:dyDescent="0.25">
      <c r="A640">
        <v>2019</v>
      </c>
      <c r="B640" t="s">
        <v>17</v>
      </c>
      <c r="C640">
        <v>13</v>
      </c>
      <c r="D640">
        <v>7.1390000000000002</v>
      </c>
      <c r="E640">
        <f>(Master[[#This Row],[Happiness_Score]]*100)/10</f>
        <v>71.39</v>
      </c>
      <c r="F640">
        <v>1.276</v>
      </c>
      <c r="G640">
        <f>(Master[[#This Row],[Economy_GDP_per_Capita]]*100)/2</f>
        <v>63.800000000000004</v>
      </c>
      <c r="H640">
        <v>1.4550000000000001</v>
      </c>
      <c r="I640">
        <f>(Master[[#This Row],[Family]]*100)/2</f>
        <v>72.75</v>
      </c>
      <c r="J640">
        <v>1.0289999999999999</v>
      </c>
      <c r="K640">
        <f>(Master[[#This Row],[Health_Life_Expectancy]]*100)/2</f>
        <v>51.449999999999996</v>
      </c>
      <c r="L640" s="3">
        <v>0.371</v>
      </c>
      <c r="M640" s="3">
        <v>8.2000000000000003E-2</v>
      </c>
      <c r="N640" s="3">
        <v>0.26100000000000001</v>
      </c>
    </row>
    <row r="641" spans="1:14" x14ac:dyDescent="0.25">
      <c r="A641">
        <v>2019</v>
      </c>
      <c r="B641" t="s">
        <v>25</v>
      </c>
      <c r="C641">
        <v>14</v>
      </c>
      <c r="D641">
        <v>7.09</v>
      </c>
      <c r="E641">
        <f>(Master[[#This Row],[Happiness_Score]]*100)/10</f>
        <v>70.900000000000006</v>
      </c>
      <c r="F641">
        <v>1.609</v>
      </c>
      <c r="G641">
        <f>(Master[[#This Row],[Economy_GDP_per_Capita]]*100)/2</f>
        <v>80.45</v>
      </c>
      <c r="H641">
        <v>1.4790000000000001</v>
      </c>
      <c r="I641">
        <f>(Master[[#This Row],[Family]]*100)/2</f>
        <v>73.95</v>
      </c>
      <c r="J641">
        <v>1.012</v>
      </c>
      <c r="K641">
        <f>(Master[[#This Row],[Health_Life_Expectancy]]*100)/2</f>
        <v>50.6</v>
      </c>
      <c r="L641" s="3">
        <v>0.52600000000000002</v>
      </c>
      <c r="M641" s="3">
        <v>0.316</v>
      </c>
      <c r="N641" s="3">
        <v>0.19400000000000001</v>
      </c>
    </row>
    <row r="642" spans="1:14" x14ac:dyDescent="0.25">
      <c r="A642">
        <v>2019</v>
      </c>
      <c r="B642" t="s">
        <v>29</v>
      </c>
      <c r="C642">
        <v>15</v>
      </c>
      <c r="D642">
        <v>7.0540000000000003</v>
      </c>
      <c r="E642">
        <f>(Master[[#This Row],[Happiness_Score]]*100)/10</f>
        <v>70.539999999999992</v>
      </c>
      <c r="F642">
        <v>1.333</v>
      </c>
      <c r="G642">
        <f>(Master[[#This Row],[Economy_GDP_per_Capita]]*100)/2</f>
        <v>66.649999999999991</v>
      </c>
      <c r="H642">
        <v>1.538</v>
      </c>
      <c r="I642">
        <f>(Master[[#This Row],[Family]]*100)/2</f>
        <v>76.900000000000006</v>
      </c>
      <c r="J642">
        <v>0.996</v>
      </c>
      <c r="K642">
        <f>(Master[[#This Row],[Health_Life_Expectancy]]*100)/2</f>
        <v>49.8</v>
      </c>
      <c r="L642" s="3">
        <v>0.45</v>
      </c>
      <c r="M642" s="3">
        <v>0.27800000000000002</v>
      </c>
      <c r="N642" s="3">
        <v>0.34799999999999998</v>
      </c>
    </row>
    <row r="643" spans="1:14" x14ac:dyDescent="0.25">
      <c r="A643">
        <v>2019</v>
      </c>
      <c r="B643" t="s">
        <v>26</v>
      </c>
      <c r="C643">
        <v>16</v>
      </c>
      <c r="D643">
        <v>7.0209999999999999</v>
      </c>
      <c r="E643">
        <f>(Master[[#This Row],[Happiness_Score]]*100)/10</f>
        <v>70.210000000000008</v>
      </c>
      <c r="F643">
        <v>1.4990000000000001</v>
      </c>
      <c r="G643">
        <f>(Master[[#This Row],[Economy_GDP_per_Capita]]*100)/2</f>
        <v>74.95</v>
      </c>
      <c r="H643">
        <v>1.5529999999999999</v>
      </c>
      <c r="I643">
        <f>(Master[[#This Row],[Family]]*100)/2</f>
        <v>77.649999999999991</v>
      </c>
      <c r="J643">
        <v>0.999</v>
      </c>
      <c r="K643">
        <f>(Master[[#This Row],[Health_Life_Expectancy]]*100)/2</f>
        <v>49.95</v>
      </c>
      <c r="L643" s="3">
        <v>0.51600000000000001</v>
      </c>
      <c r="M643" s="3">
        <v>0.31</v>
      </c>
      <c r="N643" s="3">
        <v>0.29799999999999999</v>
      </c>
    </row>
    <row r="644" spans="1:14" x14ac:dyDescent="0.25">
      <c r="A644">
        <v>2019</v>
      </c>
      <c r="B644" t="s">
        <v>35</v>
      </c>
      <c r="C644">
        <v>17</v>
      </c>
      <c r="D644">
        <v>6.9850000000000003</v>
      </c>
      <c r="E644">
        <f>(Master[[#This Row],[Happiness_Score]]*100)/10</f>
        <v>69.849999999999994</v>
      </c>
      <c r="F644">
        <v>1.373</v>
      </c>
      <c r="G644">
        <f>(Master[[#This Row],[Economy_GDP_per_Capita]]*100)/2</f>
        <v>68.650000000000006</v>
      </c>
      <c r="H644">
        <v>1.454</v>
      </c>
      <c r="I644">
        <f>(Master[[#This Row],[Family]]*100)/2</f>
        <v>72.7</v>
      </c>
      <c r="J644">
        <v>0.98699999999999999</v>
      </c>
      <c r="K644">
        <f>(Master[[#This Row],[Health_Life_Expectancy]]*100)/2</f>
        <v>49.35</v>
      </c>
      <c r="L644" s="3">
        <v>0.495</v>
      </c>
      <c r="M644" s="3">
        <v>0.26500000000000001</v>
      </c>
      <c r="N644" s="3">
        <v>0.26100000000000001</v>
      </c>
    </row>
    <row r="645" spans="1:14" x14ac:dyDescent="0.25">
      <c r="A645">
        <v>2019</v>
      </c>
      <c r="B645" t="s">
        <v>27</v>
      </c>
      <c r="C645">
        <v>18</v>
      </c>
      <c r="D645">
        <v>6.923</v>
      </c>
      <c r="E645">
        <f>(Master[[#This Row],[Happiness_Score]]*100)/10</f>
        <v>69.22999999999999</v>
      </c>
      <c r="F645">
        <v>1.3560000000000001</v>
      </c>
      <c r="G645">
        <f>(Master[[#This Row],[Economy_GDP_per_Capita]]*100)/2</f>
        <v>67.800000000000011</v>
      </c>
      <c r="H645">
        <v>1.504</v>
      </c>
      <c r="I645">
        <f>(Master[[#This Row],[Family]]*100)/2</f>
        <v>75.2</v>
      </c>
      <c r="J645">
        <v>0.98599999999999999</v>
      </c>
      <c r="K645">
        <f>(Master[[#This Row],[Health_Life_Expectancy]]*100)/2</f>
        <v>49.3</v>
      </c>
      <c r="L645" s="3">
        <v>0.47299999999999998</v>
      </c>
      <c r="M645" s="3">
        <v>0.21</v>
      </c>
      <c r="N645" s="3">
        <v>0.16</v>
      </c>
    </row>
    <row r="646" spans="1:14" x14ac:dyDescent="0.25">
      <c r="A646">
        <v>2019</v>
      </c>
      <c r="B646" t="s">
        <v>23</v>
      </c>
      <c r="C646">
        <v>19</v>
      </c>
      <c r="D646">
        <v>6.8920000000000003</v>
      </c>
      <c r="E646">
        <f>(Master[[#This Row],[Happiness_Score]]*100)/10</f>
        <v>68.92</v>
      </c>
      <c r="F646">
        <v>1.4330000000000001</v>
      </c>
      <c r="G646">
        <f>(Master[[#This Row],[Economy_GDP_per_Capita]]*100)/2</f>
        <v>71.650000000000006</v>
      </c>
      <c r="H646">
        <v>1.4570000000000001</v>
      </c>
      <c r="I646">
        <f>(Master[[#This Row],[Family]]*100)/2</f>
        <v>72.850000000000009</v>
      </c>
      <c r="J646">
        <v>0.874</v>
      </c>
      <c r="K646">
        <f>(Master[[#This Row],[Health_Life_Expectancy]]*100)/2</f>
        <v>43.7</v>
      </c>
      <c r="L646" s="3">
        <v>0.45400000000000001</v>
      </c>
      <c r="M646" s="3">
        <v>0.128</v>
      </c>
      <c r="N646" s="3">
        <v>0.28000000000000003</v>
      </c>
    </row>
    <row r="647" spans="1:14" x14ac:dyDescent="0.25">
      <c r="A647">
        <v>2019</v>
      </c>
      <c r="B647" t="s">
        <v>40</v>
      </c>
      <c r="C647">
        <v>20</v>
      </c>
      <c r="D647">
        <v>6.8520000000000003</v>
      </c>
      <c r="E647">
        <f>(Master[[#This Row],[Happiness_Score]]*100)/10</f>
        <v>68.52000000000001</v>
      </c>
      <c r="F647">
        <v>1.2689999999999999</v>
      </c>
      <c r="G647">
        <f>(Master[[#This Row],[Economy_GDP_per_Capita]]*100)/2</f>
        <v>63.449999999999996</v>
      </c>
      <c r="H647">
        <v>1.4870000000000001</v>
      </c>
      <c r="I647">
        <f>(Master[[#This Row],[Family]]*100)/2</f>
        <v>74.350000000000009</v>
      </c>
      <c r="J647">
        <v>0.92</v>
      </c>
      <c r="K647">
        <f>(Master[[#This Row],[Health_Life_Expectancy]]*100)/2</f>
        <v>46</v>
      </c>
      <c r="L647" s="3">
        <v>0.45700000000000002</v>
      </c>
      <c r="M647" s="3">
        <v>3.5999999999999997E-2</v>
      </c>
      <c r="N647" s="3">
        <v>4.5999999999999999E-2</v>
      </c>
    </row>
    <row r="648" spans="1:14" x14ac:dyDescent="0.25">
      <c r="A648">
        <v>2019</v>
      </c>
      <c r="B648" t="s">
        <v>28</v>
      </c>
      <c r="C648">
        <v>21</v>
      </c>
      <c r="D648">
        <v>6.8250000000000002</v>
      </c>
      <c r="E648">
        <f>(Master[[#This Row],[Happiness_Score]]*100)/10</f>
        <v>68.25</v>
      </c>
      <c r="F648">
        <v>1.5029999999999999</v>
      </c>
      <c r="G648">
        <f>(Master[[#This Row],[Economy_GDP_per_Capita]]*100)/2</f>
        <v>75.149999999999991</v>
      </c>
      <c r="H648">
        <v>1.31</v>
      </c>
      <c r="I648">
        <f>(Master[[#This Row],[Family]]*100)/2</f>
        <v>65.5</v>
      </c>
      <c r="J648">
        <v>0.82499999999999996</v>
      </c>
      <c r="K648">
        <f>(Master[[#This Row],[Health_Life_Expectancy]]*100)/2</f>
        <v>41.25</v>
      </c>
      <c r="L648" s="3">
        <v>0.59799999999999998</v>
      </c>
      <c r="M648" s="3">
        <v>0.182</v>
      </c>
      <c r="N648" s="3">
        <v>0.26200000000000001</v>
      </c>
    </row>
    <row r="649" spans="1:14" x14ac:dyDescent="0.25">
      <c r="A649">
        <v>2019</v>
      </c>
      <c r="B649" t="s">
        <v>47</v>
      </c>
      <c r="C649">
        <v>22</v>
      </c>
      <c r="D649">
        <v>6.726</v>
      </c>
      <c r="E649">
        <f>(Master[[#This Row],[Happiness_Score]]*100)/10</f>
        <v>67.260000000000005</v>
      </c>
      <c r="F649">
        <v>1.3</v>
      </c>
      <c r="G649">
        <f>(Master[[#This Row],[Economy_GDP_per_Capita]]*100)/2</f>
        <v>65</v>
      </c>
      <c r="H649">
        <v>1.52</v>
      </c>
      <c r="I649">
        <f>(Master[[#This Row],[Family]]*100)/2</f>
        <v>76</v>
      </c>
      <c r="J649">
        <v>0.999</v>
      </c>
      <c r="K649">
        <f>(Master[[#This Row],[Health_Life_Expectancy]]*100)/2</f>
        <v>49.95</v>
      </c>
      <c r="L649" s="3">
        <v>0.56399999999999995</v>
      </c>
      <c r="M649" s="3">
        <v>0.151</v>
      </c>
      <c r="N649" s="3">
        <v>0.375</v>
      </c>
    </row>
    <row r="650" spans="1:14" x14ac:dyDescent="0.25">
      <c r="A650">
        <v>2019</v>
      </c>
      <c r="B650" t="s">
        <v>22</v>
      </c>
      <c r="C650">
        <v>23</v>
      </c>
      <c r="D650">
        <v>6.5949999999999998</v>
      </c>
      <c r="E650">
        <f>(Master[[#This Row],[Happiness_Score]]*100)/10</f>
        <v>65.95</v>
      </c>
      <c r="F650">
        <v>1.07</v>
      </c>
      <c r="G650">
        <f>(Master[[#This Row],[Economy_GDP_per_Capita]]*100)/2</f>
        <v>53.5</v>
      </c>
      <c r="H650">
        <v>1.323</v>
      </c>
      <c r="I650">
        <f>(Master[[#This Row],[Family]]*100)/2</f>
        <v>66.149999999999991</v>
      </c>
      <c r="J650">
        <v>0.86099999999999999</v>
      </c>
      <c r="K650">
        <f>(Master[[#This Row],[Health_Life_Expectancy]]*100)/2</f>
        <v>43.05</v>
      </c>
      <c r="L650" s="3">
        <v>0.433</v>
      </c>
      <c r="M650" s="3">
        <v>7.2999999999999995E-2</v>
      </c>
      <c r="N650" s="3">
        <v>7.3999999999999996E-2</v>
      </c>
    </row>
    <row r="651" spans="1:14" x14ac:dyDescent="0.25">
      <c r="A651">
        <v>2019</v>
      </c>
      <c r="B651" t="s">
        <v>38</v>
      </c>
      <c r="C651">
        <v>24</v>
      </c>
      <c r="D651">
        <v>6.5919999999999996</v>
      </c>
      <c r="E651">
        <f>(Master[[#This Row],[Happiness_Score]]*100)/10</f>
        <v>65.919999999999987</v>
      </c>
      <c r="F651">
        <v>1.3240000000000001</v>
      </c>
      <c r="G651">
        <f>(Master[[#This Row],[Economy_GDP_per_Capita]]*100)/2</f>
        <v>66.2</v>
      </c>
      <c r="H651">
        <v>1.472</v>
      </c>
      <c r="I651">
        <f>(Master[[#This Row],[Family]]*100)/2</f>
        <v>73.599999999999994</v>
      </c>
      <c r="J651">
        <v>1.0449999999999999</v>
      </c>
      <c r="K651">
        <f>(Master[[#This Row],[Health_Life_Expectancy]]*100)/2</f>
        <v>52.25</v>
      </c>
      <c r="L651" s="3">
        <v>0.436</v>
      </c>
      <c r="M651" s="3">
        <v>0.183</v>
      </c>
      <c r="N651" s="3">
        <v>0.111</v>
      </c>
    </row>
    <row r="652" spans="1:14" x14ac:dyDescent="0.25">
      <c r="A652">
        <v>2019</v>
      </c>
      <c r="B652" t="s">
        <v>48</v>
      </c>
      <c r="C652">
        <v>25</v>
      </c>
      <c r="D652">
        <v>6.4459999999999997</v>
      </c>
      <c r="E652">
        <f>(Master[[#This Row],[Happiness_Score]]*100)/10</f>
        <v>64.460000000000008</v>
      </c>
      <c r="F652">
        <v>1.3680000000000001</v>
      </c>
      <c r="G652">
        <f>(Master[[#This Row],[Economy_GDP_per_Capita]]*100)/2</f>
        <v>68.400000000000006</v>
      </c>
      <c r="H652">
        <v>1.43</v>
      </c>
      <c r="I652">
        <f>(Master[[#This Row],[Family]]*100)/2</f>
        <v>71.5</v>
      </c>
      <c r="J652">
        <v>0.91400000000000003</v>
      </c>
      <c r="K652">
        <f>(Master[[#This Row],[Health_Life_Expectancy]]*100)/2</f>
        <v>45.7</v>
      </c>
      <c r="L652" s="3">
        <v>0.35099999999999998</v>
      </c>
      <c r="M652" s="3">
        <v>9.7000000000000003E-2</v>
      </c>
      <c r="N652" s="3">
        <v>0.24199999999999999</v>
      </c>
    </row>
    <row r="653" spans="1:14" x14ac:dyDescent="0.25">
      <c r="A653">
        <v>2019</v>
      </c>
      <c r="B653" t="s">
        <v>36</v>
      </c>
      <c r="C653">
        <v>26</v>
      </c>
      <c r="D653">
        <v>6.444</v>
      </c>
      <c r="E653">
        <f>(Master[[#This Row],[Happiness_Score]]*100)/10</f>
        <v>64.44</v>
      </c>
      <c r="F653">
        <v>1.159</v>
      </c>
      <c r="G653">
        <f>(Master[[#This Row],[Economy_GDP_per_Capita]]*100)/2</f>
        <v>57.95</v>
      </c>
      <c r="H653">
        <v>1.369</v>
      </c>
      <c r="I653">
        <f>(Master[[#This Row],[Family]]*100)/2</f>
        <v>68.45</v>
      </c>
      <c r="J653">
        <v>0.92</v>
      </c>
      <c r="K653">
        <f>(Master[[#This Row],[Health_Life_Expectancy]]*100)/2</f>
        <v>46</v>
      </c>
      <c r="L653" s="3">
        <v>0.35699999999999998</v>
      </c>
      <c r="M653" s="3">
        <v>5.6000000000000001E-2</v>
      </c>
      <c r="N653" s="3">
        <v>0.187</v>
      </c>
    </row>
    <row r="654" spans="1:14" x14ac:dyDescent="0.25">
      <c r="A654">
        <v>2019</v>
      </c>
      <c r="B654" t="s">
        <v>54</v>
      </c>
      <c r="C654">
        <v>27</v>
      </c>
      <c r="D654">
        <v>6.4359999999999999</v>
      </c>
      <c r="E654">
        <f>(Master[[#This Row],[Happiness_Score]]*100)/10</f>
        <v>64.36</v>
      </c>
      <c r="F654">
        <v>0.8</v>
      </c>
      <c r="G654">
        <f>(Master[[#This Row],[Economy_GDP_per_Capita]]*100)/2</f>
        <v>40</v>
      </c>
      <c r="H654">
        <v>1.2689999999999999</v>
      </c>
      <c r="I654">
        <f>(Master[[#This Row],[Family]]*100)/2</f>
        <v>63.449999999999996</v>
      </c>
      <c r="J654">
        <v>0.746</v>
      </c>
      <c r="K654">
        <f>(Master[[#This Row],[Health_Life_Expectancy]]*100)/2</f>
        <v>37.299999999999997</v>
      </c>
      <c r="L654" s="3">
        <v>0.53500000000000003</v>
      </c>
      <c r="M654" s="3">
        <v>7.8E-2</v>
      </c>
      <c r="N654" s="3">
        <v>0.17499999999999999</v>
      </c>
    </row>
    <row r="655" spans="1:14" x14ac:dyDescent="0.25">
      <c r="A655">
        <v>2019</v>
      </c>
      <c r="B655" t="s">
        <v>45</v>
      </c>
      <c r="C655">
        <v>28</v>
      </c>
      <c r="D655">
        <v>6.375</v>
      </c>
      <c r="E655">
        <f>(Master[[#This Row],[Happiness_Score]]*100)/10</f>
        <v>63.75</v>
      </c>
      <c r="F655">
        <v>1.403</v>
      </c>
      <c r="G655">
        <f>(Master[[#This Row],[Economy_GDP_per_Capita]]*100)/2</f>
        <v>70.150000000000006</v>
      </c>
      <c r="H655">
        <v>1.357</v>
      </c>
      <c r="I655">
        <f>(Master[[#This Row],[Family]]*100)/2</f>
        <v>67.849999999999994</v>
      </c>
      <c r="J655">
        <v>0.79500000000000004</v>
      </c>
      <c r="K655">
        <f>(Master[[#This Row],[Health_Life_Expectancy]]*100)/2</f>
        <v>39.75</v>
      </c>
      <c r="L655" s="3">
        <v>0.439</v>
      </c>
      <c r="M655" s="3">
        <v>0.13200000000000001</v>
      </c>
      <c r="N655" s="3">
        <v>0.08</v>
      </c>
    </row>
    <row r="656" spans="1:14" x14ac:dyDescent="0.25">
      <c r="A656">
        <v>2019</v>
      </c>
      <c r="B656" t="s">
        <v>37</v>
      </c>
      <c r="C656">
        <v>29</v>
      </c>
      <c r="D656">
        <v>6.3739999999999997</v>
      </c>
      <c r="E656">
        <f>(Master[[#This Row],[Happiness_Score]]*100)/10</f>
        <v>63.739999999999995</v>
      </c>
      <c r="F656">
        <v>1.6839999999999999</v>
      </c>
      <c r="G656">
        <f>(Master[[#This Row],[Economy_GDP_per_Capita]]*100)/2</f>
        <v>84.2</v>
      </c>
      <c r="H656">
        <v>1.3129999999999999</v>
      </c>
      <c r="I656">
        <f>(Master[[#This Row],[Family]]*100)/2</f>
        <v>65.649999999999991</v>
      </c>
      <c r="J656">
        <v>0.871</v>
      </c>
      <c r="K656">
        <f>(Master[[#This Row],[Health_Life_Expectancy]]*100)/2</f>
        <v>43.55</v>
      </c>
      <c r="L656" s="3">
        <v>0.55500000000000005</v>
      </c>
      <c r="M656" s="3">
        <v>0.16700000000000001</v>
      </c>
      <c r="N656" s="3">
        <v>0.22</v>
      </c>
    </row>
    <row r="657" spans="1:14" x14ac:dyDescent="0.25">
      <c r="A657">
        <v>2019</v>
      </c>
      <c r="B657" t="s">
        <v>46</v>
      </c>
      <c r="C657">
        <v>30</v>
      </c>
      <c r="D657">
        <v>6.3540000000000001</v>
      </c>
      <c r="E657">
        <f>(Master[[#This Row],[Happiness_Score]]*100)/10</f>
        <v>63.54</v>
      </c>
      <c r="F657">
        <v>1.286</v>
      </c>
      <c r="G657">
        <f>(Master[[#This Row],[Economy_GDP_per_Capita]]*100)/2</f>
        <v>64.3</v>
      </c>
      <c r="H657">
        <v>1.484</v>
      </c>
      <c r="I657">
        <f>(Master[[#This Row],[Family]]*100)/2</f>
        <v>74.2</v>
      </c>
      <c r="J657">
        <v>1.0620000000000001</v>
      </c>
      <c r="K657">
        <f>(Master[[#This Row],[Health_Life_Expectancy]]*100)/2</f>
        <v>53.1</v>
      </c>
      <c r="L657" s="3">
        <v>0.36199999999999999</v>
      </c>
      <c r="M657" s="3">
        <v>7.9000000000000001E-2</v>
      </c>
      <c r="N657" s="3">
        <v>0.153</v>
      </c>
    </row>
    <row r="658" spans="1:14" x14ac:dyDescent="0.25">
      <c r="A658">
        <v>2019</v>
      </c>
      <c r="B658" t="s">
        <v>34</v>
      </c>
      <c r="C658">
        <v>31</v>
      </c>
      <c r="D658">
        <v>6.3209999999999997</v>
      </c>
      <c r="E658">
        <f>(Master[[#This Row],[Happiness_Score]]*100)/10</f>
        <v>63.21</v>
      </c>
      <c r="F658">
        <v>1.149</v>
      </c>
      <c r="G658">
        <f>(Master[[#This Row],[Economy_GDP_per_Capita]]*100)/2</f>
        <v>57.45</v>
      </c>
      <c r="H658">
        <v>1.4419999999999999</v>
      </c>
      <c r="I658">
        <f>(Master[[#This Row],[Family]]*100)/2</f>
        <v>72.099999999999994</v>
      </c>
      <c r="J658">
        <v>0.91</v>
      </c>
      <c r="K658">
        <f>(Master[[#This Row],[Health_Life_Expectancy]]*100)/2</f>
        <v>45.5</v>
      </c>
      <c r="L658" s="3">
        <v>0.51600000000000001</v>
      </c>
      <c r="M658" s="3">
        <v>5.3999999999999999E-2</v>
      </c>
      <c r="N658" s="3">
        <v>0.109</v>
      </c>
    </row>
    <row r="659" spans="1:14" x14ac:dyDescent="0.25">
      <c r="A659">
        <v>2019</v>
      </c>
      <c r="B659" t="s">
        <v>24</v>
      </c>
      <c r="C659">
        <v>32</v>
      </c>
      <c r="D659">
        <v>6.3</v>
      </c>
      <c r="E659">
        <f>(Master[[#This Row],[Happiness_Score]]*100)/10</f>
        <v>63</v>
      </c>
      <c r="F659">
        <v>1.004</v>
      </c>
      <c r="G659">
        <f>(Master[[#This Row],[Economy_GDP_per_Capita]]*100)/2</f>
        <v>50.2</v>
      </c>
      <c r="H659">
        <v>1.4390000000000001</v>
      </c>
      <c r="I659">
        <f>(Master[[#This Row],[Family]]*100)/2</f>
        <v>71.95</v>
      </c>
      <c r="J659">
        <v>0.80200000000000005</v>
      </c>
      <c r="K659">
        <f>(Master[[#This Row],[Health_Life_Expectancy]]*100)/2</f>
        <v>40.1</v>
      </c>
      <c r="L659" s="3">
        <v>0.39</v>
      </c>
      <c r="M659" s="3">
        <v>8.5999999999999993E-2</v>
      </c>
      <c r="N659" s="3">
        <v>9.9000000000000005E-2</v>
      </c>
    </row>
    <row r="660" spans="1:14" x14ac:dyDescent="0.25">
      <c r="A660">
        <v>2019</v>
      </c>
      <c r="B660" t="s">
        <v>42</v>
      </c>
      <c r="C660">
        <v>33</v>
      </c>
      <c r="D660">
        <v>6.2930000000000001</v>
      </c>
      <c r="E660">
        <f>(Master[[#This Row],[Happiness_Score]]*100)/10</f>
        <v>62.930000000000007</v>
      </c>
      <c r="F660">
        <v>1.1240000000000001</v>
      </c>
      <c r="G660">
        <f>(Master[[#This Row],[Economy_GDP_per_Capita]]*100)/2</f>
        <v>56.2</v>
      </c>
      <c r="H660">
        <v>1.4650000000000001</v>
      </c>
      <c r="I660">
        <f>(Master[[#This Row],[Family]]*100)/2</f>
        <v>73.25</v>
      </c>
      <c r="J660">
        <v>0.89100000000000001</v>
      </c>
      <c r="K660">
        <f>(Master[[#This Row],[Health_Life_Expectancy]]*100)/2</f>
        <v>44.55</v>
      </c>
      <c r="L660" s="3">
        <v>0.52300000000000002</v>
      </c>
      <c r="M660" s="3">
        <v>0.15</v>
      </c>
      <c r="N660" s="3">
        <v>0.127</v>
      </c>
    </row>
    <row r="661" spans="1:14" x14ac:dyDescent="0.25">
      <c r="A661">
        <v>2019</v>
      </c>
      <c r="B661" t="s">
        <v>32</v>
      </c>
      <c r="C661">
        <v>34</v>
      </c>
      <c r="D661">
        <v>6.2619999999999996</v>
      </c>
      <c r="E661">
        <f>(Master[[#This Row],[Happiness_Score]]*100)/10</f>
        <v>62.61999999999999</v>
      </c>
      <c r="F661">
        <v>1.5720000000000001</v>
      </c>
      <c r="G661">
        <f>(Master[[#This Row],[Economy_GDP_per_Capita]]*100)/2</f>
        <v>78.600000000000009</v>
      </c>
      <c r="H661">
        <v>1.4630000000000001</v>
      </c>
      <c r="I661">
        <f>(Master[[#This Row],[Family]]*100)/2</f>
        <v>73.150000000000006</v>
      </c>
      <c r="J661">
        <v>1.141</v>
      </c>
      <c r="K661">
        <f>(Master[[#This Row],[Health_Life_Expectancy]]*100)/2</f>
        <v>57.05</v>
      </c>
      <c r="L661" s="3">
        <v>0.55600000000000005</v>
      </c>
      <c r="M661" s="3">
        <v>0.45300000000000001</v>
      </c>
      <c r="N661" s="3">
        <v>0.27100000000000002</v>
      </c>
    </row>
    <row r="662" spans="1:14" x14ac:dyDescent="0.25">
      <c r="A662">
        <v>2019</v>
      </c>
      <c r="B662" t="s">
        <v>53</v>
      </c>
      <c r="C662">
        <v>35</v>
      </c>
      <c r="D662">
        <v>6.2530000000000001</v>
      </c>
      <c r="E662">
        <f>(Master[[#This Row],[Happiness_Score]]*100)/10</f>
        <v>62.529999999999994</v>
      </c>
      <c r="F662">
        <v>0.79400000000000004</v>
      </c>
      <c r="G662">
        <f>(Master[[#This Row],[Economy_GDP_per_Capita]]*100)/2</f>
        <v>39.700000000000003</v>
      </c>
      <c r="H662">
        <v>1.242</v>
      </c>
      <c r="I662">
        <f>(Master[[#This Row],[Family]]*100)/2</f>
        <v>62.1</v>
      </c>
      <c r="J662">
        <v>0.78900000000000003</v>
      </c>
      <c r="K662">
        <f>(Master[[#This Row],[Health_Life_Expectancy]]*100)/2</f>
        <v>39.450000000000003</v>
      </c>
      <c r="L662" s="3">
        <v>0.43</v>
      </c>
      <c r="M662" s="3">
        <v>7.3999999999999996E-2</v>
      </c>
      <c r="N662" s="3">
        <v>9.2999999999999999E-2</v>
      </c>
    </row>
    <row r="663" spans="1:14" x14ac:dyDescent="0.25">
      <c r="A663">
        <v>2019</v>
      </c>
      <c r="B663" t="s">
        <v>61</v>
      </c>
      <c r="C663">
        <v>36</v>
      </c>
      <c r="D663">
        <v>6.2229999999999999</v>
      </c>
      <c r="E663">
        <f>(Master[[#This Row],[Happiness_Score]]*100)/10</f>
        <v>62.23</v>
      </c>
      <c r="F663">
        <v>1.294</v>
      </c>
      <c r="G663">
        <f>(Master[[#This Row],[Economy_GDP_per_Capita]]*100)/2</f>
        <v>64.7</v>
      </c>
      <c r="H663">
        <v>1.488</v>
      </c>
      <c r="I663">
        <f>(Master[[#This Row],[Family]]*100)/2</f>
        <v>74.400000000000006</v>
      </c>
      <c r="J663">
        <v>1.0389999999999999</v>
      </c>
      <c r="K663">
        <f>(Master[[#This Row],[Health_Life_Expectancy]]*100)/2</f>
        <v>51.949999999999996</v>
      </c>
      <c r="L663" s="3">
        <v>0.23100000000000001</v>
      </c>
      <c r="M663" s="3">
        <v>0.03</v>
      </c>
      <c r="N663" s="3">
        <v>0.158</v>
      </c>
    </row>
    <row r="664" spans="1:14" x14ac:dyDescent="0.25">
      <c r="A664">
        <v>2019</v>
      </c>
      <c r="B664" t="s">
        <v>60</v>
      </c>
      <c r="C664">
        <v>37</v>
      </c>
      <c r="D664">
        <v>6.1989999999999998</v>
      </c>
      <c r="E664">
        <f>(Master[[#This Row],[Happiness_Score]]*100)/10</f>
        <v>61.989999999999995</v>
      </c>
      <c r="F664">
        <v>1.3620000000000001</v>
      </c>
      <c r="G664">
        <f>(Master[[#This Row],[Economy_GDP_per_Capita]]*100)/2</f>
        <v>68.100000000000009</v>
      </c>
      <c r="H664">
        <v>1.3680000000000001</v>
      </c>
      <c r="I664">
        <f>(Master[[#This Row],[Family]]*100)/2</f>
        <v>68.400000000000006</v>
      </c>
      <c r="J664">
        <v>0.871</v>
      </c>
      <c r="K664">
        <f>(Master[[#This Row],[Health_Life_Expectancy]]*100)/2</f>
        <v>43.55</v>
      </c>
      <c r="L664" s="3">
        <v>0.53600000000000003</v>
      </c>
      <c r="M664" s="3">
        <v>0.11</v>
      </c>
      <c r="N664" s="3">
        <v>0.255</v>
      </c>
    </row>
    <row r="665" spans="1:14" x14ac:dyDescent="0.25">
      <c r="A665">
        <v>2019</v>
      </c>
      <c r="B665" t="s">
        <v>56</v>
      </c>
      <c r="C665">
        <v>38</v>
      </c>
      <c r="D665">
        <v>6.1980000000000004</v>
      </c>
      <c r="E665">
        <f>(Master[[#This Row],[Happiness_Score]]*100)/10</f>
        <v>61.980000000000004</v>
      </c>
      <c r="F665">
        <v>1.246</v>
      </c>
      <c r="G665">
        <f>(Master[[#This Row],[Economy_GDP_per_Capita]]*100)/2</f>
        <v>62.3</v>
      </c>
      <c r="H665">
        <v>1.504</v>
      </c>
      <c r="I665">
        <f>(Master[[#This Row],[Family]]*100)/2</f>
        <v>75.2</v>
      </c>
      <c r="J665">
        <v>0.88100000000000001</v>
      </c>
      <c r="K665">
        <f>(Master[[#This Row],[Health_Life_Expectancy]]*100)/2</f>
        <v>44.05</v>
      </c>
      <c r="L665" s="3">
        <v>0.33400000000000002</v>
      </c>
      <c r="M665" s="3">
        <v>1.4E-2</v>
      </c>
      <c r="N665" s="3">
        <v>0.121</v>
      </c>
    </row>
    <row r="666" spans="1:14" x14ac:dyDescent="0.25">
      <c r="A666">
        <v>2019</v>
      </c>
      <c r="B666" t="s">
        <v>218</v>
      </c>
      <c r="C666">
        <v>39</v>
      </c>
      <c r="D666">
        <v>6.1920000000000002</v>
      </c>
      <c r="E666">
        <f>(Master[[#This Row],[Happiness_Score]]*100)/10</f>
        <v>61.92</v>
      </c>
      <c r="F666">
        <v>1.2310000000000001</v>
      </c>
      <c r="G666">
        <f>(Master[[#This Row],[Economy_GDP_per_Capita]]*100)/2</f>
        <v>61.550000000000004</v>
      </c>
      <c r="H666">
        <v>1.4770000000000001</v>
      </c>
      <c r="I666">
        <f>(Master[[#This Row],[Family]]*100)/2</f>
        <v>73.850000000000009</v>
      </c>
      <c r="J666">
        <v>0.71299999999999997</v>
      </c>
      <c r="K666">
        <f>(Master[[#This Row],[Health_Life_Expectancy]]*100)/2</f>
        <v>35.65</v>
      </c>
      <c r="L666" s="3">
        <v>0.48899999999999999</v>
      </c>
      <c r="M666" s="3">
        <v>1.6E-2</v>
      </c>
      <c r="N666" s="3">
        <v>0.185</v>
      </c>
    </row>
    <row r="667" spans="1:14" x14ac:dyDescent="0.25">
      <c r="A667">
        <v>2019</v>
      </c>
      <c r="B667" t="s">
        <v>71</v>
      </c>
      <c r="C667">
        <v>40</v>
      </c>
      <c r="D667">
        <v>6.1820000000000004</v>
      </c>
      <c r="E667">
        <f>(Master[[#This Row],[Happiness_Score]]*100)/10</f>
        <v>61.820000000000007</v>
      </c>
      <c r="F667">
        <v>1.206</v>
      </c>
      <c r="G667">
        <f>(Master[[#This Row],[Economy_GDP_per_Capita]]*100)/2</f>
        <v>60.3</v>
      </c>
      <c r="H667">
        <v>1.4379999999999999</v>
      </c>
      <c r="I667">
        <f>(Master[[#This Row],[Family]]*100)/2</f>
        <v>71.899999999999991</v>
      </c>
      <c r="J667">
        <v>0.88400000000000001</v>
      </c>
      <c r="K667">
        <f>(Master[[#This Row],[Health_Life_Expectancy]]*100)/2</f>
        <v>44.2</v>
      </c>
      <c r="L667" s="3">
        <v>0.48299999999999998</v>
      </c>
      <c r="M667" s="3">
        <v>0.05</v>
      </c>
      <c r="N667" s="3">
        <v>0.11700000000000001</v>
      </c>
    </row>
    <row r="668" spans="1:14" x14ac:dyDescent="0.25">
      <c r="A668">
        <v>2019</v>
      </c>
      <c r="B668" t="s">
        <v>55</v>
      </c>
      <c r="C668">
        <v>41</v>
      </c>
      <c r="D668">
        <v>6.1740000000000004</v>
      </c>
      <c r="E668">
        <f>(Master[[#This Row],[Happiness_Score]]*100)/10</f>
        <v>61.740000000000009</v>
      </c>
      <c r="F668">
        <v>0.745</v>
      </c>
      <c r="G668">
        <f>(Master[[#This Row],[Economy_GDP_per_Capita]]*100)/2</f>
        <v>37.25</v>
      </c>
      <c r="H668">
        <v>1.5289999999999999</v>
      </c>
      <c r="I668">
        <f>(Master[[#This Row],[Family]]*100)/2</f>
        <v>76.449999999999989</v>
      </c>
      <c r="J668">
        <v>0.75600000000000001</v>
      </c>
      <c r="K668">
        <f>(Master[[#This Row],[Health_Life_Expectancy]]*100)/2</f>
        <v>37.799999999999997</v>
      </c>
      <c r="L668" s="3">
        <v>0.63100000000000001</v>
      </c>
      <c r="M668" s="3">
        <v>0.24</v>
      </c>
      <c r="N668" s="3">
        <v>0.32200000000000001</v>
      </c>
    </row>
    <row r="669" spans="1:14" x14ac:dyDescent="0.25">
      <c r="A669">
        <v>2019</v>
      </c>
      <c r="B669" t="s">
        <v>67</v>
      </c>
      <c r="C669">
        <v>42</v>
      </c>
      <c r="D669">
        <v>6.149</v>
      </c>
      <c r="E669">
        <f>(Master[[#This Row],[Happiness_Score]]*100)/10</f>
        <v>61.489999999999995</v>
      </c>
      <c r="F669">
        <v>1.238</v>
      </c>
      <c r="G669">
        <f>(Master[[#This Row],[Economy_GDP_per_Capita]]*100)/2</f>
        <v>61.9</v>
      </c>
      <c r="H669">
        <v>1.5149999999999999</v>
      </c>
      <c r="I669">
        <f>(Master[[#This Row],[Family]]*100)/2</f>
        <v>75.75</v>
      </c>
      <c r="J669">
        <v>0.81799999999999995</v>
      </c>
      <c r="K669">
        <f>(Master[[#This Row],[Health_Life_Expectancy]]*100)/2</f>
        <v>40.9</v>
      </c>
      <c r="L669" s="3">
        <v>0.29099999999999998</v>
      </c>
      <c r="M669" s="3">
        <v>4.2000000000000003E-2</v>
      </c>
      <c r="N669" s="3">
        <v>4.2999999999999997E-2</v>
      </c>
    </row>
    <row r="670" spans="1:14" x14ac:dyDescent="0.25">
      <c r="A670">
        <v>2019</v>
      </c>
      <c r="B670" t="s">
        <v>43</v>
      </c>
      <c r="C670">
        <v>43</v>
      </c>
      <c r="D670">
        <v>6.125</v>
      </c>
      <c r="E670">
        <f>(Master[[#This Row],[Happiness_Score]]*100)/10</f>
        <v>61.25</v>
      </c>
      <c r="F670">
        <v>0.98499999999999999</v>
      </c>
      <c r="G670">
        <f>(Master[[#This Row],[Economy_GDP_per_Capita]]*100)/2</f>
        <v>49.25</v>
      </c>
      <c r="H670">
        <v>1.41</v>
      </c>
      <c r="I670">
        <f>(Master[[#This Row],[Family]]*100)/2</f>
        <v>70.5</v>
      </c>
      <c r="J670">
        <v>0.84099999999999997</v>
      </c>
      <c r="K670">
        <f>(Master[[#This Row],[Health_Life_Expectancy]]*100)/2</f>
        <v>42.05</v>
      </c>
      <c r="L670" s="3">
        <v>0.47</v>
      </c>
      <c r="M670" s="3">
        <v>3.4000000000000002E-2</v>
      </c>
      <c r="N670" s="3">
        <v>9.9000000000000005E-2</v>
      </c>
    </row>
    <row r="671" spans="1:14" x14ac:dyDescent="0.25">
      <c r="A671">
        <v>2019</v>
      </c>
      <c r="B671" t="s">
        <v>66</v>
      </c>
      <c r="C671">
        <v>44</v>
      </c>
      <c r="D671">
        <v>6.1180000000000003</v>
      </c>
      <c r="E671">
        <f>(Master[[#This Row],[Happiness_Score]]*100)/10</f>
        <v>61.180000000000007</v>
      </c>
      <c r="F671">
        <v>1.258</v>
      </c>
      <c r="G671">
        <f>(Master[[#This Row],[Economy_GDP_per_Capita]]*100)/2</f>
        <v>62.9</v>
      </c>
      <c r="H671">
        <v>1.5229999999999999</v>
      </c>
      <c r="I671">
        <f>(Master[[#This Row],[Family]]*100)/2</f>
        <v>76.149999999999991</v>
      </c>
      <c r="J671">
        <v>0.95299999999999996</v>
      </c>
      <c r="K671">
        <f>(Master[[#This Row],[Health_Life_Expectancy]]*100)/2</f>
        <v>47.65</v>
      </c>
      <c r="L671" s="3">
        <v>0.56399999999999995</v>
      </c>
      <c r="M671" s="3">
        <v>5.7000000000000002E-2</v>
      </c>
      <c r="N671" s="3">
        <v>0.14399999999999999</v>
      </c>
    </row>
    <row r="672" spans="1:14" x14ac:dyDescent="0.25">
      <c r="A672">
        <v>2019</v>
      </c>
      <c r="B672" t="s">
        <v>68</v>
      </c>
      <c r="C672">
        <v>45</v>
      </c>
      <c r="D672">
        <v>6.1050000000000004</v>
      </c>
      <c r="E672">
        <f>(Master[[#This Row],[Happiness_Score]]*100)/10</f>
        <v>61.05</v>
      </c>
      <c r="F672">
        <v>0.69399999999999995</v>
      </c>
      <c r="G672">
        <f>(Master[[#This Row],[Economy_GDP_per_Capita]]*100)/2</f>
        <v>34.699999999999996</v>
      </c>
      <c r="H672">
        <v>1.325</v>
      </c>
      <c r="I672">
        <f>(Master[[#This Row],[Family]]*100)/2</f>
        <v>66.25</v>
      </c>
      <c r="J672">
        <v>0.83499999999999996</v>
      </c>
      <c r="K672">
        <f>(Master[[#This Row],[Health_Life_Expectancy]]*100)/2</f>
        <v>41.75</v>
      </c>
      <c r="L672" s="3">
        <v>0.435</v>
      </c>
      <c r="M672" s="3">
        <v>0.127</v>
      </c>
      <c r="N672" s="3">
        <v>0.2</v>
      </c>
    </row>
    <row r="673" spans="1:14" x14ac:dyDescent="0.25">
      <c r="A673">
        <v>2019</v>
      </c>
      <c r="B673" t="s">
        <v>80</v>
      </c>
      <c r="C673">
        <v>46</v>
      </c>
      <c r="D673">
        <v>6.1</v>
      </c>
      <c r="E673">
        <f>(Master[[#This Row],[Happiness_Score]]*100)/10</f>
        <v>61</v>
      </c>
      <c r="F673">
        <v>0.88200000000000001</v>
      </c>
      <c r="G673">
        <f>(Master[[#This Row],[Economy_GDP_per_Capita]]*100)/2</f>
        <v>44.1</v>
      </c>
      <c r="H673">
        <v>1.232</v>
      </c>
      <c r="I673">
        <f>(Master[[#This Row],[Family]]*100)/2</f>
        <v>61.6</v>
      </c>
      <c r="J673">
        <v>0.75800000000000001</v>
      </c>
      <c r="K673">
        <f>(Master[[#This Row],[Health_Life_Expectancy]]*100)/2</f>
        <v>37.9</v>
      </c>
      <c r="L673" s="3">
        <v>0.48899999999999999</v>
      </c>
      <c r="M673" s="3">
        <v>6.0000000000000001E-3</v>
      </c>
      <c r="N673" s="3">
        <v>0.26200000000000001</v>
      </c>
    </row>
    <row r="674" spans="1:14" x14ac:dyDescent="0.25">
      <c r="A674">
        <v>2019</v>
      </c>
      <c r="B674" t="s">
        <v>39</v>
      </c>
      <c r="C674">
        <v>47</v>
      </c>
      <c r="D674">
        <v>6.0860000000000003</v>
      </c>
      <c r="E674">
        <f>(Master[[#This Row],[Happiness_Score]]*100)/10</f>
        <v>60.86</v>
      </c>
      <c r="F674">
        <v>1.0920000000000001</v>
      </c>
      <c r="G674">
        <f>(Master[[#This Row],[Economy_GDP_per_Capita]]*100)/2</f>
        <v>54.6</v>
      </c>
      <c r="H674">
        <v>1.4319999999999999</v>
      </c>
      <c r="I674">
        <f>(Master[[#This Row],[Family]]*100)/2</f>
        <v>71.599999999999994</v>
      </c>
      <c r="J674">
        <v>0.88100000000000001</v>
      </c>
      <c r="K674">
        <f>(Master[[#This Row],[Health_Life_Expectancy]]*100)/2</f>
        <v>44.05</v>
      </c>
      <c r="L674" s="3">
        <v>0.47099999999999997</v>
      </c>
      <c r="M674" s="3">
        <v>0.05</v>
      </c>
      <c r="N674" s="3">
        <v>6.6000000000000003E-2</v>
      </c>
    </row>
    <row r="675" spans="1:14" x14ac:dyDescent="0.25">
      <c r="A675">
        <v>2019</v>
      </c>
      <c r="B675" t="s">
        <v>99</v>
      </c>
      <c r="C675">
        <v>48</v>
      </c>
      <c r="D675">
        <v>6.07</v>
      </c>
      <c r="E675">
        <f>(Master[[#This Row],[Happiness_Score]]*100)/10</f>
        <v>60.7</v>
      </c>
      <c r="F675">
        <v>1.1619999999999999</v>
      </c>
      <c r="G675">
        <f>(Master[[#This Row],[Economy_GDP_per_Capita]]*100)/2</f>
        <v>58.099999999999994</v>
      </c>
      <c r="H675">
        <v>1.232</v>
      </c>
      <c r="I675">
        <f>(Master[[#This Row],[Family]]*100)/2</f>
        <v>61.6</v>
      </c>
      <c r="J675">
        <v>0.82499999999999996</v>
      </c>
      <c r="K675">
        <f>(Master[[#This Row],[Health_Life_Expectancy]]*100)/2</f>
        <v>41.25</v>
      </c>
      <c r="L675" s="3">
        <v>0.46200000000000002</v>
      </c>
      <c r="M675" s="3">
        <v>5.0000000000000001E-3</v>
      </c>
      <c r="N675" s="3">
        <v>8.3000000000000004E-2</v>
      </c>
    </row>
    <row r="676" spans="1:14" x14ac:dyDescent="0.25">
      <c r="A676">
        <v>2019</v>
      </c>
      <c r="B676" t="s">
        <v>78</v>
      </c>
      <c r="C676">
        <v>49</v>
      </c>
      <c r="D676">
        <v>6.0460000000000003</v>
      </c>
      <c r="E676">
        <f>(Master[[#This Row],[Happiness_Score]]*100)/10</f>
        <v>60.46</v>
      </c>
      <c r="F676">
        <v>1.2629999999999999</v>
      </c>
      <c r="G676">
        <f>(Master[[#This Row],[Economy_GDP_per_Capita]]*100)/2</f>
        <v>63.149999999999991</v>
      </c>
      <c r="H676">
        <v>1.2230000000000001</v>
      </c>
      <c r="I676">
        <f>(Master[[#This Row],[Family]]*100)/2</f>
        <v>61.150000000000006</v>
      </c>
      <c r="J676">
        <v>1.042</v>
      </c>
      <c r="K676">
        <f>(Master[[#This Row],[Health_Life_Expectancy]]*100)/2</f>
        <v>52.1</v>
      </c>
      <c r="L676" s="3">
        <v>0.40600000000000003</v>
      </c>
      <c r="M676" s="3">
        <v>4.1000000000000002E-2</v>
      </c>
      <c r="N676" s="3">
        <v>0.19</v>
      </c>
    </row>
    <row r="677" spans="1:14" x14ac:dyDescent="0.25">
      <c r="A677">
        <v>2019</v>
      </c>
      <c r="B677" t="s">
        <v>59</v>
      </c>
      <c r="C677">
        <v>50</v>
      </c>
      <c r="D677">
        <v>6.0279999999999996</v>
      </c>
      <c r="E677">
        <f>(Master[[#This Row],[Happiness_Score]]*100)/10</f>
        <v>60.279999999999994</v>
      </c>
      <c r="F677">
        <v>0.91200000000000003</v>
      </c>
      <c r="G677">
        <f>(Master[[#This Row],[Economy_GDP_per_Capita]]*100)/2</f>
        <v>45.6</v>
      </c>
      <c r="H677">
        <v>1.3120000000000001</v>
      </c>
      <c r="I677">
        <f>(Master[[#This Row],[Family]]*100)/2</f>
        <v>65.600000000000009</v>
      </c>
      <c r="J677">
        <v>0.86799999999999999</v>
      </c>
      <c r="K677">
        <f>(Master[[#This Row],[Health_Life_Expectancy]]*100)/2</f>
        <v>43.4</v>
      </c>
      <c r="L677" s="3">
        <v>0.498</v>
      </c>
      <c r="M677" s="3">
        <v>8.6999999999999994E-2</v>
      </c>
      <c r="N677" s="3">
        <v>0.126</v>
      </c>
    </row>
    <row r="678" spans="1:14" x14ac:dyDescent="0.25">
      <c r="A678">
        <v>2019</v>
      </c>
      <c r="B678" t="s">
        <v>50</v>
      </c>
      <c r="C678">
        <v>51</v>
      </c>
      <c r="D678">
        <v>6.0209999999999999</v>
      </c>
      <c r="E678">
        <f>(Master[[#This Row],[Happiness_Score]]*100)/10</f>
        <v>60.21</v>
      </c>
      <c r="F678">
        <v>1.5</v>
      </c>
      <c r="G678">
        <f>(Master[[#This Row],[Economy_GDP_per_Capita]]*100)/2</f>
        <v>75</v>
      </c>
      <c r="H678">
        <v>1.319</v>
      </c>
      <c r="I678">
        <f>(Master[[#This Row],[Family]]*100)/2</f>
        <v>65.95</v>
      </c>
      <c r="J678">
        <v>0.80800000000000005</v>
      </c>
      <c r="K678">
        <f>(Master[[#This Row],[Health_Life_Expectancy]]*100)/2</f>
        <v>40.400000000000006</v>
      </c>
      <c r="L678" s="3">
        <v>0.49299999999999999</v>
      </c>
      <c r="M678" s="3">
        <v>9.7000000000000003E-2</v>
      </c>
      <c r="N678" s="3">
        <v>0.14199999999999999</v>
      </c>
    </row>
    <row r="679" spans="1:14" x14ac:dyDescent="0.25">
      <c r="A679">
        <v>2019</v>
      </c>
      <c r="B679" t="s">
        <v>44</v>
      </c>
      <c r="C679">
        <v>52</v>
      </c>
      <c r="D679">
        <v>6.008</v>
      </c>
      <c r="E679">
        <f>(Master[[#This Row],[Happiness_Score]]*100)/10</f>
        <v>60.08</v>
      </c>
      <c r="F679">
        <v>1.05</v>
      </c>
      <c r="G679">
        <f>(Master[[#This Row],[Economy_GDP_per_Capita]]*100)/2</f>
        <v>52.5</v>
      </c>
      <c r="H679">
        <v>1.409</v>
      </c>
      <c r="I679">
        <f>(Master[[#This Row],[Family]]*100)/2</f>
        <v>70.45</v>
      </c>
      <c r="J679">
        <v>0.82799999999999996</v>
      </c>
      <c r="K679">
        <f>(Master[[#This Row],[Health_Life_Expectancy]]*100)/2</f>
        <v>41.4</v>
      </c>
      <c r="L679" s="3">
        <v>0.55700000000000005</v>
      </c>
      <c r="M679" s="3">
        <v>2.8000000000000001E-2</v>
      </c>
      <c r="N679" s="3">
        <v>0.35899999999999999</v>
      </c>
    </row>
    <row r="680" spans="1:14" x14ac:dyDescent="0.25">
      <c r="A680">
        <v>2019</v>
      </c>
      <c r="B680" t="s">
        <v>102</v>
      </c>
      <c r="C680">
        <v>53</v>
      </c>
      <c r="D680">
        <v>5.94</v>
      </c>
      <c r="E680">
        <f>(Master[[#This Row],[Happiness_Score]]*100)/10</f>
        <v>59.4</v>
      </c>
      <c r="F680">
        <v>1.1870000000000001</v>
      </c>
      <c r="G680">
        <f>(Master[[#This Row],[Economy_GDP_per_Capita]]*100)/2</f>
        <v>59.35</v>
      </c>
      <c r="H680">
        <v>1.4650000000000001</v>
      </c>
      <c r="I680">
        <f>(Master[[#This Row],[Family]]*100)/2</f>
        <v>73.25</v>
      </c>
      <c r="J680">
        <v>0.81200000000000006</v>
      </c>
      <c r="K680">
        <f>(Master[[#This Row],[Health_Life_Expectancy]]*100)/2</f>
        <v>40.6</v>
      </c>
      <c r="L680" s="3">
        <v>0.26400000000000001</v>
      </c>
      <c r="M680" s="3">
        <v>6.4000000000000001E-2</v>
      </c>
      <c r="N680" s="3">
        <v>7.4999999999999997E-2</v>
      </c>
    </row>
    <row r="681" spans="1:14" x14ac:dyDescent="0.25">
      <c r="A681">
        <v>2019</v>
      </c>
      <c r="B681" t="s">
        <v>58</v>
      </c>
      <c r="C681">
        <v>54</v>
      </c>
      <c r="D681">
        <v>5.8949999999999996</v>
      </c>
      <c r="E681">
        <f>(Master[[#This Row],[Happiness_Score]]*100)/10</f>
        <v>58.95</v>
      </c>
      <c r="F681">
        <v>1.3009999999999999</v>
      </c>
      <c r="G681">
        <f>(Master[[#This Row],[Economy_GDP_per_Capita]]*100)/2</f>
        <v>65.05</v>
      </c>
      <c r="H681">
        <v>1.2190000000000001</v>
      </c>
      <c r="I681">
        <f>(Master[[#This Row],[Family]]*100)/2</f>
        <v>60.95</v>
      </c>
      <c r="J681">
        <v>1.036</v>
      </c>
      <c r="K681">
        <f>(Master[[#This Row],[Health_Life_Expectancy]]*100)/2</f>
        <v>51.800000000000004</v>
      </c>
      <c r="L681" s="3">
        <v>0.159</v>
      </c>
      <c r="M681" s="3">
        <v>5.6000000000000001E-2</v>
      </c>
      <c r="N681" s="3">
        <v>0.17499999999999999</v>
      </c>
    </row>
    <row r="682" spans="1:14" x14ac:dyDescent="0.25">
      <c r="A682">
        <v>2019</v>
      </c>
      <c r="B682" t="s">
        <v>85</v>
      </c>
      <c r="C682">
        <v>55</v>
      </c>
      <c r="D682">
        <v>5.8929999999999998</v>
      </c>
      <c r="E682">
        <f>(Master[[#This Row],[Happiness_Score]]*100)/10</f>
        <v>58.929999999999993</v>
      </c>
      <c r="F682">
        <v>1.2370000000000001</v>
      </c>
      <c r="G682">
        <f>(Master[[#This Row],[Economy_GDP_per_Capita]]*100)/2</f>
        <v>61.850000000000009</v>
      </c>
      <c r="H682">
        <v>1.528</v>
      </c>
      <c r="I682">
        <f>(Master[[#This Row],[Family]]*100)/2</f>
        <v>76.400000000000006</v>
      </c>
      <c r="J682">
        <v>0.874</v>
      </c>
      <c r="K682">
        <f>(Master[[#This Row],[Health_Life_Expectancy]]*100)/2</f>
        <v>43.7</v>
      </c>
      <c r="L682" s="3">
        <v>0.495</v>
      </c>
      <c r="M682" s="3">
        <v>0.161</v>
      </c>
      <c r="N682" s="3">
        <v>0.10299999999999999</v>
      </c>
    </row>
    <row r="683" spans="1:14" x14ac:dyDescent="0.25">
      <c r="A683">
        <v>2019</v>
      </c>
      <c r="B683" t="s">
        <v>76</v>
      </c>
      <c r="C683">
        <v>56</v>
      </c>
      <c r="D683">
        <v>5.89</v>
      </c>
      <c r="E683">
        <f>(Master[[#This Row],[Happiness_Score]]*100)/10</f>
        <v>58.9</v>
      </c>
      <c r="F683">
        <v>0.83099999999999996</v>
      </c>
      <c r="G683">
        <f>(Master[[#This Row],[Economy_GDP_per_Capita]]*100)/2</f>
        <v>41.55</v>
      </c>
      <c r="H683">
        <v>1.478</v>
      </c>
      <c r="I683">
        <f>(Master[[#This Row],[Family]]*100)/2</f>
        <v>73.900000000000006</v>
      </c>
      <c r="J683">
        <v>0.83099999999999996</v>
      </c>
      <c r="K683">
        <f>(Master[[#This Row],[Health_Life_Expectancy]]*100)/2</f>
        <v>41.55</v>
      </c>
      <c r="L683" s="3">
        <v>0.49</v>
      </c>
      <c r="M683" s="3">
        <v>2.8000000000000001E-2</v>
      </c>
      <c r="N683" s="3">
        <v>0.107</v>
      </c>
    </row>
    <row r="684" spans="1:14" x14ac:dyDescent="0.25">
      <c r="A684">
        <v>2019</v>
      </c>
      <c r="B684" t="s">
        <v>82</v>
      </c>
      <c r="C684">
        <v>57</v>
      </c>
      <c r="D684">
        <v>5.8879999999999999</v>
      </c>
      <c r="E684">
        <f>(Master[[#This Row],[Happiness_Score]]*100)/10</f>
        <v>58.879999999999995</v>
      </c>
      <c r="F684">
        <v>1.1200000000000001</v>
      </c>
      <c r="G684">
        <f>(Master[[#This Row],[Economy_GDP_per_Capita]]*100)/2</f>
        <v>56.000000000000007</v>
      </c>
      <c r="H684">
        <v>1.4019999999999999</v>
      </c>
      <c r="I684">
        <f>(Master[[#This Row],[Family]]*100)/2</f>
        <v>70.099999999999994</v>
      </c>
      <c r="J684">
        <v>0.79800000000000004</v>
      </c>
      <c r="K684">
        <f>(Master[[#This Row],[Health_Life_Expectancy]]*100)/2</f>
        <v>39.900000000000006</v>
      </c>
      <c r="L684" s="3">
        <v>0.498</v>
      </c>
      <c r="M684" s="3">
        <v>0.06</v>
      </c>
      <c r="N684" s="3">
        <v>0.215</v>
      </c>
    </row>
    <row r="685" spans="1:14" x14ac:dyDescent="0.25">
      <c r="A685">
        <v>2019</v>
      </c>
      <c r="B685" t="s">
        <v>57</v>
      </c>
      <c r="C685">
        <v>58</v>
      </c>
      <c r="D685">
        <v>5.8860000000000001</v>
      </c>
      <c r="E685">
        <f>(Master[[#This Row],[Happiness_Score]]*100)/10</f>
        <v>58.86</v>
      </c>
      <c r="F685">
        <v>1.327</v>
      </c>
      <c r="G685">
        <f>(Master[[#This Row],[Economy_GDP_per_Capita]]*100)/2</f>
        <v>66.349999999999994</v>
      </c>
      <c r="H685">
        <v>1.419</v>
      </c>
      <c r="I685">
        <f>(Master[[#This Row],[Family]]*100)/2</f>
        <v>70.95</v>
      </c>
      <c r="J685">
        <v>1.0880000000000001</v>
      </c>
      <c r="K685">
        <f>(Master[[#This Row],[Health_Life_Expectancy]]*100)/2</f>
        <v>54.400000000000006</v>
      </c>
      <c r="L685" s="3">
        <v>0.44500000000000001</v>
      </c>
      <c r="M685" s="3">
        <v>0.14000000000000001</v>
      </c>
      <c r="N685" s="3">
        <v>6.9000000000000006E-2</v>
      </c>
    </row>
    <row r="686" spans="1:14" x14ac:dyDescent="0.25">
      <c r="A686">
        <v>2019</v>
      </c>
      <c r="B686" t="s">
        <v>118</v>
      </c>
      <c r="C686">
        <v>59</v>
      </c>
      <c r="D686">
        <v>5.86</v>
      </c>
      <c r="E686">
        <f>(Master[[#This Row],[Happiness_Score]]*100)/10</f>
        <v>58.6</v>
      </c>
      <c r="F686">
        <v>0.64200000000000002</v>
      </c>
      <c r="G686">
        <f>(Master[[#This Row],[Economy_GDP_per_Capita]]*100)/2</f>
        <v>32.1</v>
      </c>
      <c r="H686">
        <v>1.236</v>
      </c>
      <c r="I686">
        <f>(Master[[#This Row],[Family]]*100)/2</f>
        <v>61.8</v>
      </c>
      <c r="J686">
        <v>0.82799999999999996</v>
      </c>
      <c r="K686">
        <f>(Master[[#This Row],[Health_Life_Expectancy]]*100)/2</f>
        <v>41.4</v>
      </c>
      <c r="L686" s="3">
        <v>0.50700000000000001</v>
      </c>
      <c r="M686" s="3">
        <v>7.8E-2</v>
      </c>
      <c r="N686" s="3">
        <v>0.246</v>
      </c>
    </row>
    <row r="687" spans="1:14" x14ac:dyDescent="0.25">
      <c r="A687">
        <v>2019</v>
      </c>
      <c r="B687" t="s">
        <v>65</v>
      </c>
      <c r="C687">
        <v>60</v>
      </c>
      <c r="D687">
        <v>5.8090000000000002</v>
      </c>
      <c r="E687">
        <f>(Master[[#This Row],[Happiness_Score]]*100)/10</f>
        <v>58.089999999999996</v>
      </c>
      <c r="F687">
        <v>1.173</v>
      </c>
      <c r="G687">
        <f>(Master[[#This Row],[Economy_GDP_per_Capita]]*100)/2</f>
        <v>58.650000000000006</v>
      </c>
      <c r="H687">
        <v>1.508</v>
      </c>
      <c r="I687">
        <f>(Master[[#This Row],[Family]]*100)/2</f>
        <v>75.400000000000006</v>
      </c>
      <c r="J687">
        <v>0.72899999999999998</v>
      </c>
      <c r="K687">
        <f>(Master[[#This Row],[Health_Life_Expectancy]]*100)/2</f>
        <v>36.449999999999996</v>
      </c>
      <c r="L687" s="3">
        <v>0.41</v>
      </c>
      <c r="M687" s="3">
        <v>9.6000000000000002E-2</v>
      </c>
      <c r="N687" s="3">
        <v>0.14599999999999999</v>
      </c>
    </row>
    <row r="688" spans="1:14" x14ac:dyDescent="0.25">
      <c r="A688">
        <v>2019</v>
      </c>
      <c r="B688" t="s">
        <v>62</v>
      </c>
      <c r="C688">
        <v>61</v>
      </c>
      <c r="D688">
        <v>5.7789999999999999</v>
      </c>
      <c r="E688">
        <f>(Master[[#This Row],[Happiness_Score]]*100)/10</f>
        <v>57.79</v>
      </c>
      <c r="F688">
        <v>0.77600000000000002</v>
      </c>
      <c r="G688">
        <f>(Master[[#This Row],[Economy_GDP_per_Capita]]*100)/2</f>
        <v>38.800000000000004</v>
      </c>
      <c r="H688">
        <v>1.2090000000000001</v>
      </c>
      <c r="I688">
        <f>(Master[[#This Row],[Family]]*100)/2</f>
        <v>60.45</v>
      </c>
      <c r="J688">
        <v>0.70599999999999996</v>
      </c>
      <c r="K688">
        <f>(Master[[#This Row],[Health_Life_Expectancy]]*100)/2</f>
        <v>35.299999999999997</v>
      </c>
      <c r="L688" s="3">
        <v>0.51100000000000001</v>
      </c>
      <c r="M688" s="3">
        <v>6.4000000000000001E-2</v>
      </c>
      <c r="N688" s="3">
        <v>0.13700000000000001</v>
      </c>
    </row>
    <row r="689" spans="1:14" x14ac:dyDescent="0.25">
      <c r="A689">
        <v>2019</v>
      </c>
      <c r="B689" t="s">
        <v>117</v>
      </c>
      <c r="C689">
        <v>62</v>
      </c>
      <c r="D689">
        <v>5.758</v>
      </c>
      <c r="E689">
        <f>(Master[[#This Row],[Happiness_Score]]*100)/10</f>
        <v>57.58</v>
      </c>
      <c r="F689">
        <v>1.2010000000000001</v>
      </c>
      <c r="G689">
        <f>(Master[[#This Row],[Economy_GDP_per_Capita]]*100)/2</f>
        <v>60.050000000000004</v>
      </c>
      <c r="H689">
        <v>1.41</v>
      </c>
      <c r="I689">
        <f>(Master[[#This Row],[Family]]*100)/2</f>
        <v>70.5</v>
      </c>
      <c r="J689">
        <v>0.82799999999999996</v>
      </c>
      <c r="K689">
        <f>(Master[[#This Row],[Health_Life_Expectancy]]*100)/2</f>
        <v>41.4</v>
      </c>
      <c r="L689" s="3">
        <v>0.19900000000000001</v>
      </c>
      <c r="M689" s="3">
        <v>0.02</v>
      </c>
      <c r="N689" s="3">
        <v>8.1000000000000003E-2</v>
      </c>
    </row>
    <row r="690" spans="1:14" x14ac:dyDescent="0.25">
      <c r="A690">
        <v>2019</v>
      </c>
      <c r="B690" t="s">
        <v>64</v>
      </c>
      <c r="C690">
        <v>63</v>
      </c>
      <c r="D690">
        <v>5.7430000000000003</v>
      </c>
      <c r="E690">
        <f>(Master[[#This Row],[Happiness_Score]]*100)/10</f>
        <v>57.430000000000007</v>
      </c>
      <c r="F690">
        <v>0.85499999999999998</v>
      </c>
      <c r="G690">
        <f>(Master[[#This Row],[Economy_GDP_per_Capita]]*100)/2</f>
        <v>42.75</v>
      </c>
      <c r="H690">
        <v>1.4750000000000001</v>
      </c>
      <c r="I690">
        <f>(Master[[#This Row],[Family]]*100)/2</f>
        <v>73.75</v>
      </c>
      <c r="J690">
        <v>0.77700000000000002</v>
      </c>
      <c r="K690">
        <f>(Master[[#This Row],[Health_Life_Expectancy]]*100)/2</f>
        <v>38.85</v>
      </c>
      <c r="L690" s="3">
        <v>0.51400000000000001</v>
      </c>
      <c r="M690" s="3">
        <v>0.08</v>
      </c>
      <c r="N690" s="3">
        <v>0.184</v>
      </c>
    </row>
    <row r="691" spans="1:14" x14ac:dyDescent="0.25">
      <c r="A691">
        <v>2019</v>
      </c>
      <c r="B691" t="s">
        <v>237</v>
      </c>
      <c r="C691">
        <v>64</v>
      </c>
      <c r="D691">
        <v>5.718</v>
      </c>
      <c r="E691">
        <f>(Master[[#This Row],[Happiness_Score]]*100)/10</f>
        <v>57.179999999999993</v>
      </c>
      <c r="F691">
        <v>1.2629999999999999</v>
      </c>
      <c r="G691">
        <f>(Master[[#This Row],[Economy_GDP_per_Capita]]*100)/2</f>
        <v>63.149999999999991</v>
      </c>
      <c r="H691">
        <v>1.252</v>
      </c>
      <c r="I691">
        <f>(Master[[#This Row],[Family]]*100)/2</f>
        <v>62.6</v>
      </c>
      <c r="J691">
        <v>1.042</v>
      </c>
      <c r="K691">
        <f>(Master[[#This Row],[Health_Life_Expectancy]]*100)/2</f>
        <v>52.1</v>
      </c>
      <c r="L691" s="3">
        <v>0.41699999999999998</v>
      </c>
      <c r="M691" s="3">
        <v>0.16200000000000001</v>
      </c>
      <c r="N691" s="3">
        <v>0.191</v>
      </c>
    </row>
    <row r="692" spans="1:14" x14ac:dyDescent="0.25">
      <c r="A692">
        <v>2019</v>
      </c>
      <c r="B692" t="s">
        <v>69</v>
      </c>
      <c r="C692">
        <v>65</v>
      </c>
      <c r="D692">
        <v>5.6970000000000001</v>
      </c>
      <c r="E692">
        <f>(Master[[#This Row],[Happiness_Score]]*100)/10</f>
        <v>56.970000000000006</v>
      </c>
      <c r="F692">
        <v>0.96</v>
      </c>
      <c r="G692">
        <f>(Master[[#This Row],[Economy_GDP_per_Capita]]*100)/2</f>
        <v>48</v>
      </c>
      <c r="H692">
        <v>1.274</v>
      </c>
      <c r="I692">
        <f>(Master[[#This Row],[Family]]*100)/2</f>
        <v>63.7</v>
      </c>
      <c r="J692">
        <v>0.85399999999999998</v>
      </c>
      <c r="K692">
        <f>(Master[[#This Row],[Health_Life_Expectancy]]*100)/2</f>
        <v>42.699999999999996</v>
      </c>
      <c r="L692" s="3">
        <v>0.45500000000000002</v>
      </c>
      <c r="M692" s="3">
        <v>2.7E-2</v>
      </c>
      <c r="N692" s="3">
        <v>8.3000000000000004E-2</v>
      </c>
    </row>
    <row r="693" spans="1:14" x14ac:dyDescent="0.25">
      <c r="A693">
        <v>2019</v>
      </c>
      <c r="B693" t="s">
        <v>101</v>
      </c>
      <c r="C693">
        <v>66</v>
      </c>
      <c r="D693">
        <v>5.6929999999999996</v>
      </c>
      <c r="E693">
        <f>(Master[[#This Row],[Happiness_Score]]*100)/10</f>
        <v>56.929999999999993</v>
      </c>
      <c r="F693">
        <v>1.2210000000000001</v>
      </c>
      <c r="G693">
        <f>(Master[[#This Row],[Economy_GDP_per_Capita]]*100)/2</f>
        <v>61.050000000000004</v>
      </c>
      <c r="H693">
        <v>1.431</v>
      </c>
      <c r="I693">
        <f>(Master[[#This Row],[Family]]*100)/2</f>
        <v>71.55</v>
      </c>
      <c r="J693">
        <v>0.999</v>
      </c>
      <c r="K693">
        <f>(Master[[#This Row],[Health_Life_Expectancy]]*100)/2</f>
        <v>49.95</v>
      </c>
      <c r="L693" s="3">
        <v>0.50800000000000001</v>
      </c>
      <c r="M693" s="3">
        <v>2.5000000000000001E-2</v>
      </c>
      <c r="N693" s="3">
        <v>4.7E-2</v>
      </c>
    </row>
    <row r="694" spans="1:14" x14ac:dyDescent="0.25">
      <c r="A694">
        <v>2019</v>
      </c>
      <c r="B694" t="s">
        <v>94</v>
      </c>
      <c r="C694">
        <v>67</v>
      </c>
      <c r="D694">
        <v>5.6529999999999996</v>
      </c>
      <c r="E694">
        <f>(Master[[#This Row],[Happiness_Score]]*100)/10</f>
        <v>56.529999999999994</v>
      </c>
      <c r="F694">
        <v>0.67700000000000005</v>
      </c>
      <c r="G694">
        <f>(Master[[#This Row],[Economy_GDP_per_Capita]]*100)/2</f>
        <v>33.85</v>
      </c>
      <c r="H694">
        <v>0.88600000000000001</v>
      </c>
      <c r="I694">
        <f>(Master[[#This Row],[Family]]*100)/2</f>
        <v>44.3</v>
      </c>
      <c r="J694">
        <v>0.53500000000000003</v>
      </c>
      <c r="K694">
        <f>(Master[[#This Row],[Health_Life_Expectancy]]*100)/2</f>
        <v>26.75</v>
      </c>
      <c r="L694" s="3">
        <v>0.313</v>
      </c>
      <c r="M694" s="3">
        <v>9.8000000000000004E-2</v>
      </c>
      <c r="N694" s="3">
        <v>0.22</v>
      </c>
    </row>
    <row r="695" spans="1:14" x14ac:dyDescent="0.25">
      <c r="A695">
        <v>2019</v>
      </c>
      <c r="B695" t="s">
        <v>75</v>
      </c>
      <c r="C695">
        <v>68</v>
      </c>
      <c r="D695">
        <v>5.6479999999999997</v>
      </c>
      <c r="E695">
        <f>(Master[[#This Row],[Happiness_Score]]*100)/10</f>
        <v>56.48</v>
      </c>
      <c r="F695">
        <v>1.1830000000000001</v>
      </c>
      <c r="G695">
        <f>(Master[[#This Row],[Economy_GDP_per_Capita]]*100)/2</f>
        <v>59.150000000000006</v>
      </c>
      <c r="H695">
        <v>1.452</v>
      </c>
      <c r="I695">
        <f>(Master[[#This Row],[Family]]*100)/2</f>
        <v>72.599999999999994</v>
      </c>
      <c r="J695">
        <v>0.72599999999999998</v>
      </c>
      <c r="K695">
        <f>(Master[[#This Row],[Health_Life_Expectancy]]*100)/2</f>
        <v>36.299999999999997</v>
      </c>
      <c r="L695" s="3">
        <v>0.33400000000000002</v>
      </c>
      <c r="M695" s="3">
        <v>3.1E-2</v>
      </c>
      <c r="N695" s="3">
        <v>8.2000000000000003E-2</v>
      </c>
    </row>
    <row r="696" spans="1:14" x14ac:dyDescent="0.25">
      <c r="A696">
        <v>2019</v>
      </c>
      <c r="B696" t="s">
        <v>103</v>
      </c>
      <c r="C696">
        <v>69</v>
      </c>
      <c r="D696">
        <v>5.6310000000000002</v>
      </c>
      <c r="E696">
        <f>(Master[[#This Row],[Happiness_Score]]*100)/10</f>
        <v>56.31</v>
      </c>
      <c r="F696">
        <v>0.80700000000000005</v>
      </c>
      <c r="G696">
        <f>(Master[[#This Row],[Economy_GDP_per_Capita]]*100)/2</f>
        <v>40.35</v>
      </c>
      <c r="H696">
        <v>1.2929999999999999</v>
      </c>
      <c r="I696">
        <f>(Master[[#This Row],[Family]]*100)/2</f>
        <v>64.649999999999991</v>
      </c>
      <c r="J696">
        <v>0.65700000000000003</v>
      </c>
      <c r="K696">
        <f>(Master[[#This Row],[Health_Life_Expectancy]]*100)/2</f>
        <v>32.85</v>
      </c>
      <c r="L696" s="3">
        <v>0.55800000000000005</v>
      </c>
      <c r="M696" s="3">
        <v>0.107</v>
      </c>
      <c r="N696" s="3">
        <v>0.11700000000000001</v>
      </c>
    </row>
    <row r="697" spans="1:14" x14ac:dyDescent="0.25">
      <c r="A697">
        <v>2019</v>
      </c>
      <c r="B697" t="s">
        <v>100</v>
      </c>
      <c r="C697">
        <v>70</v>
      </c>
      <c r="D697">
        <v>5.6029999999999998</v>
      </c>
      <c r="E697">
        <f>(Master[[#This Row],[Happiness_Score]]*100)/10</f>
        <v>56.029999999999994</v>
      </c>
      <c r="F697">
        <v>1.004</v>
      </c>
      <c r="G697">
        <f>(Master[[#This Row],[Economy_GDP_per_Capita]]*100)/2</f>
        <v>50.2</v>
      </c>
      <c r="H697">
        <v>1.383</v>
      </c>
      <c r="I697">
        <f>(Master[[#This Row],[Family]]*100)/2</f>
        <v>69.150000000000006</v>
      </c>
      <c r="J697">
        <v>0.85399999999999998</v>
      </c>
      <c r="K697">
        <f>(Master[[#This Row],[Health_Life_Expectancy]]*100)/2</f>
        <v>42.699999999999996</v>
      </c>
      <c r="L697" s="3">
        <v>0.28199999999999997</v>
      </c>
      <c r="M697" s="3">
        <v>3.9E-2</v>
      </c>
      <c r="N697" s="3">
        <v>0.13700000000000001</v>
      </c>
    </row>
    <row r="698" spans="1:14" x14ac:dyDescent="0.25">
      <c r="A698">
        <v>2019</v>
      </c>
      <c r="B698" t="s">
        <v>63</v>
      </c>
      <c r="C698">
        <v>71</v>
      </c>
      <c r="D698">
        <v>5.5289999999999999</v>
      </c>
      <c r="E698">
        <f>(Master[[#This Row],[Happiness_Score]]*100)/10</f>
        <v>55.29</v>
      </c>
      <c r="F698">
        <v>0.68500000000000005</v>
      </c>
      <c r="G698">
        <f>(Master[[#This Row],[Economy_GDP_per_Capita]]*100)/2</f>
        <v>34.25</v>
      </c>
      <c r="H698">
        <v>1.3280000000000001</v>
      </c>
      <c r="I698">
        <f>(Master[[#This Row],[Family]]*100)/2</f>
        <v>66.400000000000006</v>
      </c>
      <c r="J698">
        <v>0.73899999999999999</v>
      </c>
      <c r="K698">
        <f>(Master[[#This Row],[Health_Life_Expectancy]]*100)/2</f>
        <v>36.950000000000003</v>
      </c>
      <c r="L698" s="3">
        <v>0.245</v>
      </c>
      <c r="M698" s="3">
        <v>0</v>
      </c>
      <c r="N698" s="3">
        <v>0.18099999999999999</v>
      </c>
    </row>
    <row r="699" spans="1:14" x14ac:dyDescent="0.25">
      <c r="A699">
        <v>2019</v>
      </c>
      <c r="B699" t="s">
        <v>74</v>
      </c>
      <c r="C699">
        <v>72</v>
      </c>
      <c r="D699">
        <v>5.5250000000000004</v>
      </c>
      <c r="E699">
        <f>(Master[[#This Row],[Happiness_Score]]*100)/10</f>
        <v>55.25</v>
      </c>
      <c r="F699">
        <v>1.044</v>
      </c>
      <c r="G699">
        <f>(Master[[#This Row],[Economy_GDP_per_Capita]]*100)/2</f>
        <v>52.2</v>
      </c>
      <c r="H699">
        <v>1.3029999999999999</v>
      </c>
      <c r="I699">
        <f>(Master[[#This Row],[Family]]*100)/2</f>
        <v>65.149999999999991</v>
      </c>
      <c r="J699">
        <v>0.67300000000000004</v>
      </c>
      <c r="K699">
        <f>(Master[[#This Row],[Health_Life_Expectancy]]*100)/2</f>
        <v>33.650000000000006</v>
      </c>
      <c r="L699" s="3">
        <v>0.41599999999999998</v>
      </c>
      <c r="M699" s="3">
        <v>0.152</v>
      </c>
      <c r="N699" s="3">
        <v>0.13300000000000001</v>
      </c>
    </row>
    <row r="700" spans="1:14" x14ac:dyDescent="0.25">
      <c r="A700">
        <v>2019</v>
      </c>
      <c r="B700" t="s">
        <v>96</v>
      </c>
      <c r="C700">
        <v>73</v>
      </c>
      <c r="D700">
        <v>5.5229999999999997</v>
      </c>
      <c r="E700">
        <f>(Master[[#This Row],[Happiness_Score]]*100)/10</f>
        <v>55.23</v>
      </c>
      <c r="F700">
        <v>1.0509999999999999</v>
      </c>
      <c r="G700">
        <f>(Master[[#This Row],[Economy_GDP_per_Capita]]*100)/2</f>
        <v>52.55</v>
      </c>
      <c r="H700">
        <v>1.361</v>
      </c>
      <c r="I700">
        <f>(Master[[#This Row],[Family]]*100)/2</f>
        <v>68.05</v>
      </c>
      <c r="J700">
        <v>0.871</v>
      </c>
      <c r="K700">
        <f>(Master[[#This Row],[Health_Life_Expectancy]]*100)/2</f>
        <v>43.55</v>
      </c>
      <c r="L700" s="3">
        <v>0.19700000000000001</v>
      </c>
      <c r="M700" s="3">
        <v>0.08</v>
      </c>
      <c r="N700" s="3">
        <v>0.14199999999999999</v>
      </c>
    </row>
    <row r="701" spans="1:14" x14ac:dyDescent="0.25">
      <c r="A701">
        <v>2019</v>
      </c>
      <c r="B701" t="s">
        <v>119</v>
      </c>
      <c r="C701">
        <v>74</v>
      </c>
      <c r="D701">
        <v>5.4669999999999996</v>
      </c>
      <c r="E701">
        <f>(Master[[#This Row],[Happiness_Score]]*100)/10</f>
        <v>54.669999999999995</v>
      </c>
      <c r="F701">
        <v>0.49299999999999999</v>
      </c>
      <c r="G701">
        <f>(Master[[#This Row],[Economy_GDP_per_Capita]]*100)/2</f>
        <v>24.65</v>
      </c>
      <c r="H701">
        <v>1.0980000000000001</v>
      </c>
      <c r="I701">
        <f>(Master[[#This Row],[Family]]*100)/2</f>
        <v>54.900000000000006</v>
      </c>
      <c r="J701">
        <v>0.71799999999999997</v>
      </c>
      <c r="K701">
        <f>(Master[[#This Row],[Health_Life_Expectancy]]*100)/2</f>
        <v>35.9</v>
      </c>
      <c r="L701" s="3">
        <v>0.38900000000000001</v>
      </c>
      <c r="M701" s="3">
        <v>0.14399999999999999</v>
      </c>
      <c r="N701" s="3">
        <v>0.23</v>
      </c>
    </row>
    <row r="702" spans="1:14" x14ac:dyDescent="0.25">
      <c r="A702">
        <v>2019</v>
      </c>
      <c r="B702" t="s">
        <v>73</v>
      </c>
      <c r="C702">
        <v>75</v>
      </c>
      <c r="D702">
        <v>5.4320000000000004</v>
      </c>
      <c r="E702">
        <f>(Master[[#This Row],[Happiness_Score]]*100)/10</f>
        <v>54.320000000000007</v>
      </c>
      <c r="F702">
        <v>1.155</v>
      </c>
      <c r="G702">
        <f>(Master[[#This Row],[Economy_GDP_per_Capita]]*100)/2</f>
        <v>57.75</v>
      </c>
      <c r="H702">
        <v>1.266</v>
      </c>
      <c r="I702">
        <f>(Master[[#This Row],[Family]]*100)/2</f>
        <v>63.3</v>
      </c>
      <c r="J702">
        <v>0.91400000000000003</v>
      </c>
      <c r="K702">
        <f>(Master[[#This Row],[Health_Life_Expectancy]]*100)/2</f>
        <v>45.7</v>
      </c>
      <c r="L702" s="3">
        <v>0.29599999999999999</v>
      </c>
      <c r="M702" s="3">
        <v>2.1999999999999999E-2</v>
      </c>
      <c r="N702" s="3">
        <v>0.11899999999999999</v>
      </c>
    </row>
    <row r="703" spans="1:14" x14ac:dyDescent="0.25">
      <c r="A703">
        <v>2019</v>
      </c>
      <c r="B703" t="s">
        <v>84</v>
      </c>
      <c r="C703">
        <v>76</v>
      </c>
      <c r="D703">
        <v>5.43</v>
      </c>
      <c r="E703">
        <f>(Master[[#This Row],[Happiness_Score]]*100)/10</f>
        <v>54.3</v>
      </c>
      <c r="F703">
        <v>1.4379999999999999</v>
      </c>
      <c r="G703">
        <f>(Master[[#This Row],[Economy_GDP_per_Capita]]*100)/2</f>
        <v>71.899999999999991</v>
      </c>
      <c r="H703">
        <v>1.2769999999999999</v>
      </c>
      <c r="I703">
        <f>(Master[[#This Row],[Family]]*100)/2</f>
        <v>63.849999999999994</v>
      </c>
      <c r="J703">
        <v>1.1220000000000001</v>
      </c>
      <c r="K703">
        <f>(Master[[#This Row],[Health_Life_Expectancy]]*100)/2</f>
        <v>56.100000000000009</v>
      </c>
      <c r="L703" s="3">
        <v>0.44</v>
      </c>
      <c r="M703" s="3">
        <v>0.28699999999999998</v>
      </c>
      <c r="N703" s="3">
        <v>0.25800000000000001</v>
      </c>
    </row>
    <row r="704" spans="1:14" x14ac:dyDescent="0.25">
      <c r="A704">
        <v>2019</v>
      </c>
      <c r="B704" t="s">
        <v>111</v>
      </c>
      <c r="C704">
        <v>77</v>
      </c>
      <c r="D704">
        <v>5.4249999999999998</v>
      </c>
      <c r="E704">
        <f>(Master[[#This Row],[Happiness_Score]]*100)/10</f>
        <v>54.25</v>
      </c>
      <c r="F704">
        <v>1.0149999999999999</v>
      </c>
      <c r="G704">
        <f>(Master[[#This Row],[Economy_GDP_per_Capita]]*100)/2</f>
        <v>50.749999999999993</v>
      </c>
      <c r="H704">
        <v>1.401</v>
      </c>
      <c r="I704">
        <f>(Master[[#This Row],[Family]]*100)/2</f>
        <v>70.05</v>
      </c>
      <c r="J704">
        <v>0.77900000000000003</v>
      </c>
      <c r="K704">
        <f>(Master[[#This Row],[Health_Life_Expectancy]]*100)/2</f>
        <v>38.950000000000003</v>
      </c>
      <c r="L704" s="3">
        <v>0.497</v>
      </c>
      <c r="M704" s="3">
        <v>0.10100000000000001</v>
      </c>
      <c r="N704" s="3">
        <v>0.113</v>
      </c>
    </row>
    <row r="705" spans="1:14" x14ac:dyDescent="0.25">
      <c r="A705">
        <v>2019</v>
      </c>
      <c r="B705" t="s">
        <v>109</v>
      </c>
      <c r="C705">
        <v>78</v>
      </c>
      <c r="D705">
        <v>5.3860000000000001</v>
      </c>
      <c r="E705">
        <f>(Master[[#This Row],[Happiness_Score]]*100)/10</f>
        <v>53.86</v>
      </c>
      <c r="F705">
        <v>0.94499999999999995</v>
      </c>
      <c r="G705">
        <f>(Master[[#This Row],[Economy_GDP_per_Capita]]*100)/2</f>
        <v>47.25</v>
      </c>
      <c r="H705">
        <v>1.212</v>
      </c>
      <c r="I705">
        <f>(Master[[#This Row],[Family]]*100)/2</f>
        <v>60.6</v>
      </c>
      <c r="J705">
        <v>0.84499999999999997</v>
      </c>
      <c r="K705">
        <f>(Master[[#This Row],[Health_Life_Expectancy]]*100)/2</f>
        <v>42.25</v>
      </c>
      <c r="L705" s="3">
        <v>0.21199999999999999</v>
      </c>
      <c r="M705" s="3">
        <v>6.0000000000000001E-3</v>
      </c>
      <c r="N705" s="3">
        <v>0.26300000000000001</v>
      </c>
    </row>
    <row r="706" spans="1:14" x14ac:dyDescent="0.25">
      <c r="A706">
        <v>2019</v>
      </c>
      <c r="B706" t="s">
        <v>88</v>
      </c>
      <c r="C706">
        <v>79</v>
      </c>
      <c r="D706">
        <v>5.3730000000000002</v>
      </c>
      <c r="E706">
        <f>(Master[[#This Row],[Happiness_Score]]*100)/10</f>
        <v>53.730000000000004</v>
      </c>
      <c r="F706">
        <v>1.1830000000000001</v>
      </c>
      <c r="G706">
        <f>(Master[[#This Row],[Economy_GDP_per_Capita]]*100)/2</f>
        <v>59.150000000000006</v>
      </c>
      <c r="H706">
        <v>1.36</v>
      </c>
      <c r="I706">
        <f>(Master[[#This Row],[Family]]*100)/2</f>
        <v>68</v>
      </c>
      <c r="J706">
        <v>0.80800000000000005</v>
      </c>
      <c r="K706">
        <f>(Master[[#This Row],[Health_Life_Expectancy]]*100)/2</f>
        <v>40.400000000000006</v>
      </c>
      <c r="L706" s="3">
        <v>0.19500000000000001</v>
      </c>
      <c r="M706" s="3">
        <v>0.106</v>
      </c>
      <c r="N706" s="3">
        <v>8.3000000000000004E-2</v>
      </c>
    </row>
    <row r="707" spans="1:14" x14ac:dyDescent="0.25">
      <c r="A707">
        <v>2019</v>
      </c>
      <c r="B707" t="s">
        <v>72</v>
      </c>
      <c r="C707">
        <v>80</v>
      </c>
      <c r="D707">
        <v>5.3390000000000004</v>
      </c>
      <c r="E707">
        <f>(Master[[#This Row],[Happiness_Score]]*100)/10</f>
        <v>53.390000000000008</v>
      </c>
      <c r="F707">
        <v>1.2210000000000001</v>
      </c>
      <c r="G707">
        <f>(Master[[#This Row],[Economy_GDP_per_Capita]]*100)/2</f>
        <v>61.050000000000004</v>
      </c>
      <c r="H707">
        <v>1.171</v>
      </c>
      <c r="I707">
        <f>(Master[[#This Row],[Family]]*100)/2</f>
        <v>58.550000000000004</v>
      </c>
      <c r="J707">
        <v>0.82799999999999996</v>
      </c>
      <c r="K707">
        <f>(Master[[#This Row],[Health_Life_Expectancy]]*100)/2</f>
        <v>41.4</v>
      </c>
      <c r="L707" s="3">
        <v>0.50800000000000001</v>
      </c>
      <c r="M707" s="3">
        <v>2.4E-2</v>
      </c>
      <c r="N707" s="3">
        <v>0.26</v>
      </c>
    </row>
    <row r="708" spans="1:14" x14ac:dyDescent="0.25">
      <c r="A708">
        <v>2019</v>
      </c>
      <c r="B708" t="s">
        <v>70</v>
      </c>
      <c r="C708">
        <v>81</v>
      </c>
      <c r="D708">
        <v>5.3230000000000004</v>
      </c>
      <c r="E708">
        <f>(Master[[#This Row],[Happiness_Score]]*100)/10</f>
        <v>53.230000000000004</v>
      </c>
      <c r="F708">
        <v>1.0669999999999999</v>
      </c>
      <c r="G708">
        <f>(Master[[#This Row],[Economy_GDP_per_Capita]]*100)/2</f>
        <v>53.349999999999994</v>
      </c>
      <c r="H708">
        <v>1.4650000000000001</v>
      </c>
      <c r="I708">
        <f>(Master[[#This Row],[Family]]*100)/2</f>
        <v>73.25</v>
      </c>
      <c r="J708">
        <v>0.78900000000000003</v>
      </c>
      <c r="K708">
        <f>(Master[[#This Row],[Health_Life_Expectancy]]*100)/2</f>
        <v>39.450000000000003</v>
      </c>
      <c r="L708" s="3">
        <v>0.23499999999999999</v>
      </c>
      <c r="M708" s="3">
        <v>0.14199999999999999</v>
      </c>
      <c r="N708" s="3">
        <v>9.4E-2</v>
      </c>
    </row>
    <row r="709" spans="1:14" x14ac:dyDescent="0.25">
      <c r="A709">
        <v>2019</v>
      </c>
      <c r="B709" t="s">
        <v>115</v>
      </c>
      <c r="C709">
        <v>82</v>
      </c>
      <c r="D709">
        <v>5.2869999999999999</v>
      </c>
      <c r="E709">
        <f>(Master[[#This Row],[Happiness_Score]]*100)/10</f>
        <v>52.870000000000005</v>
      </c>
      <c r="F709">
        <v>1.181</v>
      </c>
      <c r="G709">
        <f>(Master[[#This Row],[Economy_GDP_per_Capita]]*100)/2</f>
        <v>59.050000000000004</v>
      </c>
      <c r="H709">
        <v>1.1559999999999999</v>
      </c>
      <c r="I709">
        <f>(Master[[#This Row],[Family]]*100)/2</f>
        <v>57.8</v>
      </c>
      <c r="J709">
        <v>0.999</v>
      </c>
      <c r="K709">
        <f>(Master[[#This Row],[Health_Life_Expectancy]]*100)/2</f>
        <v>49.95</v>
      </c>
      <c r="L709" s="3">
        <v>6.7000000000000004E-2</v>
      </c>
      <c r="M709" s="3">
        <v>3.4000000000000002E-2</v>
      </c>
      <c r="N709" s="3">
        <v>0</v>
      </c>
    </row>
    <row r="710" spans="1:14" x14ac:dyDescent="0.25">
      <c r="A710">
        <v>2019</v>
      </c>
      <c r="B710" t="s">
        <v>113</v>
      </c>
      <c r="C710">
        <v>83</v>
      </c>
      <c r="D710">
        <v>5.2850000000000001</v>
      </c>
      <c r="E710">
        <f>(Master[[#This Row],[Happiness_Score]]*100)/10</f>
        <v>52.85</v>
      </c>
      <c r="F710">
        <v>0.94799999999999995</v>
      </c>
      <c r="G710">
        <f>(Master[[#This Row],[Economy_GDP_per_Capita]]*100)/2</f>
        <v>47.4</v>
      </c>
      <c r="H710">
        <v>1.5309999999999999</v>
      </c>
      <c r="I710">
        <f>(Master[[#This Row],[Family]]*100)/2</f>
        <v>76.55</v>
      </c>
      <c r="J710">
        <v>0.66700000000000004</v>
      </c>
      <c r="K710">
        <f>(Master[[#This Row],[Health_Life_Expectancy]]*100)/2</f>
        <v>33.35</v>
      </c>
      <c r="L710" s="3">
        <v>0.317</v>
      </c>
      <c r="M710" s="3">
        <v>3.7999999999999999E-2</v>
      </c>
      <c r="N710" s="3">
        <v>0.23499999999999999</v>
      </c>
    </row>
    <row r="711" spans="1:14" x14ac:dyDescent="0.25">
      <c r="A711">
        <v>2019</v>
      </c>
      <c r="B711" t="s">
        <v>294</v>
      </c>
      <c r="C711">
        <v>84</v>
      </c>
      <c r="D711">
        <v>5.274</v>
      </c>
      <c r="E711">
        <f>(Master[[#This Row],[Happiness_Score]]*100)/10</f>
        <v>52.739999999999995</v>
      </c>
      <c r="F711">
        <v>0.98299999999999998</v>
      </c>
      <c r="G711">
        <f>(Master[[#This Row],[Economy_GDP_per_Capita]]*100)/2</f>
        <v>49.15</v>
      </c>
      <c r="H711">
        <v>1.294</v>
      </c>
      <c r="I711">
        <f>(Master[[#This Row],[Family]]*100)/2</f>
        <v>64.7</v>
      </c>
      <c r="J711">
        <v>0.83799999999999997</v>
      </c>
      <c r="K711">
        <f>(Master[[#This Row],[Health_Life_Expectancy]]*100)/2</f>
        <v>41.9</v>
      </c>
      <c r="L711" s="3">
        <v>0.34499999999999997</v>
      </c>
      <c r="M711" s="3">
        <v>3.4000000000000002E-2</v>
      </c>
      <c r="N711" s="3">
        <v>0.185</v>
      </c>
    </row>
    <row r="712" spans="1:14" x14ac:dyDescent="0.25">
      <c r="A712">
        <v>2019</v>
      </c>
      <c r="B712" t="s">
        <v>90</v>
      </c>
      <c r="C712">
        <v>85</v>
      </c>
      <c r="D712">
        <v>5.2649999999999997</v>
      </c>
      <c r="E712">
        <f>(Master[[#This Row],[Happiness_Score]]*100)/10</f>
        <v>52.65</v>
      </c>
      <c r="F712">
        <v>0.69599999999999995</v>
      </c>
      <c r="G712">
        <f>(Master[[#This Row],[Economy_GDP_per_Capita]]*100)/2</f>
        <v>34.799999999999997</v>
      </c>
      <c r="H712">
        <v>1.111</v>
      </c>
      <c r="I712">
        <f>(Master[[#This Row],[Family]]*100)/2</f>
        <v>55.55</v>
      </c>
      <c r="J712">
        <v>0.245</v>
      </c>
      <c r="K712">
        <f>(Master[[#This Row],[Health_Life_Expectancy]]*100)/2</f>
        <v>12.25</v>
      </c>
      <c r="L712" s="3">
        <v>0.42599999999999999</v>
      </c>
      <c r="M712" s="3">
        <v>4.1000000000000002E-2</v>
      </c>
      <c r="N712" s="3">
        <v>0.215</v>
      </c>
    </row>
    <row r="713" spans="1:14" x14ac:dyDescent="0.25">
      <c r="A713">
        <v>2019</v>
      </c>
      <c r="B713" t="s">
        <v>89</v>
      </c>
      <c r="C713">
        <v>86</v>
      </c>
      <c r="D713">
        <v>5.2610000000000001</v>
      </c>
      <c r="E713">
        <f>(Master[[#This Row],[Happiness_Score]]*100)/10</f>
        <v>52.61</v>
      </c>
      <c r="F713">
        <v>0.55100000000000005</v>
      </c>
      <c r="G713">
        <f>(Master[[#This Row],[Economy_GDP_per_Capita]]*100)/2</f>
        <v>27.55</v>
      </c>
      <c r="H713">
        <v>1.4379999999999999</v>
      </c>
      <c r="I713">
        <f>(Master[[#This Row],[Family]]*100)/2</f>
        <v>71.899999999999991</v>
      </c>
      <c r="J713">
        <v>0.72299999999999998</v>
      </c>
      <c r="K713">
        <f>(Master[[#This Row],[Health_Life_Expectancy]]*100)/2</f>
        <v>36.15</v>
      </c>
      <c r="L713" s="3">
        <v>0.50800000000000001</v>
      </c>
      <c r="M713" s="3">
        <v>2.3E-2</v>
      </c>
      <c r="N713" s="3">
        <v>0.3</v>
      </c>
    </row>
    <row r="714" spans="1:14" x14ac:dyDescent="0.25">
      <c r="A714">
        <v>2019</v>
      </c>
      <c r="B714" t="s">
        <v>81</v>
      </c>
      <c r="C714">
        <v>87</v>
      </c>
      <c r="D714">
        <v>5.2469999999999999</v>
      </c>
      <c r="E714">
        <f>(Master[[#This Row],[Happiness_Score]]*100)/10</f>
        <v>52.470000000000006</v>
      </c>
      <c r="F714">
        <v>1.052</v>
      </c>
      <c r="G714">
        <f>(Master[[#This Row],[Economy_GDP_per_Capita]]*100)/2</f>
        <v>52.6</v>
      </c>
      <c r="H714">
        <v>1.538</v>
      </c>
      <c r="I714">
        <f>(Master[[#This Row],[Family]]*100)/2</f>
        <v>76.900000000000006</v>
      </c>
      <c r="J714">
        <v>0.65700000000000003</v>
      </c>
      <c r="K714">
        <f>(Master[[#This Row],[Health_Life_Expectancy]]*100)/2</f>
        <v>32.85</v>
      </c>
      <c r="L714" s="3">
        <v>0.39400000000000002</v>
      </c>
      <c r="M714" s="3">
        <v>2.8000000000000001E-2</v>
      </c>
      <c r="N714" s="3">
        <v>0.24399999999999999</v>
      </c>
    </row>
    <row r="715" spans="1:14" x14ac:dyDescent="0.25">
      <c r="A715">
        <v>2019</v>
      </c>
      <c r="B715" t="s">
        <v>79</v>
      </c>
      <c r="C715">
        <v>88</v>
      </c>
      <c r="D715">
        <v>5.2110000000000003</v>
      </c>
      <c r="E715">
        <f>(Master[[#This Row],[Happiness_Score]]*100)/10</f>
        <v>52.11</v>
      </c>
      <c r="F715">
        <v>1.002</v>
      </c>
      <c r="G715">
        <f>(Master[[#This Row],[Economy_GDP_per_Capita]]*100)/2</f>
        <v>50.1</v>
      </c>
      <c r="H715">
        <v>1.1599999999999999</v>
      </c>
      <c r="I715">
        <f>(Master[[#This Row],[Family]]*100)/2</f>
        <v>57.999999999999993</v>
      </c>
      <c r="J715">
        <v>0.78500000000000003</v>
      </c>
      <c r="K715">
        <f>(Master[[#This Row],[Health_Life_Expectancy]]*100)/2</f>
        <v>39.25</v>
      </c>
      <c r="L715" s="3">
        <v>8.5999999999999993E-2</v>
      </c>
      <c r="M715" s="3">
        <v>0.114</v>
      </c>
      <c r="N715" s="3">
        <v>7.2999999999999995E-2</v>
      </c>
    </row>
    <row r="716" spans="1:14" x14ac:dyDescent="0.25">
      <c r="A716">
        <v>2019</v>
      </c>
      <c r="B716" t="s">
        <v>105</v>
      </c>
      <c r="C716">
        <v>89</v>
      </c>
      <c r="D716">
        <v>5.2080000000000002</v>
      </c>
      <c r="E716">
        <f>(Master[[#This Row],[Happiness_Score]]*100)/10</f>
        <v>52.080000000000005</v>
      </c>
      <c r="F716">
        <v>0.80100000000000005</v>
      </c>
      <c r="G716">
        <f>(Master[[#This Row],[Economy_GDP_per_Capita]]*100)/2</f>
        <v>40.050000000000004</v>
      </c>
      <c r="H716">
        <v>0.78200000000000003</v>
      </c>
      <c r="I716">
        <f>(Master[[#This Row],[Family]]*100)/2</f>
        <v>39.1</v>
      </c>
      <c r="J716">
        <v>0.78200000000000003</v>
      </c>
      <c r="K716">
        <f>(Master[[#This Row],[Health_Life_Expectancy]]*100)/2</f>
        <v>39.1</v>
      </c>
      <c r="L716" s="3">
        <v>0.41799999999999998</v>
      </c>
      <c r="M716" s="3">
        <v>7.5999999999999998E-2</v>
      </c>
      <c r="N716" s="3">
        <v>3.5999999999999997E-2</v>
      </c>
    </row>
    <row r="717" spans="1:14" x14ac:dyDescent="0.25">
      <c r="A717">
        <v>2019</v>
      </c>
      <c r="B717" t="s">
        <v>93</v>
      </c>
      <c r="C717">
        <v>90</v>
      </c>
      <c r="D717">
        <v>5.2080000000000002</v>
      </c>
      <c r="E717">
        <f>(Master[[#This Row],[Happiness_Score]]*100)/10</f>
        <v>52.080000000000005</v>
      </c>
      <c r="F717">
        <v>1.0429999999999999</v>
      </c>
      <c r="G717">
        <f>(Master[[#This Row],[Economy_GDP_per_Capita]]*100)/2</f>
        <v>52.15</v>
      </c>
      <c r="H717">
        <v>1.147</v>
      </c>
      <c r="I717">
        <f>(Master[[#This Row],[Family]]*100)/2</f>
        <v>57.35</v>
      </c>
      <c r="J717">
        <v>0.76900000000000002</v>
      </c>
      <c r="K717">
        <f>(Master[[#This Row],[Health_Life_Expectancy]]*100)/2</f>
        <v>38.450000000000003</v>
      </c>
      <c r="L717" s="3">
        <v>0.35099999999999998</v>
      </c>
      <c r="M717" s="3">
        <v>0.182</v>
      </c>
      <c r="N717" s="3">
        <v>3.5000000000000003E-2</v>
      </c>
    </row>
    <row r="718" spans="1:14" x14ac:dyDescent="0.25">
      <c r="A718">
        <v>2019</v>
      </c>
      <c r="B718" t="s">
        <v>116</v>
      </c>
      <c r="C718">
        <v>91</v>
      </c>
      <c r="D718">
        <v>5.1970000000000001</v>
      </c>
      <c r="E718">
        <f>(Master[[#This Row],[Happiness_Score]]*100)/10</f>
        <v>51.970000000000006</v>
      </c>
      <c r="F718">
        <v>0.98699999999999999</v>
      </c>
      <c r="G718">
        <f>(Master[[#This Row],[Economy_GDP_per_Capita]]*100)/2</f>
        <v>49.35</v>
      </c>
      <c r="H718">
        <v>1.224</v>
      </c>
      <c r="I718">
        <f>(Master[[#This Row],[Family]]*100)/2</f>
        <v>61.199999999999996</v>
      </c>
      <c r="J718">
        <v>0.81499999999999995</v>
      </c>
      <c r="K718">
        <f>(Master[[#This Row],[Health_Life_Expectancy]]*100)/2</f>
        <v>40.75</v>
      </c>
      <c r="L718" s="3">
        <v>0.216</v>
      </c>
      <c r="M718" s="3">
        <v>2.7E-2</v>
      </c>
      <c r="N718" s="3">
        <v>0.16600000000000001</v>
      </c>
    </row>
    <row r="719" spans="1:14" x14ac:dyDescent="0.25">
      <c r="A719">
        <v>2019</v>
      </c>
      <c r="B719" t="s">
        <v>86</v>
      </c>
      <c r="C719">
        <v>92</v>
      </c>
      <c r="D719">
        <v>5.1920000000000002</v>
      </c>
      <c r="E719">
        <f>(Master[[#This Row],[Happiness_Score]]*100)/10</f>
        <v>51.92</v>
      </c>
      <c r="F719">
        <v>0.93100000000000005</v>
      </c>
      <c r="G719">
        <f>(Master[[#This Row],[Economy_GDP_per_Capita]]*100)/2</f>
        <v>46.550000000000004</v>
      </c>
      <c r="H719">
        <v>1.2030000000000001</v>
      </c>
      <c r="I719">
        <f>(Master[[#This Row],[Family]]*100)/2</f>
        <v>60.150000000000006</v>
      </c>
      <c r="J719">
        <v>0.66</v>
      </c>
      <c r="K719">
        <f>(Master[[#This Row],[Health_Life_Expectancy]]*100)/2</f>
        <v>33</v>
      </c>
      <c r="L719" s="3">
        <v>0.49099999999999999</v>
      </c>
      <c r="M719" s="3">
        <v>2.8000000000000001E-2</v>
      </c>
      <c r="N719" s="3">
        <v>0.498</v>
      </c>
    </row>
    <row r="720" spans="1:14" x14ac:dyDescent="0.25">
      <c r="A720">
        <v>2019</v>
      </c>
      <c r="B720" t="s">
        <v>97</v>
      </c>
      <c r="C720">
        <v>93</v>
      </c>
      <c r="D720">
        <v>5.1909999999999998</v>
      </c>
      <c r="E720">
        <f>(Master[[#This Row],[Happiness_Score]]*100)/10</f>
        <v>51.910000000000004</v>
      </c>
      <c r="F720">
        <v>1.0289999999999999</v>
      </c>
      <c r="G720">
        <f>(Master[[#This Row],[Economy_GDP_per_Capita]]*100)/2</f>
        <v>51.449999999999996</v>
      </c>
      <c r="H720">
        <v>1.125</v>
      </c>
      <c r="I720">
        <f>(Master[[#This Row],[Family]]*100)/2</f>
        <v>56.25</v>
      </c>
      <c r="J720">
        <v>0.89300000000000002</v>
      </c>
      <c r="K720">
        <f>(Master[[#This Row],[Health_Life_Expectancy]]*100)/2</f>
        <v>44.65</v>
      </c>
      <c r="L720" s="3">
        <v>0.52100000000000002</v>
      </c>
      <c r="M720" s="3">
        <v>0.1</v>
      </c>
      <c r="N720" s="3">
        <v>5.8000000000000003E-2</v>
      </c>
    </row>
    <row r="721" spans="1:14" x14ac:dyDescent="0.25">
      <c r="A721">
        <v>2019</v>
      </c>
      <c r="B721" t="s">
        <v>87</v>
      </c>
      <c r="C721">
        <v>94</v>
      </c>
      <c r="D721">
        <v>5.1749999999999998</v>
      </c>
      <c r="E721">
        <f>(Master[[#This Row],[Happiness_Score]]*100)/10</f>
        <v>51.75</v>
      </c>
      <c r="F721">
        <v>0.74099999999999999</v>
      </c>
      <c r="G721">
        <f>(Master[[#This Row],[Economy_GDP_per_Capita]]*100)/2</f>
        <v>37.049999999999997</v>
      </c>
      <c r="H721">
        <v>1.3460000000000001</v>
      </c>
      <c r="I721">
        <f>(Master[[#This Row],[Family]]*100)/2</f>
        <v>67.300000000000011</v>
      </c>
      <c r="J721">
        <v>0.85099999999999998</v>
      </c>
      <c r="K721">
        <f>(Master[[#This Row],[Health_Life_Expectancy]]*100)/2</f>
        <v>42.55</v>
      </c>
      <c r="L721" s="3">
        <v>0.54300000000000004</v>
      </c>
      <c r="M721" s="3">
        <v>7.2999999999999995E-2</v>
      </c>
      <c r="N721" s="3">
        <v>0.14699999999999999</v>
      </c>
    </row>
    <row r="722" spans="1:14" x14ac:dyDescent="0.25">
      <c r="A722">
        <v>2019</v>
      </c>
      <c r="B722" t="s">
        <v>91</v>
      </c>
      <c r="C722">
        <v>95</v>
      </c>
      <c r="D722">
        <v>5.0819999999999999</v>
      </c>
      <c r="E722">
        <f>(Master[[#This Row],[Happiness_Score]]*100)/10</f>
        <v>50.82</v>
      </c>
      <c r="F722">
        <v>0.81299999999999994</v>
      </c>
      <c r="G722">
        <f>(Master[[#This Row],[Economy_GDP_per_Capita]]*100)/2</f>
        <v>40.65</v>
      </c>
      <c r="H722">
        <v>1.321</v>
      </c>
      <c r="I722">
        <f>(Master[[#This Row],[Family]]*100)/2</f>
        <v>66.05</v>
      </c>
      <c r="J722">
        <v>0.60399999999999998</v>
      </c>
      <c r="K722">
        <f>(Master[[#This Row],[Health_Life_Expectancy]]*100)/2</f>
        <v>30.2</v>
      </c>
      <c r="L722" s="3">
        <v>0.45700000000000002</v>
      </c>
      <c r="M722" s="3">
        <v>0.16700000000000001</v>
      </c>
      <c r="N722" s="3">
        <v>0.37</v>
      </c>
    </row>
    <row r="723" spans="1:14" x14ac:dyDescent="0.25">
      <c r="A723">
        <v>2019</v>
      </c>
      <c r="B723" t="s">
        <v>146</v>
      </c>
      <c r="C723">
        <v>96</v>
      </c>
      <c r="D723">
        <v>5.0439999999999996</v>
      </c>
      <c r="E723">
        <f>(Master[[#This Row],[Happiness_Score]]*100)/10</f>
        <v>50.44</v>
      </c>
      <c r="F723">
        <v>0.54900000000000004</v>
      </c>
      <c r="G723">
        <f>(Master[[#This Row],[Economy_GDP_per_Capita]]*100)/2</f>
        <v>27.450000000000003</v>
      </c>
      <c r="H723">
        <v>0.91</v>
      </c>
      <c r="I723">
        <f>(Master[[#This Row],[Family]]*100)/2</f>
        <v>45.5</v>
      </c>
      <c r="J723">
        <v>0.33100000000000002</v>
      </c>
      <c r="K723">
        <f>(Master[[#This Row],[Health_Life_Expectancy]]*100)/2</f>
        <v>16.55</v>
      </c>
      <c r="L723" s="3">
        <v>0.38100000000000001</v>
      </c>
      <c r="M723" s="3">
        <v>3.6999999999999998E-2</v>
      </c>
      <c r="N723" s="3">
        <v>0.187</v>
      </c>
    </row>
    <row r="724" spans="1:14" x14ac:dyDescent="0.25">
      <c r="A724">
        <v>2019</v>
      </c>
      <c r="B724" t="s">
        <v>147</v>
      </c>
      <c r="C724">
        <v>97</v>
      </c>
      <c r="D724">
        <v>5.0110000000000001</v>
      </c>
      <c r="E724">
        <f>(Master[[#This Row],[Happiness_Score]]*100)/10</f>
        <v>50.11</v>
      </c>
      <c r="F724">
        <v>1.0920000000000001</v>
      </c>
      <c r="G724">
        <f>(Master[[#This Row],[Economy_GDP_per_Capita]]*100)/2</f>
        <v>54.6</v>
      </c>
      <c r="H724">
        <v>1.5129999999999999</v>
      </c>
      <c r="I724">
        <f>(Master[[#This Row],[Family]]*100)/2</f>
        <v>75.649999999999991</v>
      </c>
      <c r="J724">
        <v>0.81499999999999995</v>
      </c>
      <c r="K724">
        <f>(Master[[#This Row],[Health_Life_Expectancy]]*100)/2</f>
        <v>40.75</v>
      </c>
      <c r="L724" s="3">
        <v>0.311</v>
      </c>
      <c r="M724" s="3">
        <v>4.0000000000000001E-3</v>
      </c>
      <c r="N724" s="3">
        <v>8.1000000000000003E-2</v>
      </c>
    </row>
    <row r="725" spans="1:14" x14ac:dyDescent="0.25">
      <c r="A725">
        <v>2019</v>
      </c>
      <c r="B725" t="s">
        <v>127</v>
      </c>
      <c r="C725">
        <v>98</v>
      </c>
      <c r="D725">
        <v>4.9960000000000004</v>
      </c>
      <c r="E725">
        <f>(Master[[#This Row],[Happiness_Score]]*100)/10</f>
        <v>49.96</v>
      </c>
      <c r="F725">
        <v>0.61099999999999999</v>
      </c>
      <c r="G725">
        <f>(Master[[#This Row],[Economy_GDP_per_Capita]]*100)/2</f>
        <v>30.55</v>
      </c>
      <c r="H725">
        <v>0.86799999999999999</v>
      </c>
      <c r="I725">
        <f>(Master[[#This Row],[Family]]*100)/2</f>
        <v>43.4</v>
      </c>
      <c r="J725">
        <v>0.48599999999999999</v>
      </c>
      <c r="K725">
        <f>(Master[[#This Row],[Health_Life_Expectancy]]*100)/2</f>
        <v>24.3</v>
      </c>
      <c r="L725" s="3">
        <v>0.38100000000000001</v>
      </c>
      <c r="M725" s="3">
        <v>0.04</v>
      </c>
      <c r="N725" s="3">
        <v>0.245</v>
      </c>
    </row>
    <row r="726" spans="1:14" x14ac:dyDescent="0.25">
      <c r="A726">
        <v>2019</v>
      </c>
      <c r="B726" t="s">
        <v>164</v>
      </c>
      <c r="C726">
        <v>99</v>
      </c>
      <c r="D726">
        <v>4.944</v>
      </c>
      <c r="E726">
        <f>(Master[[#This Row],[Happiness_Score]]*100)/10</f>
        <v>49.44</v>
      </c>
      <c r="F726">
        <v>0.56899999999999995</v>
      </c>
      <c r="G726">
        <f>(Master[[#This Row],[Economy_GDP_per_Capita]]*100)/2</f>
        <v>28.449999999999996</v>
      </c>
      <c r="H726">
        <v>0.80800000000000005</v>
      </c>
      <c r="I726">
        <f>(Master[[#This Row],[Family]]*100)/2</f>
        <v>40.400000000000006</v>
      </c>
      <c r="J726">
        <v>0.23200000000000001</v>
      </c>
      <c r="K726">
        <f>(Master[[#This Row],[Health_Life_Expectancy]]*100)/2</f>
        <v>11.600000000000001</v>
      </c>
      <c r="L726" s="3">
        <v>0.35199999999999998</v>
      </c>
      <c r="M726" s="3">
        <v>0.09</v>
      </c>
      <c r="N726" s="3">
        <v>0.154</v>
      </c>
    </row>
    <row r="727" spans="1:14" x14ac:dyDescent="0.25">
      <c r="A727">
        <v>2019</v>
      </c>
      <c r="B727" t="s">
        <v>134</v>
      </c>
      <c r="C727">
        <v>100</v>
      </c>
      <c r="D727">
        <v>4.9130000000000003</v>
      </c>
      <c r="E727">
        <f>(Master[[#This Row],[Happiness_Score]]*100)/10</f>
        <v>49.13</v>
      </c>
      <c r="F727">
        <v>0.44600000000000001</v>
      </c>
      <c r="G727">
        <f>(Master[[#This Row],[Economy_GDP_per_Capita]]*100)/2</f>
        <v>22.3</v>
      </c>
      <c r="H727">
        <v>1.226</v>
      </c>
      <c r="I727">
        <f>(Master[[#This Row],[Family]]*100)/2</f>
        <v>61.3</v>
      </c>
      <c r="J727">
        <v>0.67700000000000005</v>
      </c>
      <c r="K727">
        <f>(Master[[#This Row],[Health_Life_Expectancy]]*100)/2</f>
        <v>33.85</v>
      </c>
      <c r="L727" s="3">
        <v>0.439</v>
      </c>
      <c r="M727" s="3">
        <v>8.8999999999999996E-2</v>
      </c>
      <c r="N727" s="3">
        <v>0.28499999999999998</v>
      </c>
    </row>
    <row r="728" spans="1:14" x14ac:dyDescent="0.25">
      <c r="A728">
        <v>2019</v>
      </c>
      <c r="B728" t="s">
        <v>95</v>
      </c>
      <c r="C728">
        <v>101</v>
      </c>
      <c r="D728">
        <v>4.9059999999999997</v>
      </c>
      <c r="E728">
        <f>(Master[[#This Row],[Happiness_Score]]*100)/10</f>
        <v>49.059999999999995</v>
      </c>
      <c r="F728">
        <v>0.83699999999999997</v>
      </c>
      <c r="G728">
        <f>(Master[[#This Row],[Economy_GDP_per_Capita]]*100)/2</f>
        <v>41.85</v>
      </c>
      <c r="H728">
        <v>1.2250000000000001</v>
      </c>
      <c r="I728">
        <f>(Master[[#This Row],[Family]]*100)/2</f>
        <v>61.250000000000007</v>
      </c>
      <c r="J728">
        <v>0.81499999999999995</v>
      </c>
      <c r="K728">
        <f>(Master[[#This Row],[Health_Life_Expectancy]]*100)/2</f>
        <v>40.75</v>
      </c>
      <c r="L728" s="3">
        <v>0.38300000000000001</v>
      </c>
      <c r="M728" s="3">
        <v>0.13</v>
      </c>
      <c r="N728" s="3">
        <v>0.11</v>
      </c>
    </row>
    <row r="729" spans="1:14" x14ac:dyDescent="0.25">
      <c r="A729">
        <v>2019</v>
      </c>
      <c r="B729" t="s">
        <v>168</v>
      </c>
      <c r="C729">
        <v>102</v>
      </c>
      <c r="D729">
        <v>4.883</v>
      </c>
      <c r="E729">
        <f>(Master[[#This Row],[Happiness_Score]]*100)/10</f>
        <v>48.83</v>
      </c>
      <c r="F729">
        <v>0.39300000000000002</v>
      </c>
      <c r="G729">
        <f>(Master[[#This Row],[Economy_GDP_per_Capita]]*100)/2</f>
        <v>19.650000000000002</v>
      </c>
      <c r="H729">
        <v>0.437</v>
      </c>
      <c r="I729">
        <f>(Master[[#This Row],[Family]]*100)/2</f>
        <v>21.85</v>
      </c>
      <c r="J729">
        <v>0.39700000000000002</v>
      </c>
      <c r="K729">
        <f>(Master[[#This Row],[Health_Life_Expectancy]]*100)/2</f>
        <v>19.850000000000001</v>
      </c>
      <c r="L729" s="3">
        <v>0.34899999999999998</v>
      </c>
      <c r="M729" s="3">
        <v>8.2000000000000003E-2</v>
      </c>
      <c r="N729" s="3">
        <v>0.17499999999999999</v>
      </c>
    </row>
    <row r="730" spans="1:14" x14ac:dyDescent="0.25">
      <c r="A730">
        <v>2019</v>
      </c>
      <c r="B730" t="s">
        <v>152</v>
      </c>
      <c r="C730">
        <v>103</v>
      </c>
      <c r="D730">
        <v>4.8120000000000003</v>
      </c>
      <c r="E730">
        <f>(Master[[#This Row],[Happiness_Score]]*100)/10</f>
        <v>48.120000000000005</v>
      </c>
      <c r="F730">
        <v>0.67300000000000004</v>
      </c>
      <c r="G730">
        <f>(Master[[#This Row],[Economy_GDP_per_Capita]]*100)/2</f>
        <v>33.650000000000006</v>
      </c>
      <c r="H730">
        <v>0.79900000000000004</v>
      </c>
      <c r="I730">
        <f>(Master[[#This Row],[Family]]*100)/2</f>
        <v>39.950000000000003</v>
      </c>
      <c r="J730">
        <v>0.50800000000000001</v>
      </c>
      <c r="K730">
        <f>(Master[[#This Row],[Health_Life_Expectancy]]*100)/2</f>
        <v>25.4</v>
      </c>
      <c r="L730" s="3">
        <v>0.372</v>
      </c>
      <c r="M730" s="3">
        <v>9.2999999999999999E-2</v>
      </c>
      <c r="N730" s="3">
        <v>0.105</v>
      </c>
    </row>
    <row r="731" spans="1:14" x14ac:dyDescent="0.25">
      <c r="A731">
        <v>2019</v>
      </c>
      <c r="B731" t="s">
        <v>156</v>
      </c>
      <c r="C731">
        <v>104</v>
      </c>
      <c r="D731">
        <v>4.7990000000000004</v>
      </c>
      <c r="E731">
        <f>(Master[[#This Row],[Happiness_Score]]*100)/10</f>
        <v>47.99</v>
      </c>
      <c r="F731">
        <v>1.0569999999999999</v>
      </c>
      <c r="G731">
        <f>(Master[[#This Row],[Economy_GDP_per_Capita]]*100)/2</f>
        <v>52.849999999999994</v>
      </c>
      <c r="H731">
        <v>1.1830000000000001</v>
      </c>
      <c r="I731">
        <f>(Master[[#This Row],[Family]]*100)/2</f>
        <v>59.150000000000006</v>
      </c>
      <c r="J731">
        <v>0.57099999999999995</v>
      </c>
      <c r="K731">
        <f>(Master[[#This Row],[Health_Life_Expectancy]]*100)/2</f>
        <v>28.549999999999997</v>
      </c>
      <c r="L731" s="3">
        <v>0.29499999999999998</v>
      </c>
      <c r="M731" s="3">
        <v>5.5E-2</v>
      </c>
      <c r="N731" s="3">
        <v>4.2999999999999997E-2</v>
      </c>
    </row>
    <row r="732" spans="1:14" x14ac:dyDescent="0.25">
      <c r="A732">
        <v>2019</v>
      </c>
      <c r="B732" t="s">
        <v>112</v>
      </c>
      <c r="C732">
        <v>105</v>
      </c>
      <c r="D732">
        <v>4.7960000000000003</v>
      </c>
      <c r="E732">
        <f>(Master[[#This Row],[Happiness_Score]]*100)/10</f>
        <v>47.96</v>
      </c>
      <c r="F732">
        <v>0.76400000000000001</v>
      </c>
      <c r="G732">
        <f>(Master[[#This Row],[Economy_GDP_per_Capita]]*100)/2</f>
        <v>38.200000000000003</v>
      </c>
      <c r="H732">
        <v>1.03</v>
      </c>
      <c r="I732">
        <f>(Master[[#This Row],[Family]]*100)/2</f>
        <v>51.5</v>
      </c>
      <c r="J732">
        <v>0.55100000000000005</v>
      </c>
      <c r="K732">
        <f>(Master[[#This Row],[Health_Life_Expectancy]]*100)/2</f>
        <v>27.55</v>
      </c>
      <c r="L732" s="3">
        <v>0.54700000000000004</v>
      </c>
      <c r="M732" s="3">
        <v>0.16400000000000001</v>
      </c>
      <c r="N732" s="3">
        <v>0.26600000000000001</v>
      </c>
    </row>
    <row r="733" spans="1:14" x14ac:dyDescent="0.25">
      <c r="A733">
        <v>2019</v>
      </c>
      <c r="B733" t="s">
        <v>126</v>
      </c>
      <c r="C733">
        <v>106</v>
      </c>
      <c r="D733">
        <v>4.7220000000000004</v>
      </c>
      <c r="E733">
        <f>(Master[[#This Row],[Happiness_Score]]*100)/10</f>
        <v>47.220000000000006</v>
      </c>
      <c r="F733">
        <v>0.96</v>
      </c>
      <c r="G733">
        <f>(Master[[#This Row],[Economy_GDP_per_Capita]]*100)/2</f>
        <v>48</v>
      </c>
      <c r="H733">
        <v>1.351</v>
      </c>
      <c r="I733">
        <f>(Master[[#This Row],[Family]]*100)/2</f>
        <v>67.55</v>
      </c>
      <c r="J733">
        <v>0.46899999999999997</v>
      </c>
      <c r="K733">
        <f>(Master[[#This Row],[Health_Life_Expectancy]]*100)/2</f>
        <v>23.45</v>
      </c>
      <c r="L733" s="3">
        <v>0.38900000000000001</v>
      </c>
      <c r="M733" s="3">
        <v>5.5E-2</v>
      </c>
      <c r="N733" s="3">
        <v>0.13</v>
      </c>
    </row>
    <row r="734" spans="1:14" x14ac:dyDescent="0.25">
      <c r="A734">
        <v>2019</v>
      </c>
      <c r="B734" t="s">
        <v>108</v>
      </c>
      <c r="C734">
        <v>107</v>
      </c>
      <c r="D734">
        <v>4.7190000000000003</v>
      </c>
      <c r="E734">
        <f>(Master[[#This Row],[Happiness_Score]]*100)/10</f>
        <v>47.190000000000005</v>
      </c>
      <c r="F734">
        <v>0.94699999999999995</v>
      </c>
      <c r="G734">
        <f>(Master[[#This Row],[Economy_GDP_per_Capita]]*100)/2</f>
        <v>47.349999999999994</v>
      </c>
      <c r="H734">
        <v>0.84799999999999998</v>
      </c>
      <c r="I734">
        <f>(Master[[#This Row],[Family]]*100)/2</f>
        <v>42.4</v>
      </c>
      <c r="J734">
        <v>0.874</v>
      </c>
      <c r="K734">
        <f>(Master[[#This Row],[Health_Life_Expectancy]]*100)/2</f>
        <v>43.7</v>
      </c>
      <c r="L734" s="3">
        <v>0.38300000000000001</v>
      </c>
      <c r="M734" s="3">
        <v>2.7E-2</v>
      </c>
      <c r="N734" s="3">
        <v>0.17799999999999999</v>
      </c>
    </row>
    <row r="735" spans="1:14" x14ac:dyDescent="0.25">
      <c r="A735">
        <v>2019</v>
      </c>
      <c r="B735" t="s">
        <v>31</v>
      </c>
      <c r="C735">
        <v>108</v>
      </c>
      <c r="D735">
        <v>4.7069999999999999</v>
      </c>
      <c r="E735">
        <f>(Master[[#This Row],[Happiness_Score]]*100)/10</f>
        <v>47.07</v>
      </c>
      <c r="F735">
        <v>0.96</v>
      </c>
      <c r="G735">
        <f>(Master[[#This Row],[Economy_GDP_per_Capita]]*100)/2</f>
        <v>48</v>
      </c>
      <c r="H735">
        <v>1.427</v>
      </c>
      <c r="I735">
        <f>(Master[[#This Row],[Family]]*100)/2</f>
        <v>71.350000000000009</v>
      </c>
      <c r="J735">
        <v>0.80500000000000005</v>
      </c>
      <c r="K735">
        <f>(Master[[#This Row],[Health_Life_Expectancy]]*100)/2</f>
        <v>40.25</v>
      </c>
      <c r="L735" s="3">
        <v>0.154</v>
      </c>
      <c r="M735" s="3">
        <v>4.7E-2</v>
      </c>
      <c r="N735" s="3">
        <v>6.4000000000000001E-2</v>
      </c>
    </row>
    <row r="736" spans="1:14" x14ac:dyDescent="0.25">
      <c r="A736">
        <v>2019</v>
      </c>
      <c r="B736" t="s">
        <v>158</v>
      </c>
      <c r="C736">
        <v>109</v>
      </c>
      <c r="D736">
        <v>4.7</v>
      </c>
      <c r="E736">
        <f>(Master[[#This Row],[Happiness_Score]]*100)/10</f>
        <v>47</v>
      </c>
      <c r="F736">
        <v>0.57399999999999995</v>
      </c>
      <c r="G736">
        <f>(Master[[#This Row],[Economy_GDP_per_Capita]]*100)/2</f>
        <v>28.7</v>
      </c>
      <c r="H736">
        <v>1.1220000000000001</v>
      </c>
      <c r="I736">
        <f>(Master[[#This Row],[Family]]*100)/2</f>
        <v>56.100000000000009</v>
      </c>
      <c r="J736">
        <v>0.63700000000000001</v>
      </c>
      <c r="K736">
        <f>(Master[[#This Row],[Health_Life_Expectancy]]*100)/2</f>
        <v>31.85</v>
      </c>
      <c r="L736" s="3">
        <v>0.60899999999999999</v>
      </c>
      <c r="M736" s="3">
        <v>6.2E-2</v>
      </c>
      <c r="N736" s="3">
        <v>0.23200000000000001</v>
      </c>
    </row>
    <row r="737" spans="1:14" x14ac:dyDescent="0.25">
      <c r="A737">
        <v>2019</v>
      </c>
      <c r="B737" t="s">
        <v>121</v>
      </c>
      <c r="C737">
        <v>110</v>
      </c>
      <c r="D737">
        <v>4.6959999999999997</v>
      </c>
      <c r="E737">
        <f>(Master[[#This Row],[Happiness_Score]]*100)/10</f>
        <v>46.959999999999994</v>
      </c>
      <c r="F737">
        <v>0.65700000000000003</v>
      </c>
      <c r="G737">
        <f>(Master[[#This Row],[Economy_GDP_per_Capita]]*100)/2</f>
        <v>32.85</v>
      </c>
      <c r="H737">
        <v>1.2470000000000001</v>
      </c>
      <c r="I737">
        <f>(Master[[#This Row],[Family]]*100)/2</f>
        <v>62.350000000000009</v>
      </c>
      <c r="J737">
        <v>0.67200000000000004</v>
      </c>
      <c r="K737">
        <f>(Master[[#This Row],[Health_Life_Expectancy]]*100)/2</f>
        <v>33.6</v>
      </c>
      <c r="L737" s="3">
        <v>0.22500000000000001</v>
      </c>
      <c r="M737" s="3">
        <v>6.6000000000000003E-2</v>
      </c>
      <c r="N737" s="3">
        <v>0.10299999999999999</v>
      </c>
    </row>
    <row r="738" spans="1:14" x14ac:dyDescent="0.25">
      <c r="A738">
        <v>2019</v>
      </c>
      <c r="B738" t="s">
        <v>155</v>
      </c>
      <c r="C738">
        <v>111</v>
      </c>
      <c r="D738">
        <v>4.681</v>
      </c>
      <c r="E738">
        <f>(Master[[#This Row],[Happiness_Score]]*100)/10</f>
        <v>46.81</v>
      </c>
      <c r="F738">
        <v>0.45</v>
      </c>
      <c r="G738">
        <f>(Master[[#This Row],[Economy_GDP_per_Capita]]*100)/2</f>
        <v>22.5</v>
      </c>
      <c r="H738">
        <v>1.1339999999999999</v>
      </c>
      <c r="I738">
        <f>(Master[[#This Row],[Family]]*100)/2</f>
        <v>56.699999999999996</v>
      </c>
      <c r="J738">
        <v>0.57099999999999995</v>
      </c>
      <c r="K738">
        <f>(Master[[#This Row],[Health_Life_Expectancy]]*100)/2</f>
        <v>28.549999999999997</v>
      </c>
      <c r="L738" s="3">
        <v>0.29199999999999998</v>
      </c>
      <c r="M738" s="3">
        <v>7.1999999999999995E-2</v>
      </c>
      <c r="N738" s="3">
        <v>0.153</v>
      </c>
    </row>
    <row r="739" spans="1:14" x14ac:dyDescent="0.25">
      <c r="A739">
        <v>2019</v>
      </c>
      <c r="B739" t="s">
        <v>175</v>
      </c>
      <c r="C739">
        <v>112</v>
      </c>
      <c r="D739">
        <v>4.6680000000000001</v>
      </c>
      <c r="E739">
        <f>(Master[[#This Row],[Happiness_Score]]*100)/10</f>
        <v>46.68</v>
      </c>
      <c r="F739">
        <v>0</v>
      </c>
      <c r="G739">
        <f>(Master[[#This Row],[Economy_GDP_per_Capita]]*100)/2</f>
        <v>0</v>
      </c>
      <c r="H739">
        <v>0.69799999999999995</v>
      </c>
      <c r="I739">
        <f>(Master[[#This Row],[Family]]*100)/2</f>
        <v>34.9</v>
      </c>
      <c r="J739">
        <v>0.26800000000000002</v>
      </c>
      <c r="K739">
        <f>(Master[[#This Row],[Health_Life_Expectancy]]*100)/2</f>
        <v>13.4</v>
      </c>
      <c r="L739" s="3">
        <v>0.55900000000000005</v>
      </c>
      <c r="M739" s="3">
        <v>0.27</v>
      </c>
      <c r="N739" s="3">
        <v>0.24299999999999999</v>
      </c>
    </row>
    <row r="740" spans="1:14" x14ac:dyDescent="0.25">
      <c r="A740">
        <v>2019</v>
      </c>
      <c r="B740" t="s">
        <v>177</v>
      </c>
      <c r="C740">
        <v>113</v>
      </c>
      <c r="D740">
        <v>4.6390000000000002</v>
      </c>
      <c r="E740">
        <f>(Master[[#This Row],[Happiness_Score]]*100)/10</f>
        <v>46.39</v>
      </c>
      <c r="F740">
        <v>0.879</v>
      </c>
      <c r="G740">
        <f>(Master[[#This Row],[Economy_GDP_per_Capita]]*100)/2</f>
        <v>43.95</v>
      </c>
      <c r="H740">
        <v>1.3129999999999999</v>
      </c>
      <c r="I740">
        <f>(Master[[#This Row],[Family]]*100)/2</f>
        <v>65.649999999999991</v>
      </c>
      <c r="J740">
        <v>0.47699999999999998</v>
      </c>
      <c r="K740">
        <f>(Master[[#This Row],[Health_Life_Expectancy]]*100)/2</f>
        <v>23.849999999999998</v>
      </c>
      <c r="L740" s="3">
        <v>0.40100000000000002</v>
      </c>
      <c r="M740" s="3">
        <v>5.6000000000000001E-2</v>
      </c>
      <c r="N740" s="3">
        <v>7.0000000000000007E-2</v>
      </c>
    </row>
    <row r="741" spans="1:14" x14ac:dyDescent="0.25">
      <c r="A741">
        <v>2019</v>
      </c>
      <c r="B741" t="s">
        <v>157</v>
      </c>
      <c r="C741">
        <v>114</v>
      </c>
      <c r="D741">
        <v>4.6280000000000001</v>
      </c>
      <c r="E741">
        <f>(Master[[#This Row],[Happiness_Score]]*100)/10</f>
        <v>46.28</v>
      </c>
      <c r="F741">
        <v>0.13800000000000001</v>
      </c>
      <c r="G741">
        <f>(Master[[#This Row],[Economy_GDP_per_Capita]]*100)/2</f>
        <v>6.9</v>
      </c>
      <c r="H741">
        <v>0.77400000000000002</v>
      </c>
      <c r="I741">
        <f>(Master[[#This Row],[Family]]*100)/2</f>
        <v>38.700000000000003</v>
      </c>
      <c r="J741">
        <v>0.36599999999999999</v>
      </c>
      <c r="K741">
        <f>(Master[[#This Row],[Health_Life_Expectancy]]*100)/2</f>
        <v>18.3</v>
      </c>
      <c r="L741" s="3">
        <v>0.318</v>
      </c>
      <c r="M741" s="3">
        <v>0.10199999999999999</v>
      </c>
      <c r="N741" s="3">
        <v>0.188</v>
      </c>
    </row>
    <row r="742" spans="1:14" x14ac:dyDescent="0.25">
      <c r="A742">
        <v>2019</v>
      </c>
      <c r="B742" t="s">
        <v>165</v>
      </c>
      <c r="C742">
        <v>115</v>
      </c>
      <c r="D742">
        <v>4.5869999999999997</v>
      </c>
      <c r="E742">
        <f>(Master[[#This Row],[Happiness_Score]]*100)/10</f>
        <v>45.87</v>
      </c>
      <c r="F742">
        <v>0.33100000000000002</v>
      </c>
      <c r="G742">
        <f>(Master[[#This Row],[Economy_GDP_per_Capita]]*100)/2</f>
        <v>16.55</v>
      </c>
      <c r="H742">
        <v>1.056</v>
      </c>
      <c r="I742">
        <f>(Master[[#This Row],[Family]]*100)/2</f>
        <v>52.800000000000004</v>
      </c>
      <c r="J742">
        <v>0.38</v>
      </c>
      <c r="K742">
        <f>(Master[[#This Row],[Health_Life_Expectancy]]*100)/2</f>
        <v>19</v>
      </c>
      <c r="L742" s="3">
        <v>0.255</v>
      </c>
      <c r="M742" s="3">
        <v>0.113</v>
      </c>
      <c r="N742" s="3">
        <v>0.17699999999999999</v>
      </c>
    </row>
    <row r="743" spans="1:14" x14ac:dyDescent="0.25">
      <c r="A743">
        <v>2019</v>
      </c>
      <c r="B743" t="s">
        <v>140</v>
      </c>
      <c r="C743">
        <v>116</v>
      </c>
      <c r="D743">
        <v>4.5590000000000002</v>
      </c>
      <c r="E743">
        <f>(Master[[#This Row],[Happiness_Score]]*100)/10</f>
        <v>45.59</v>
      </c>
      <c r="F743">
        <v>0.85</v>
      </c>
      <c r="G743">
        <f>(Master[[#This Row],[Economy_GDP_per_Capita]]*100)/2</f>
        <v>42.5</v>
      </c>
      <c r="H743">
        <v>1.0549999999999999</v>
      </c>
      <c r="I743">
        <f>(Master[[#This Row],[Family]]*100)/2</f>
        <v>52.75</v>
      </c>
      <c r="J743">
        <v>0.81499999999999995</v>
      </c>
      <c r="K743">
        <f>(Master[[#This Row],[Health_Life_Expectancy]]*100)/2</f>
        <v>40.75</v>
      </c>
      <c r="L743" s="3">
        <v>0.28299999999999997</v>
      </c>
      <c r="M743" s="3">
        <v>6.4000000000000001E-2</v>
      </c>
      <c r="N743" s="3">
        <v>9.5000000000000001E-2</v>
      </c>
    </row>
    <row r="744" spans="1:14" x14ac:dyDescent="0.25">
      <c r="A744">
        <v>2019</v>
      </c>
      <c r="B744" t="s">
        <v>123</v>
      </c>
      <c r="C744">
        <v>117</v>
      </c>
      <c r="D744">
        <v>4.548</v>
      </c>
      <c r="E744">
        <f>(Master[[#This Row],[Happiness_Score]]*100)/10</f>
        <v>45.480000000000004</v>
      </c>
      <c r="F744">
        <v>1.1000000000000001</v>
      </c>
      <c r="G744">
        <f>(Master[[#This Row],[Economy_GDP_per_Capita]]*100)/2</f>
        <v>55.000000000000007</v>
      </c>
      <c r="H744">
        <v>0.84199999999999997</v>
      </c>
      <c r="I744">
        <f>(Master[[#This Row],[Family]]*100)/2</f>
        <v>42.1</v>
      </c>
      <c r="J744">
        <v>0.78500000000000003</v>
      </c>
      <c r="K744">
        <f>(Master[[#This Row],[Health_Life_Expectancy]]*100)/2</f>
        <v>39.25</v>
      </c>
      <c r="L744" s="3">
        <v>0.30499999999999999</v>
      </c>
      <c r="M744" s="3">
        <v>0.125</v>
      </c>
      <c r="N744" s="3">
        <v>0.27</v>
      </c>
    </row>
    <row r="745" spans="1:14" x14ac:dyDescent="0.25">
      <c r="A745">
        <v>2019</v>
      </c>
      <c r="B745" t="s">
        <v>163</v>
      </c>
      <c r="C745">
        <v>118</v>
      </c>
      <c r="D745">
        <v>4.5339999999999998</v>
      </c>
      <c r="E745">
        <f>(Master[[#This Row],[Happiness_Score]]*100)/10</f>
        <v>45.339999999999996</v>
      </c>
      <c r="F745">
        <v>0.38</v>
      </c>
      <c r="G745">
        <f>(Master[[#This Row],[Economy_GDP_per_Capita]]*100)/2</f>
        <v>19</v>
      </c>
      <c r="H745">
        <v>0.82899999999999996</v>
      </c>
      <c r="I745">
        <f>(Master[[#This Row],[Family]]*100)/2</f>
        <v>41.449999999999996</v>
      </c>
      <c r="J745">
        <v>0.375</v>
      </c>
      <c r="K745">
        <f>(Master[[#This Row],[Health_Life_Expectancy]]*100)/2</f>
        <v>18.75</v>
      </c>
      <c r="L745" s="3">
        <v>0.33200000000000002</v>
      </c>
      <c r="M745" s="3">
        <v>8.5999999999999993E-2</v>
      </c>
      <c r="N745" s="3">
        <v>0.20699999999999999</v>
      </c>
    </row>
    <row r="746" spans="1:14" x14ac:dyDescent="0.25">
      <c r="A746">
        <v>2019</v>
      </c>
      <c r="B746" t="s">
        <v>143</v>
      </c>
      <c r="C746">
        <v>119</v>
      </c>
      <c r="D746">
        <v>4.5190000000000001</v>
      </c>
      <c r="E746">
        <f>(Master[[#This Row],[Happiness_Score]]*100)/10</f>
        <v>45.190000000000005</v>
      </c>
      <c r="F746">
        <v>0.88600000000000001</v>
      </c>
      <c r="G746">
        <f>(Master[[#This Row],[Economy_GDP_per_Capita]]*100)/2</f>
        <v>44.3</v>
      </c>
      <c r="H746">
        <v>0.66600000000000004</v>
      </c>
      <c r="I746">
        <f>(Master[[#This Row],[Family]]*100)/2</f>
        <v>33.300000000000004</v>
      </c>
      <c r="J746">
        <v>0.752</v>
      </c>
      <c r="K746">
        <f>(Master[[#This Row],[Health_Life_Expectancy]]*100)/2</f>
        <v>37.6</v>
      </c>
      <c r="L746" s="3">
        <v>0.34599999999999997</v>
      </c>
      <c r="M746" s="3">
        <v>0.16400000000000001</v>
      </c>
      <c r="N746" s="3">
        <v>4.2999999999999997E-2</v>
      </c>
    </row>
    <row r="747" spans="1:14" x14ac:dyDescent="0.25">
      <c r="A747">
        <v>2019</v>
      </c>
      <c r="B747" t="s">
        <v>295</v>
      </c>
      <c r="C747">
        <v>120</v>
      </c>
      <c r="D747">
        <v>4.516</v>
      </c>
      <c r="E747">
        <f>(Master[[#This Row],[Happiness_Score]]*100)/10</f>
        <v>45.160000000000004</v>
      </c>
      <c r="F747">
        <v>0.308</v>
      </c>
      <c r="G747">
        <f>(Master[[#This Row],[Economy_GDP_per_Capita]]*100)/2</f>
        <v>15.4</v>
      </c>
      <c r="H747">
        <v>0.93899999999999995</v>
      </c>
      <c r="I747">
        <f>(Master[[#This Row],[Family]]*100)/2</f>
        <v>46.949999999999996</v>
      </c>
      <c r="J747">
        <v>0.42799999999999999</v>
      </c>
      <c r="K747">
        <f>(Master[[#This Row],[Health_Life_Expectancy]]*100)/2</f>
        <v>21.4</v>
      </c>
      <c r="L747" s="3">
        <v>0.38200000000000001</v>
      </c>
      <c r="M747" s="3">
        <v>0.16700000000000001</v>
      </c>
      <c r="N747" s="3">
        <v>0.26900000000000002</v>
      </c>
    </row>
    <row r="748" spans="1:14" x14ac:dyDescent="0.25">
      <c r="A748">
        <v>2019</v>
      </c>
      <c r="B748" t="s">
        <v>138</v>
      </c>
      <c r="C748">
        <v>121</v>
      </c>
      <c r="D748">
        <v>4.5090000000000003</v>
      </c>
      <c r="E748">
        <f>(Master[[#This Row],[Happiness_Score]]*100)/10</f>
        <v>45.09</v>
      </c>
      <c r="F748">
        <v>0.51200000000000001</v>
      </c>
      <c r="G748">
        <f>(Master[[#This Row],[Economy_GDP_per_Capita]]*100)/2</f>
        <v>25.6</v>
      </c>
      <c r="H748">
        <v>0.98299999999999998</v>
      </c>
      <c r="I748">
        <f>(Master[[#This Row],[Family]]*100)/2</f>
        <v>49.15</v>
      </c>
      <c r="J748">
        <v>0.58099999999999996</v>
      </c>
      <c r="K748">
        <f>(Master[[#This Row],[Health_Life_Expectancy]]*100)/2</f>
        <v>29.049999999999997</v>
      </c>
      <c r="L748" s="3">
        <v>0.43099999999999999</v>
      </c>
      <c r="M748" s="3">
        <v>5.2999999999999999E-2</v>
      </c>
      <c r="N748" s="3">
        <v>0.372</v>
      </c>
    </row>
    <row r="749" spans="1:14" x14ac:dyDescent="0.25">
      <c r="A749">
        <v>2019</v>
      </c>
      <c r="B749" t="s">
        <v>137</v>
      </c>
      <c r="C749">
        <v>122</v>
      </c>
      <c r="D749">
        <v>4.49</v>
      </c>
      <c r="E749">
        <f>(Master[[#This Row],[Happiness_Score]]*100)/10</f>
        <v>44.9</v>
      </c>
      <c r="F749">
        <v>0.56999999999999995</v>
      </c>
      <c r="G749">
        <f>(Master[[#This Row],[Economy_GDP_per_Capita]]*100)/2</f>
        <v>28.499999999999996</v>
      </c>
      <c r="H749">
        <v>1.167</v>
      </c>
      <c r="I749">
        <f>(Master[[#This Row],[Family]]*100)/2</f>
        <v>58.35</v>
      </c>
      <c r="J749">
        <v>0.48899999999999999</v>
      </c>
      <c r="K749">
        <f>(Master[[#This Row],[Health_Life_Expectancy]]*100)/2</f>
        <v>24.45</v>
      </c>
      <c r="L749" s="3">
        <v>6.6000000000000003E-2</v>
      </c>
      <c r="M749" s="3">
        <v>8.7999999999999995E-2</v>
      </c>
      <c r="N749" s="3">
        <v>0.106</v>
      </c>
    </row>
    <row r="750" spans="1:14" x14ac:dyDescent="0.25">
      <c r="A750">
        <v>2019</v>
      </c>
      <c r="B750" t="s">
        <v>107</v>
      </c>
      <c r="C750">
        <v>123</v>
      </c>
      <c r="D750">
        <v>4.4660000000000002</v>
      </c>
      <c r="E750">
        <f>(Master[[#This Row],[Happiness_Score]]*100)/10</f>
        <v>44.660000000000004</v>
      </c>
      <c r="F750">
        <v>0.20399999999999999</v>
      </c>
      <c r="G750">
        <f>(Master[[#This Row],[Economy_GDP_per_Capita]]*100)/2</f>
        <v>10.199999999999999</v>
      </c>
      <c r="H750">
        <v>0.98599999999999999</v>
      </c>
      <c r="I750">
        <f>(Master[[#This Row],[Family]]*100)/2</f>
        <v>49.3</v>
      </c>
      <c r="J750">
        <v>0.39</v>
      </c>
      <c r="K750">
        <f>(Master[[#This Row],[Health_Life_Expectancy]]*100)/2</f>
        <v>19.5</v>
      </c>
      <c r="L750" s="3">
        <v>0.49399999999999999</v>
      </c>
      <c r="M750" s="3">
        <v>0.13800000000000001</v>
      </c>
      <c r="N750" s="3">
        <v>0.19700000000000001</v>
      </c>
    </row>
    <row r="751" spans="1:14" x14ac:dyDescent="0.25">
      <c r="A751">
        <v>2019</v>
      </c>
      <c r="B751" t="s">
        <v>120</v>
      </c>
      <c r="C751">
        <v>124</v>
      </c>
      <c r="D751">
        <v>4.4610000000000003</v>
      </c>
      <c r="E751">
        <f>(Master[[#This Row],[Happiness_Score]]*100)/10</f>
        <v>44.61</v>
      </c>
      <c r="F751">
        <v>0.92100000000000004</v>
      </c>
      <c r="G751">
        <f>(Master[[#This Row],[Economy_GDP_per_Capita]]*100)/2</f>
        <v>46.050000000000004</v>
      </c>
      <c r="H751">
        <v>1</v>
      </c>
      <c r="I751">
        <f>(Master[[#This Row],[Family]]*100)/2</f>
        <v>50</v>
      </c>
      <c r="J751">
        <v>0.81499999999999995</v>
      </c>
      <c r="K751">
        <f>(Master[[#This Row],[Health_Life_Expectancy]]*100)/2</f>
        <v>40.75</v>
      </c>
      <c r="L751" s="3">
        <v>0.16700000000000001</v>
      </c>
      <c r="M751" s="3">
        <v>5.5E-2</v>
      </c>
      <c r="N751" s="3">
        <v>5.8999999999999997E-2</v>
      </c>
    </row>
    <row r="752" spans="1:14" x14ac:dyDescent="0.25">
      <c r="A752">
        <v>2019</v>
      </c>
      <c r="B752" t="s">
        <v>122</v>
      </c>
      <c r="C752">
        <v>125</v>
      </c>
      <c r="D752">
        <v>4.4560000000000004</v>
      </c>
      <c r="E752">
        <f>(Master[[#This Row],[Happiness_Score]]*100)/10</f>
        <v>44.56</v>
      </c>
      <c r="F752">
        <v>0.56200000000000006</v>
      </c>
      <c r="G752">
        <f>(Master[[#This Row],[Economy_GDP_per_Capita]]*100)/2</f>
        <v>28.1</v>
      </c>
      <c r="H752">
        <v>0.92800000000000005</v>
      </c>
      <c r="I752">
        <f>(Master[[#This Row],[Family]]*100)/2</f>
        <v>46.400000000000006</v>
      </c>
      <c r="J752">
        <v>0.72299999999999998</v>
      </c>
      <c r="K752">
        <f>(Master[[#This Row],[Health_Life_Expectancy]]*100)/2</f>
        <v>36.15</v>
      </c>
      <c r="L752" s="3">
        <v>0.52700000000000002</v>
      </c>
      <c r="M752" s="3">
        <v>0.14299999999999999</v>
      </c>
      <c r="N752" s="3">
        <v>0.16600000000000001</v>
      </c>
    </row>
    <row r="753" spans="1:14" x14ac:dyDescent="0.25">
      <c r="A753">
        <v>2019</v>
      </c>
      <c r="B753" t="s">
        <v>125</v>
      </c>
      <c r="C753">
        <v>126</v>
      </c>
      <c r="D753">
        <v>4.4370000000000003</v>
      </c>
      <c r="E753">
        <f>(Master[[#This Row],[Happiness_Score]]*100)/10</f>
        <v>44.370000000000005</v>
      </c>
      <c r="F753">
        <v>1.0429999999999999</v>
      </c>
      <c r="G753">
        <f>(Master[[#This Row],[Economy_GDP_per_Capita]]*100)/2</f>
        <v>52.15</v>
      </c>
      <c r="H753">
        <v>0.98</v>
      </c>
      <c r="I753">
        <f>(Master[[#This Row],[Family]]*100)/2</f>
        <v>49</v>
      </c>
      <c r="J753">
        <v>0.57399999999999995</v>
      </c>
      <c r="K753">
        <f>(Master[[#This Row],[Health_Life_Expectancy]]*100)/2</f>
        <v>28.7</v>
      </c>
      <c r="L753" s="3">
        <v>0.24099999999999999</v>
      </c>
      <c r="M753" s="3">
        <v>8.8999999999999996E-2</v>
      </c>
      <c r="N753" s="3">
        <v>0.14799999999999999</v>
      </c>
    </row>
    <row r="754" spans="1:14" x14ac:dyDescent="0.25">
      <c r="A754">
        <v>2019</v>
      </c>
      <c r="B754" t="s">
        <v>133</v>
      </c>
      <c r="C754">
        <v>127</v>
      </c>
      <c r="D754">
        <v>4.4180000000000001</v>
      </c>
      <c r="E754">
        <f>(Master[[#This Row],[Happiness_Score]]*100)/10</f>
        <v>44.18</v>
      </c>
      <c r="F754">
        <v>9.4E-2</v>
      </c>
      <c r="G754">
        <f>(Master[[#This Row],[Economy_GDP_per_Capita]]*100)/2</f>
        <v>4.7</v>
      </c>
      <c r="H754">
        <v>1.125</v>
      </c>
      <c r="I754">
        <f>(Master[[#This Row],[Family]]*100)/2</f>
        <v>56.25</v>
      </c>
      <c r="J754">
        <v>0.35699999999999998</v>
      </c>
      <c r="K754">
        <f>(Master[[#This Row],[Health_Life_Expectancy]]*100)/2</f>
        <v>17.849999999999998</v>
      </c>
      <c r="L754" s="3">
        <v>0.26900000000000002</v>
      </c>
      <c r="M754" s="3">
        <v>5.2999999999999999E-2</v>
      </c>
      <c r="N754" s="3">
        <v>0.21199999999999999</v>
      </c>
    </row>
    <row r="755" spans="1:14" x14ac:dyDescent="0.25">
      <c r="A755">
        <v>2019</v>
      </c>
      <c r="B755" t="s">
        <v>151</v>
      </c>
      <c r="C755">
        <v>128</v>
      </c>
      <c r="D755">
        <v>4.3899999999999997</v>
      </c>
      <c r="E755">
        <f>(Master[[#This Row],[Happiness_Score]]*100)/10</f>
        <v>43.899999999999991</v>
      </c>
      <c r="F755">
        <v>0.38500000000000001</v>
      </c>
      <c r="G755">
        <f>(Master[[#This Row],[Economy_GDP_per_Capita]]*100)/2</f>
        <v>19.25</v>
      </c>
      <c r="H755">
        <v>1.105</v>
      </c>
      <c r="I755">
        <f>(Master[[#This Row],[Family]]*100)/2</f>
        <v>55.25</v>
      </c>
      <c r="J755">
        <v>0.308</v>
      </c>
      <c r="K755">
        <f>(Master[[#This Row],[Health_Life_Expectancy]]*100)/2</f>
        <v>15.4</v>
      </c>
      <c r="L755" s="3">
        <v>0.32700000000000001</v>
      </c>
      <c r="M755" s="3">
        <v>5.1999999999999998E-2</v>
      </c>
      <c r="N755" s="3">
        <v>0.153</v>
      </c>
    </row>
    <row r="756" spans="1:14" x14ac:dyDescent="0.25">
      <c r="A756">
        <v>2019</v>
      </c>
      <c r="B756" t="s">
        <v>136</v>
      </c>
      <c r="C756">
        <v>129</v>
      </c>
      <c r="D756">
        <v>4.3739999999999997</v>
      </c>
      <c r="E756">
        <f>(Master[[#This Row],[Happiness_Score]]*100)/10</f>
        <v>43.739999999999995</v>
      </c>
      <c r="F756">
        <v>0.26800000000000002</v>
      </c>
      <c r="G756">
        <f>(Master[[#This Row],[Economy_GDP_per_Capita]]*100)/2</f>
        <v>13.4</v>
      </c>
      <c r="H756">
        <v>0.84099999999999997</v>
      </c>
      <c r="I756">
        <f>(Master[[#This Row],[Family]]*100)/2</f>
        <v>42.05</v>
      </c>
      <c r="J756">
        <v>0.24199999999999999</v>
      </c>
      <c r="K756">
        <f>(Master[[#This Row],[Health_Life_Expectancy]]*100)/2</f>
        <v>12.1</v>
      </c>
      <c r="L756" s="3">
        <v>0.309</v>
      </c>
      <c r="M756" s="3">
        <v>4.4999999999999998E-2</v>
      </c>
      <c r="N756" s="3">
        <v>0.252</v>
      </c>
    </row>
    <row r="757" spans="1:14" x14ac:dyDescent="0.25">
      <c r="A757">
        <v>2019</v>
      </c>
      <c r="B757" t="s">
        <v>145</v>
      </c>
      <c r="C757">
        <v>130</v>
      </c>
      <c r="D757">
        <v>4.3659999999999997</v>
      </c>
      <c r="E757">
        <f>(Master[[#This Row],[Happiness_Score]]*100)/10</f>
        <v>43.66</v>
      </c>
      <c r="F757">
        <v>0.94899999999999995</v>
      </c>
      <c r="G757">
        <f>(Master[[#This Row],[Economy_GDP_per_Capita]]*100)/2</f>
        <v>47.449999999999996</v>
      </c>
      <c r="H757">
        <v>1.2649999999999999</v>
      </c>
      <c r="I757">
        <f>(Master[[#This Row],[Family]]*100)/2</f>
        <v>63.249999999999993</v>
      </c>
      <c r="J757">
        <v>0.83099999999999996</v>
      </c>
      <c r="K757">
        <f>(Master[[#This Row],[Health_Life_Expectancy]]*100)/2</f>
        <v>41.55</v>
      </c>
      <c r="L757" s="3">
        <v>0.47</v>
      </c>
      <c r="M757" s="3">
        <v>4.7E-2</v>
      </c>
      <c r="N757" s="3">
        <v>0.24399999999999999</v>
      </c>
    </row>
    <row r="758" spans="1:14" x14ac:dyDescent="0.25">
      <c r="A758">
        <v>2019</v>
      </c>
      <c r="B758" t="s">
        <v>142</v>
      </c>
      <c r="C758">
        <v>131</v>
      </c>
      <c r="D758">
        <v>4.3600000000000003</v>
      </c>
      <c r="E758">
        <f>(Master[[#This Row],[Happiness_Score]]*100)/10</f>
        <v>43.600000000000009</v>
      </c>
      <c r="F758">
        <v>0.71</v>
      </c>
      <c r="G758">
        <f>(Master[[#This Row],[Economy_GDP_per_Capita]]*100)/2</f>
        <v>35.5</v>
      </c>
      <c r="H758">
        <v>1.181</v>
      </c>
      <c r="I758">
        <f>(Master[[#This Row],[Family]]*100)/2</f>
        <v>59.050000000000004</v>
      </c>
      <c r="J758">
        <v>0.55500000000000005</v>
      </c>
      <c r="K758">
        <f>(Master[[#This Row],[Health_Life_Expectancy]]*100)/2</f>
        <v>27.750000000000004</v>
      </c>
      <c r="L758" s="3">
        <v>0.52500000000000002</v>
      </c>
      <c r="M758" s="3">
        <v>0.17199999999999999</v>
      </c>
      <c r="N758" s="3">
        <v>0.56599999999999995</v>
      </c>
    </row>
    <row r="759" spans="1:14" x14ac:dyDescent="0.25">
      <c r="A759">
        <v>2019</v>
      </c>
      <c r="B759" t="s">
        <v>162</v>
      </c>
      <c r="C759">
        <v>132</v>
      </c>
      <c r="D759">
        <v>4.3499999999999996</v>
      </c>
      <c r="E759">
        <f>(Master[[#This Row],[Happiness_Score]]*100)/10</f>
        <v>43.499999999999993</v>
      </c>
      <c r="F759">
        <v>0.35</v>
      </c>
      <c r="G759">
        <f>(Master[[#This Row],[Economy_GDP_per_Capita]]*100)/2</f>
        <v>17.5</v>
      </c>
      <c r="H759">
        <v>0.76600000000000001</v>
      </c>
      <c r="I759">
        <f>(Master[[#This Row],[Family]]*100)/2</f>
        <v>38.299999999999997</v>
      </c>
      <c r="J759">
        <v>0.192</v>
      </c>
      <c r="K759">
        <f>(Master[[#This Row],[Health_Life_Expectancy]]*100)/2</f>
        <v>9.6</v>
      </c>
      <c r="L759" s="3">
        <v>0.17399999999999999</v>
      </c>
      <c r="M759" s="3">
        <v>7.8E-2</v>
      </c>
      <c r="N759" s="3">
        <v>0.19800000000000001</v>
      </c>
    </row>
    <row r="760" spans="1:14" x14ac:dyDescent="0.25">
      <c r="A760">
        <v>2019</v>
      </c>
      <c r="B760" t="s">
        <v>124</v>
      </c>
      <c r="C760">
        <v>133</v>
      </c>
      <c r="D760">
        <v>4.3319999999999999</v>
      </c>
      <c r="E760">
        <f>(Master[[#This Row],[Happiness_Score]]*100)/10</f>
        <v>43.32</v>
      </c>
      <c r="F760">
        <v>0.82</v>
      </c>
      <c r="G760">
        <f>(Master[[#This Row],[Economy_GDP_per_Capita]]*100)/2</f>
        <v>41</v>
      </c>
      <c r="H760">
        <v>1.39</v>
      </c>
      <c r="I760">
        <f>(Master[[#This Row],[Family]]*100)/2</f>
        <v>69.5</v>
      </c>
      <c r="J760">
        <v>0.73899999999999999</v>
      </c>
      <c r="K760">
        <f>(Master[[#This Row],[Health_Life_Expectancy]]*100)/2</f>
        <v>36.950000000000003</v>
      </c>
      <c r="L760" s="3">
        <v>0.17799999999999999</v>
      </c>
      <c r="M760" s="3">
        <v>0.01</v>
      </c>
      <c r="N760" s="3">
        <v>0.187</v>
      </c>
    </row>
    <row r="761" spans="1:14" x14ac:dyDescent="0.25">
      <c r="A761">
        <v>2019</v>
      </c>
      <c r="B761" t="s">
        <v>135</v>
      </c>
      <c r="C761">
        <v>134</v>
      </c>
      <c r="D761">
        <v>4.2859999999999996</v>
      </c>
      <c r="E761">
        <f>(Master[[#This Row],[Happiness_Score]]*100)/10</f>
        <v>42.86</v>
      </c>
      <c r="F761">
        <v>0.33600000000000002</v>
      </c>
      <c r="G761">
        <f>(Master[[#This Row],[Economy_GDP_per_Capita]]*100)/2</f>
        <v>16.8</v>
      </c>
      <c r="H761">
        <v>1.0329999999999999</v>
      </c>
      <c r="I761">
        <f>(Master[[#This Row],[Family]]*100)/2</f>
        <v>51.65</v>
      </c>
      <c r="J761">
        <v>0.53200000000000003</v>
      </c>
      <c r="K761">
        <f>(Master[[#This Row],[Health_Life_Expectancy]]*100)/2</f>
        <v>26.6</v>
      </c>
      <c r="L761" s="3">
        <v>0.34399999999999997</v>
      </c>
      <c r="M761" s="3">
        <v>0.1</v>
      </c>
      <c r="N761" s="3">
        <v>0.20899999999999999</v>
      </c>
    </row>
    <row r="762" spans="1:14" x14ac:dyDescent="0.25">
      <c r="A762">
        <v>2019</v>
      </c>
      <c r="B762" t="s">
        <v>114</v>
      </c>
      <c r="C762">
        <v>135</v>
      </c>
      <c r="D762">
        <v>4.2119999999999997</v>
      </c>
      <c r="E762">
        <f>(Master[[#This Row],[Happiness_Score]]*100)/10</f>
        <v>42.12</v>
      </c>
      <c r="F762">
        <v>0.81100000000000005</v>
      </c>
      <c r="G762">
        <f>(Master[[#This Row],[Economy_GDP_per_Capita]]*100)/2</f>
        <v>40.550000000000004</v>
      </c>
      <c r="H762">
        <v>1.149</v>
      </c>
      <c r="I762">
        <f>(Master[[#This Row],[Family]]*100)/2</f>
        <v>57.45</v>
      </c>
      <c r="J762">
        <v>0</v>
      </c>
      <c r="K762">
        <f>(Master[[#This Row],[Health_Life_Expectancy]]*100)/2</f>
        <v>0</v>
      </c>
      <c r="L762" s="3">
        <v>0.313</v>
      </c>
      <c r="M762" s="3">
        <v>0.13500000000000001</v>
      </c>
      <c r="N762" s="3">
        <v>7.3999999999999996E-2</v>
      </c>
    </row>
    <row r="763" spans="1:14" x14ac:dyDescent="0.25">
      <c r="A763">
        <v>2019</v>
      </c>
      <c r="B763" t="s">
        <v>154</v>
      </c>
      <c r="C763">
        <v>136</v>
      </c>
      <c r="D763">
        <v>4.1890000000000001</v>
      </c>
      <c r="E763">
        <f>(Master[[#This Row],[Happiness_Score]]*100)/10</f>
        <v>41.89</v>
      </c>
      <c r="F763">
        <v>0.33200000000000002</v>
      </c>
      <c r="G763">
        <f>(Master[[#This Row],[Economy_GDP_per_Capita]]*100)/2</f>
        <v>16.600000000000001</v>
      </c>
      <c r="H763">
        <v>1.069</v>
      </c>
      <c r="I763">
        <f>(Master[[#This Row],[Family]]*100)/2</f>
        <v>53.449999999999996</v>
      </c>
      <c r="J763">
        <v>0.443</v>
      </c>
      <c r="K763">
        <f>(Master[[#This Row],[Health_Life_Expectancy]]*100)/2</f>
        <v>22.15</v>
      </c>
      <c r="L763" s="3">
        <v>0.35599999999999998</v>
      </c>
      <c r="M763" s="3">
        <v>0.06</v>
      </c>
      <c r="N763" s="3">
        <v>0.252</v>
      </c>
    </row>
    <row r="764" spans="1:14" x14ac:dyDescent="0.25">
      <c r="A764">
        <v>2019</v>
      </c>
      <c r="B764" t="s">
        <v>148</v>
      </c>
      <c r="C764">
        <v>137</v>
      </c>
      <c r="D764">
        <v>4.1660000000000004</v>
      </c>
      <c r="E764">
        <f>(Master[[#This Row],[Happiness_Score]]*100)/10</f>
        <v>41.660000000000004</v>
      </c>
      <c r="F764">
        <v>0.91300000000000003</v>
      </c>
      <c r="G764">
        <f>(Master[[#This Row],[Economy_GDP_per_Capita]]*100)/2</f>
        <v>45.65</v>
      </c>
      <c r="H764">
        <v>1.0389999999999999</v>
      </c>
      <c r="I764">
        <f>(Master[[#This Row],[Family]]*100)/2</f>
        <v>51.949999999999996</v>
      </c>
      <c r="J764">
        <v>0.64400000000000002</v>
      </c>
      <c r="K764">
        <f>(Master[[#This Row],[Health_Life_Expectancy]]*100)/2</f>
        <v>32.200000000000003</v>
      </c>
      <c r="L764" s="3">
        <v>0.24099999999999999</v>
      </c>
      <c r="M764" s="3">
        <v>6.7000000000000004E-2</v>
      </c>
      <c r="N764" s="3">
        <v>7.5999999999999998E-2</v>
      </c>
    </row>
    <row r="765" spans="1:14" x14ac:dyDescent="0.25">
      <c r="A765">
        <v>2019</v>
      </c>
      <c r="B765" t="s">
        <v>98</v>
      </c>
      <c r="C765">
        <v>138</v>
      </c>
      <c r="D765">
        <v>4.1070000000000002</v>
      </c>
      <c r="E765">
        <f>(Master[[#This Row],[Happiness_Score]]*100)/10</f>
        <v>41.070000000000007</v>
      </c>
      <c r="F765">
        <v>0.57799999999999996</v>
      </c>
      <c r="G765">
        <f>(Master[[#This Row],[Economy_GDP_per_Capita]]*100)/2</f>
        <v>28.9</v>
      </c>
      <c r="H765">
        <v>1.0580000000000001</v>
      </c>
      <c r="I765">
        <f>(Master[[#This Row],[Family]]*100)/2</f>
        <v>52.900000000000006</v>
      </c>
      <c r="J765">
        <v>0.42599999999999999</v>
      </c>
      <c r="K765">
        <f>(Master[[#This Row],[Health_Life_Expectancy]]*100)/2</f>
        <v>21.3</v>
      </c>
      <c r="L765" s="3">
        <v>0.43099999999999999</v>
      </c>
      <c r="M765" s="3">
        <v>8.6999999999999994E-2</v>
      </c>
      <c r="N765" s="3">
        <v>0.247</v>
      </c>
    </row>
    <row r="766" spans="1:14" x14ac:dyDescent="0.25">
      <c r="A766">
        <v>2019</v>
      </c>
      <c r="B766" t="s">
        <v>171</v>
      </c>
      <c r="C766">
        <v>139</v>
      </c>
      <c r="D766">
        <v>4.085</v>
      </c>
      <c r="E766">
        <f>(Master[[#This Row],[Happiness_Score]]*100)/10</f>
        <v>40.85</v>
      </c>
      <c r="F766">
        <v>0.27500000000000002</v>
      </c>
      <c r="G766">
        <f>(Master[[#This Row],[Economy_GDP_per_Capita]]*100)/2</f>
        <v>13.750000000000002</v>
      </c>
      <c r="H766">
        <v>0.57199999999999995</v>
      </c>
      <c r="I766">
        <f>(Master[[#This Row],[Family]]*100)/2</f>
        <v>28.599999999999998</v>
      </c>
      <c r="J766">
        <v>0.41</v>
      </c>
      <c r="K766">
        <f>(Master[[#This Row],[Health_Life_Expectancy]]*100)/2</f>
        <v>20.5</v>
      </c>
      <c r="L766" s="3">
        <v>0.29299999999999998</v>
      </c>
      <c r="M766" s="3">
        <v>8.5000000000000006E-2</v>
      </c>
      <c r="N766" s="3">
        <v>0.17699999999999999</v>
      </c>
    </row>
    <row r="767" spans="1:14" x14ac:dyDescent="0.25">
      <c r="A767">
        <v>2019</v>
      </c>
      <c r="B767" t="s">
        <v>130</v>
      </c>
      <c r="C767">
        <v>140</v>
      </c>
      <c r="D767">
        <v>4.0149999999999997</v>
      </c>
      <c r="E767">
        <f>(Master[[#This Row],[Happiness_Score]]*100)/10</f>
        <v>40.149999999999991</v>
      </c>
      <c r="F767">
        <v>0.755</v>
      </c>
      <c r="G767">
        <f>(Master[[#This Row],[Economy_GDP_per_Capita]]*100)/2</f>
        <v>37.75</v>
      </c>
      <c r="H767">
        <v>0.76500000000000001</v>
      </c>
      <c r="I767">
        <f>(Master[[#This Row],[Family]]*100)/2</f>
        <v>38.25</v>
      </c>
      <c r="J767">
        <v>0.58799999999999997</v>
      </c>
      <c r="K767">
        <f>(Master[[#This Row],[Health_Life_Expectancy]]*100)/2</f>
        <v>29.4</v>
      </c>
      <c r="L767" s="3">
        <v>0.498</v>
      </c>
      <c r="M767" s="3">
        <v>8.5000000000000006E-2</v>
      </c>
      <c r="N767" s="3">
        <v>0.2</v>
      </c>
    </row>
    <row r="768" spans="1:14" x14ac:dyDescent="0.25">
      <c r="A768">
        <v>2019</v>
      </c>
      <c r="B768" t="s">
        <v>129</v>
      </c>
      <c r="C768">
        <v>141</v>
      </c>
      <c r="D768">
        <v>3.9750000000000001</v>
      </c>
      <c r="E768">
        <f>(Master[[#This Row],[Happiness_Score]]*100)/10</f>
        <v>39.75</v>
      </c>
      <c r="F768">
        <v>7.2999999999999995E-2</v>
      </c>
      <c r="G768">
        <f>(Master[[#This Row],[Economy_GDP_per_Capita]]*100)/2</f>
        <v>3.65</v>
      </c>
      <c r="H768">
        <v>0.92200000000000004</v>
      </c>
      <c r="I768">
        <f>(Master[[#This Row],[Family]]*100)/2</f>
        <v>46.1</v>
      </c>
      <c r="J768">
        <v>0.443</v>
      </c>
      <c r="K768">
        <f>(Master[[#This Row],[Health_Life_Expectancy]]*100)/2</f>
        <v>22.15</v>
      </c>
      <c r="L768" s="3">
        <v>0.37</v>
      </c>
      <c r="M768" s="3">
        <v>3.3000000000000002E-2</v>
      </c>
      <c r="N768" s="3">
        <v>0.23300000000000001</v>
      </c>
    </row>
    <row r="769" spans="1:14" x14ac:dyDescent="0.25">
      <c r="A769">
        <v>2019</v>
      </c>
      <c r="B769" t="s">
        <v>153</v>
      </c>
      <c r="C769">
        <v>142</v>
      </c>
      <c r="D769">
        <v>3.9729999999999999</v>
      </c>
      <c r="E769">
        <f>(Master[[#This Row],[Happiness_Score]]*100)/10</f>
        <v>39.730000000000004</v>
      </c>
      <c r="F769">
        <v>0.27400000000000002</v>
      </c>
      <c r="G769">
        <f>(Master[[#This Row],[Economy_GDP_per_Capita]]*100)/2</f>
        <v>13.700000000000001</v>
      </c>
      <c r="H769">
        <v>0.75700000000000001</v>
      </c>
      <c r="I769">
        <f>(Master[[#This Row],[Family]]*100)/2</f>
        <v>37.85</v>
      </c>
      <c r="J769">
        <v>0.505</v>
      </c>
      <c r="K769">
        <f>(Master[[#This Row],[Health_Life_Expectancy]]*100)/2</f>
        <v>25.25</v>
      </c>
      <c r="L769" s="3">
        <v>0.14199999999999999</v>
      </c>
      <c r="M769" s="3">
        <v>7.8E-2</v>
      </c>
      <c r="N769" s="3">
        <v>0.27500000000000002</v>
      </c>
    </row>
    <row r="770" spans="1:14" x14ac:dyDescent="0.25">
      <c r="A770">
        <v>2019</v>
      </c>
      <c r="B770" t="s">
        <v>160</v>
      </c>
      <c r="C770">
        <v>143</v>
      </c>
      <c r="D770">
        <v>3.9329999999999998</v>
      </c>
      <c r="E770">
        <f>(Master[[#This Row],[Happiness_Score]]*100)/10</f>
        <v>39.33</v>
      </c>
      <c r="F770">
        <v>0.27400000000000002</v>
      </c>
      <c r="G770">
        <f>(Master[[#This Row],[Economy_GDP_per_Capita]]*100)/2</f>
        <v>13.700000000000001</v>
      </c>
      <c r="H770">
        <v>0.91600000000000004</v>
      </c>
      <c r="I770">
        <f>(Master[[#This Row],[Family]]*100)/2</f>
        <v>45.800000000000004</v>
      </c>
      <c r="J770">
        <v>0.55500000000000005</v>
      </c>
      <c r="K770">
        <f>(Master[[#This Row],[Health_Life_Expectancy]]*100)/2</f>
        <v>27.750000000000004</v>
      </c>
      <c r="L770" s="3">
        <v>0.14799999999999999</v>
      </c>
      <c r="M770" s="3">
        <v>4.1000000000000002E-2</v>
      </c>
      <c r="N770" s="3">
        <v>0.16900000000000001</v>
      </c>
    </row>
    <row r="771" spans="1:14" x14ac:dyDescent="0.25">
      <c r="A771">
        <v>2019</v>
      </c>
      <c r="B771" t="s">
        <v>110</v>
      </c>
      <c r="C771">
        <v>144</v>
      </c>
      <c r="D771">
        <v>3.802</v>
      </c>
      <c r="E771">
        <f>(Master[[#This Row],[Happiness_Score]]*100)/10</f>
        <v>38.019999999999996</v>
      </c>
      <c r="F771">
        <v>0.48899999999999999</v>
      </c>
      <c r="G771">
        <f>(Master[[#This Row],[Economy_GDP_per_Capita]]*100)/2</f>
        <v>24.45</v>
      </c>
      <c r="H771">
        <v>1.169</v>
      </c>
      <c r="I771">
        <f>(Master[[#This Row],[Family]]*100)/2</f>
        <v>58.45</v>
      </c>
      <c r="J771">
        <v>0.16800000000000001</v>
      </c>
      <c r="K771">
        <f>(Master[[#This Row],[Health_Life_Expectancy]]*100)/2</f>
        <v>8.4</v>
      </c>
      <c r="L771" s="3">
        <v>0.35899999999999999</v>
      </c>
      <c r="M771" s="3">
        <v>9.2999999999999999E-2</v>
      </c>
      <c r="N771" s="3">
        <v>0.107</v>
      </c>
    </row>
    <row r="772" spans="1:14" x14ac:dyDescent="0.25">
      <c r="A772">
        <v>2019</v>
      </c>
      <c r="B772" t="s">
        <v>170</v>
      </c>
      <c r="C772">
        <v>145</v>
      </c>
      <c r="D772">
        <v>3.7749999999999999</v>
      </c>
      <c r="E772">
        <f>(Master[[#This Row],[Happiness_Score]]*100)/10</f>
        <v>37.75</v>
      </c>
      <c r="F772">
        <v>4.5999999999999999E-2</v>
      </c>
      <c r="G772">
        <f>(Master[[#This Row],[Economy_GDP_per_Capita]]*100)/2</f>
        <v>2.2999999999999998</v>
      </c>
      <c r="H772">
        <v>0.44700000000000001</v>
      </c>
      <c r="I772">
        <f>(Master[[#This Row],[Family]]*100)/2</f>
        <v>22.35</v>
      </c>
      <c r="J772">
        <v>0.38</v>
      </c>
      <c r="K772">
        <f>(Master[[#This Row],[Health_Life_Expectancy]]*100)/2</f>
        <v>19</v>
      </c>
      <c r="L772" s="3">
        <v>0.22</v>
      </c>
      <c r="M772" s="3">
        <v>0.18</v>
      </c>
      <c r="N772" s="3">
        <v>0.17599999999999999</v>
      </c>
    </row>
    <row r="773" spans="1:14" x14ac:dyDescent="0.25">
      <c r="A773">
        <v>2019</v>
      </c>
      <c r="B773" t="s">
        <v>128</v>
      </c>
      <c r="C773">
        <v>146</v>
      </c>
      <c r="D773">
        <v>3.6629999999999998</v>
      </c>
      <c r="E773">
        <f>(Master[[#This Row],[Happiness_Score]]*100)/10</f>
        <v>36.629999999999995</v>
      </c>
      <c r="F773">
        <v>0.36599999999999999</v>
      </c>
      <c r="G773">
        <f>(Master[[#This Row],[Economy_GDP_per_Capita]]*100)/2</f>
        <v>18.3</v>
      </c>
      <c r="H773">
        <v>1.1140000000000001</v>
      </c>
      <c r="I773">
        <f>(Master[[#This Row],[Family]]*100)/2</f>
        <v>55.7</v>
      </c>
      <c r="J773">
        <v>0.433</v>
      </c>
      <c r="K773">
        <f>(Master[[#This Row],[Health_Life_Expectancy]]*100)/2</f>
        <v>21.65</v>
      </c>
      <c r="L773" s="3">
        <v>0.36099999999999999</v>
      </c>
      <c r="M773" s="3">
        <v>8.8999999999999996E-2</v>
      </c>
      <c r="N773" s="3">
        <v>0.151</v>
      </c>
    </row>
    <row r="774" spans="1:14" x14ac:dyDescent="0.25">
      <c r="A774">
        <v>2019</v>
      </c>
      <c r="B774" t="s">
        <v>132</v>
      </c>
      <c r="C774">
        <v>147</v>
      </c>
      <c r="D774">
        <v>3.597</v>
      </c>
      <c r="E774">
        <f>(Master[[#This Row],[Happiness_Score]]*100)/10</f>
        <v>35.97</v>
      </c>
      <c r="F774">
        <v>0.32300000000000001</v>
      </c>
      <c r="G774">
        <f>(Master[[#This Row],[Economy_GDP_per_Capita]]*100)/2</f>
        <v>16.150000000000002</v>
      </c>
      <c r="H774">
        <v>0.68799999999999994</v>
      </c>
      <c r="I774">
        <f>(Master[[#This Row],[Family]]*100)/2</f>
        <v>34.4</v>
      </c>
      <c r="J774">
        <v>0.44900000000000001</v>
      </c>
      <c r="K774">
        <f>(Master[[#This Row],[Health_Life_Expectancy]]*100)/2</f>
        <v>22.45</v>
      </c>
      <c r="L774" s="3">
        <v>2.5999999999999999E-2</v>
      </c>
      <c r="M774" s="3">
        <v>0.11</v>
      </c>
      <c r="N774" s="3">
        <v>0.41899999999999998</v>
      </c>
    </row>
    <row r="775" spans="1:14" x14ac:dyDescent="0.25">
      <c r="A775">
        <v>2019</v>
      </c>
      <c r="B775" t="s">
        <v>141</v>
      </c>
      <c r="C775">
        <v>148</v>
      </c>
      <c r="D775">
        <v>3.488</v>
      </c>
      <c r="E775">
        <f>(Master[[#This Row],[Happiness_Score]]*100)/10</f>
        <v>34.880000000000003</v>
      </c>
      <c r="F775">
        <v>1.0409999999999999</v>
      </c>
      <c r="G775">
        <f>(Master[[#This Row],[Economy_GDP_per_Capita]]*100)/2</f>
        <v>52.05</v>
      </c>
      <c r="H775">
        <v>1.145</v>
      </c>
      <c r="I775">
        <f>(Master[[#This Row],[Family]]*100)/2</f>
        <v>57.25</v>
      </c>
      <c r="J775">
        <v>0.53800000000000003</v>
      </c>
      <c r="K775">
        <f>(Master[[#This Row],[Health_Life_Expectancy]]*100)/2</f>
        <v>26.900000000000002</v>
      </c>
      <c r="L775" s="3">
        <v>0.45500000000000002</v>
      </c>
      <c r="M775" s="3">
        <v>0.1</v>
      </c>
      <c r="N775" s="3">
        <v>2.5000000000000001E-2</v>
      </c>
    </row>
    <row r="776" spans="1:14" x14ac:dyDescent="0.25">
      <c r="A776">
        <v>2019</v>
      </c>
      <c r="B776" t="s">
        <v>169</v>
      </c>
      <c r="C776">
        <v>149</v>
      </c>
      <c r="D776">
        <v>3.4620000000000002</v>
      </c>
      <c r="E776">
        <f>(Master[[#This Row],[Happiness_Score]]*100)/10</f>
        <v>34.620000000000005</v>
      </c>
      <c r="F776">
        <v>0.61899999999999999</v>
      </c>
      <c r="G776">
        <f>(Master[[#This Row],[Economy_GDP_per_Capita]]*100)/2</f>
        <v>30.95</v>
      </c>
      <c r="H776">
        <v>0.378</v>
      </c>
      <c r="I776">
        <f>(Master[[#This Row],[Family]]*100)/2</f>
        <v>18.899999999999999</v>
      </c>
      <c r="J776">
        <v>0.44</v>
      </c>
      <c r="K776">
        <f>(Master[[#This Row],[Health_Life_Expectancy]]*100)/2</f>
        <v>22</v>
      </c>
      <c r="L776" s="3">
        <v>1.2999999999999999E-2</v>
      </c>
      <c r="M776" s="3">
        <v>0.14099999999999999</v>
      </c>
      <c r="N776" s="3">
        <v>0.33100000000000002</v>
      </c>
    </row>
    <row r="777" spans="1:14" x14ac:dyDescent="0.25">
      <c r="A777">
        <v>2019</v>
      </c>
      <c r="B777" t="s">
        <v>144</v>
      </c>
      <c r="C777">
        <v>150</v>
      </c>
      <c r="D777">
        <v>3.41</v>
      </c>
      <c r="E777">
        <f>(Master[[#This Row],[Happiness_Score]]*100)/10</f>
        <v>34.1</v>
      </c>
      <c r="F777">
        <v>0.191</v>
      </c>
      <c r="G777">
        <f>(Master[[#This Row],[Economy_GDP_per_Capita]]*100)/2</f>
        <v>9.5500000000000007</v>
      </c>
      <c r="H777">
        <v>0.56000000000000005</v>
      </c>
      <c r="I777">
        <f>(Master[[#This Row],[Family]]*100)/2</f>
        <v>28.000000000000004</v>
      </c>
      <c r="J777">
        <v>0.495</v>
      </c>
      <c r="K777">
        <f>(Master[[#This Row],[Health_Life_Expectancy]]*100)/2</f>
        <v>24.75</v>
      </c>
      <c r="L777" s="3">
        <v>0.443</v>
      </c>
      <c r="M777" s="3">
        <v>8.8999999999999996E-2</v>
      </c>
      <c r="N777" s="3">
        <v>0.218</v>
      </c>
    </row>
    <row r="778" spans="1:14" x14ac:dyDescent="0.25">
      <c r="A778">
        <v>2019</v>
      </c>
      <c r="B778" t="s">
        <v>149</v>
      </c>
      <c r="C778">
        <v>151</v>
      </c>
      <c r="D778">
        <v>3.38</v>
      </c>
      <c r="E778">
        <f>(Master[[#This Row],[Happiness_Score]]*100)/10</f>
        <v>33.799999999999997</v>
      </c>
      <c r="F778">
        <v>0.28699999999999998</v>
      </c>
      <c r="G778">
        <f>(Master[[#This Row],[Economy_GDP_per_Capita]]*100)/2</f>
        <v>14.35</v>
      </c>
      <c r="H778">
        <v>1.163</v>
      </c>
      <c r="I778">
        <f>(Master[[#This Row],[Family]]*100)/2</f>
        <v>58.15</v>
      </c>
      <c r="J778">
        <v>0.46300000000000002</v>
      </c>
      <c r="K778">
        <f>(Master[[#This Row],[Health_Life_Expectancy]]*100)/2</f>
        <v>23.150000000000002</v>
      </c>
      <c r="L778" s="3">
        <v>0.14299999999999999</v>
      </c>
      <c r="M778" s="3">
        <v>7.6999999999999999E-2</v>
      </c>
      <c r="N778" s="3">
        <v>0.108</v>
      </c>
    </row>
    <row r="779" spans="1:14" x14ac:dyDescent="0.25">
      <c r="A779">
        <v>2019</v>
      </c>
      <c r="B779" t="s">
        <v>167</v>
      </c>
      <c r="C779">
        <v>152</v>
      </c>
      <c r="D779">
        <v>3.3340000000000001</v>
      </c>
      <c r="E779">
        <f>(Master[[#This Row],[Happiness_Score]]*100)/10</f>
        <v>33.340000000000003</v>
      </c>
      <c r="F779">
        <v>0.35899999999999999</v>
      </c>
      <c r="G779">
        <f>(Master[[#This Row],[Economy_GDP_per_Capita]]*100)/2</f>
        <v>17.95</v>
      </c>
      <c r="H779">
        <v>0.71099999999999997</v>
      </c>
      <c r="I779">
        <f>(Master[[#This Row],[Family]]*100)/2</f>
        <v>35.549999999999997</v>
      </c>
      <c r="J779">
        <v>0.61399999999999999</v>
      </c>
      <c r="K779">
        <f>(Master[[#This Row],[Health_Life_Expectancy]]*100)/2</f>
        <v>30.7</v>
      </c>
      <c r="L779" s="3">
        <v>0.55500000000000005</v>
      </c>
      <c r="M779" s="3">
        <v>0.41099999999999998</v>
      </c>
      <c r="N779" s="3">
        <v>0.217</v>
      </c>
    </row>
    <row r="780" spans="1:14" x14ac:dyDescent="0.25">
      <c r="A780">
        <v>2019</v>
      </c>
      <c r="B780" t="s">
        <v>159</v>
      </c>
      <c r="C780">
        <v>153</v>
      </c>
      <c r="D780">
        <v>3.2309999999999999</v>
      </c>
      <c r="E780">
        <f>(Master[[#This Row],[Happiness_Score]]*100)/10</f>
        <v>32.309999999999995</v>
      </c>
      <c r="F780">
        <v>0.47599999999999998</v>
      </c>
      <c r="G780">
        <f>(Master[[#This Row],[Economy_GDP_per_Capita]]*100)/2</f>
        <v>23.799999999999997</v>
      </c>
      <c r="H780">
        <v>0.88500000000000001</v>
      </c>
      <c r="I780">
        <f>(Master[[#This Row],[Family]]*100)/2</f>
        <v>44.25</v>
      </c>
      <c r="J780">
        <v>0.499</v>
      </c>
      <c r="K780">
        <f>(Master[[#This Row],[Health_Life_Expectancy]]*100)/2</f>
        <v>24.95</v>
      </c>
      <c r="L780" s="3">
        <v>0.41699999999999998</v>
      </c>
      <c r="M780" s="3">
        <v>0.14699999999999999</v>
      </c>
      <c r="N780" s="3">
        <v>0.27600000000000002</v>
      </c>
    </row>
    <row r="781" spans="1:14" x14ac:dyDescent="0.25">
      <c r="A781">
        <v>2019</v>
      </c>
      <c r="B781" t="s">
        <v>166</v>
      </c>
      <c r="C781">
        <v>154</v>
      </c>
      <c r="D781">
        <v>3.2029999999999998</v>
      </c>
      <c r="E781">
        <f>(Master[[#This Row],[Happiness_Score]]*100)/10</f>
        <v>32.03</v>
      </c>
      <c r="F781">
        <v>0.35</v>
      </c>
      <c r="G781">
        <f>(Master[[#This Row],[Economy_GDP_per_Capita]]*100)/2</f>
        <v>17.5</v>
      </c>
      <c r="H781">
        <v>0.51700000000000002</v>
      </c>
      <c r="I781">
        <f>(Master[[#This Row],[Family]]*100)/2</f>
        <v>25.85</v>
      </c>
      <c r="J781">
        <v>0.36099999999999999</v>
      </c>
      <c r="K781">
        <f>(Master[[#This Row],[Health_Life_Expectancy]]*100)/2</f>
        <v>18.05</v>
      </c>
      <c r="L781" s="3">
        <v>0</v>
      </c>
      <c r="M781" s="3">
        <v>2.5000000000000001E-2</v>
      </c>
      <c r="N781" s="3">
        <v>0.158</v>
      </c>
    </row>
    <row r="782" spans="1:14" x14ac:dyDescent="0.25">
      <c r="A782">
        <v>2019</v>
      </c>
      <c r="B782" t="s">
        <v>161</v>
      </c>
      <c r="C782">
        <v>155</v>
      </c>
      <c r="D782">
        <v>3.0830000000000002</v>
      </c>
      <c r="E782">
        <f>(Master[[#This Row],[Happiness_Score]]*100)/10</f>
        <v>30.830000000000002</v>
      </c>
      <c r="F782">
        <v>2.5999999999999999E-2</v>
      </c>
      <c r="G782">
        <f>(Master[[#This Row],[Economy_GDP_per_Capita]]*100)/2</f>
        <v>1.3</v>
      </c>
      <c r="H782">
        <v>0</v>
      </c>
      <c r="I782">
        <f>(Master[[#This Row],[Family]]*100)/2</f>
        <v>0</v>
      </c>
      <c r="J782">
        <v>0.105</v>
      </c>
      <c r="K782">
        <f>(Master[[#This Row],[Health_Life_Expectancy]]*100)/2</f>
        <v>5.25</v>
      </c>
      <c r="L782" s="3">
        <v>0.22500000000000001</v>
      </c>
      <c r="M782" s="3">
        <v>3.5000000000000003E-2</v>
      </c>
      <c r="N782" s="3">
        <v>0.23499999999999999</v>
      </c>
    </row>
    <row r="783" spans="1:14" x14ac:dyDescent="0.25">
      <c r="A783">
        <v>2019</v>
      </c>
      <c r="B783" t="s">
        <v>178</v>
      </c>
      <c r="C783">
        <v>156</v>
      </c>
      <c r="D783">
        <v>2.8530000000000002</v>
      </c>
      <c r="E783">
        <f>(Master[[#This Row],[Happiness_Score]]*100)/10</f>
        <v>28.53</v>
      </c>
      <c r="F783">
        <v>0.30599999999999999</v>
      </c>
      <c r="G783">
        <f>(Master[[#This Row],[Economy_GDP_per_Capita]]*100)/2</f>
        <v>15.299999999999999</v>
      </c>
      <c r="H783">
        <v>0.57499999999999996</v>
      </c>
      <c r="I783">
        <f>(Master[[#This Row],[Family]]*100)/2</f>
        <v>28.749999999999996</v>
      </c>
      <c r="J783">
        <v>0.29499999999999998</v>
      </c>
      <c r="K783">
        <f>(Master[[#This Row],[Health_Life_Expectancy]]*100)/2</f>
        <v>14.75</v>
      </c>
      <c r="L783" s="3">
        <v>0.01</v>
      </c>
      <c r="M783" s="3">
        <v>9.0999999999999998E-2</v>
      </c>
      <c r="N783" s="3">
        <v>0.20200000000000001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CC1D-833B-46A4-861D-669542F99D1C}">
  <dimension ref="A1:J159"/>
  <sheetViews>
    <sheetView workbookViewId="0">
      <selection activeCell="B2" sqref="B2"/>
    </sheetView>
  </sheetViews>
  <sheetFormatPr defaultRowHeight="15" x14ac:dyDescent="0.25"/>
  <cols>
    <col min="1" max="1" width="7.28515625" bestFit="1" customWidth="1"/>
    <col min="2" max="2" width="22.7109375" bestFit="1" customWidth="1"/>
    <col min="3" max="3" width="29.85546875" bestFit="1" customWidth="1"/>
    <col min="4" max="4" width="17.85546875" bestFit="1" customWidth="1"/>
    <col min="5" max="5" width="18.42578125" bestFit="1" customWidth="1"/>
    <col min="6" max="6" width="27.140625" bestFit="1" customWidth="1"/>
    <col min="7" max="7" width="9.140625" bestFit="1" customWidth="1"/>
    <col min="8" max="8" width="24.7109375" bestFit="1" customWidth="1"/>
    <col min="9" max="9" width="11.28515625" bestFit="1" customWidth="1"/>
    <col min="10" max="10" width="31.140625" bestFit="1" customWidth="1"/>
    <col min="11" max="11" width="16" bestFit="1" customWidth="1"/>
    <col min="12" max="12" width="26.85546875" bestFit="1" customWidth="1"/>
    <col min="14" max="14" width="25" bestFit="1" customWidth="1"/>
    <col min="15" max="15" width="11.28515625" bestFit="1" customWidth="1"/>
    <col min="16" max="16" width="31.42578125" bestFit="1" customWidth="1"/>
  </cols>
  <sheetData>
    <row r="1" spans="1:10" x14ac:dyDescent="0.25">
      <c r="A1" t="s">
        <v>296</v>
      </c>
      <c r="B1" t="s">
        <v>0</v>
      </c>
      <c r="C1" t="s">
        <v>1</v>
      </c>
      <c r="D1" t="s">
        <v>297</v>
      </c>
      <c r="E1" t="s">
        <v>298</v>
      </c>
      <c r="F1" t="s">
        <v>299</v>
      </c>
      <c r="G1" t="s">
        <v>2</v>
      </c>
      <c r="H1" t="s">
        <v>300</v>
      </c>
      <c r="I1" t="s">
        <v>3</v>
      </c>
      <c r="J1" t="s">
        <v>301</v>
      </c>
    </row>
    <row r="2" spans="1:10" x14ac:dyDescent="0.25">
      <c r="A2">
        <v>2015</v>
      </c>
      <c r="B2" t="s">
        <v>4</v>
      </c>
      <c r="C2" t="s">
        <v>5</v>
      </c>
      <c r="D2">
        <v>1</v>
      </c>
      <c r="E2">
        <v>7.5869999999999997</v>
      </c>
      <c r="F2">
        <v>1.3965099999999999</v>
      </c>
      <c r="G2">
        <v>1.34951</v>
      </c>
      <c r="H2">
        <v>0.94142999999999999</v>
      </c>
      <c r="I2">
        <v>0.66556999999999999</v>
      </c>
      <c r="J2">
        <v>0.41977999999999999</v>
      </c>
    </row>
    <row r="3" spans="1:10" x14ac:dyDescent="0.25">
      <c r="A3">
        <v>2015</v>
      </c>
      <c r="B3" t="s">
        <v>6</v>
      </c>
      <c r="C3" t="s">
        <v>5</v>
      </c>
      <c r="D3">
        <v>2</v>
      </c>
      <c r="E3">
        <v>7.5609999999999999</v>
      </c>
      <c r="F3">
        <v>1.3023199999999999</v>
      </c>
      <c r="G3">
        <v>1.4022300000000001</v>
      </c>
      <c r="H3">
        <v>0.94784000000000002</v>
      </c>
      <c r="I3">
        <v>0.62877000000000005</v>
      </c>
      <c r="J3">
        <v>0.14144999999999999</v>
      </c>
    </row>
    <row r="4" spans="1:10" x14ac:dyDescent="0.25">
      <c r="A4">
        <v>2015</v>
      </c>
      <c r="B4" t="s">
        <v>7</v>
      </c>
      <c r="C4" t="s">
        <v>5</v>
      </c>
      <c r="D4">
        <v>3</v>
      </c>
      <c r="E4">
        <v>7.5270000000000001</v>
      </c>
      <c r="F4">
        <v>1.32548</v>
      </c>
      <c r="G4">
        <v>1.3605799999999999</v>
      </c>
      <c r="H4">
        <v>0.87463999999999997</v>
      </c>
      <c r="I4">
        <v>0.64937999999999996</v>
      </c>
      <c r="J4">
        <v>0.48357</v>
      </c>
    </row>
    <row r="5" spans="1:10" x14ac:dyDescent="0.25">
      <c r="A5">
        <v>2015</v>
      </c>
      <c r="B5" t="s">
        <v>8</v>
      </c>
      <c r="C5" t="s">
        <v>5</v>
      </c>
      <c r="D5">
        <v>4</v>
      </c>
      <c r="E5">
        <v>7.5220000000000002</v>
      </c>
      <c r="F5">
        <v>1.4590000000000001</v>
      </c>
      <c r="G5">
        <v>1.3309500000000001</v>
      </c>
      <c r="H5">
        <v>0.88521000000000005</v>
      </c>
      <c r="I5">
        <v>0.66973000000000005</v>
      </c>
      <c r="J5">
        <v>0.36503000000000002</v>
      </c>
    </row>
    <row r="6" spans="1:10" x14ac:dyDescent="0.25">
      <c r="A6">
        <v>2015</v>
      </c>
      <c r="B6" t="s">
        <v>9</v>
      </c>
      <c r="C6" t="s">
        <v>10</v>
      </c>
      <c r="D6">
        <v>5</v>
      </c>
      <c r="E6">
        <v>7.4269999999999996</v>
      </c>
      <c r="F6">
        <v>1.32629</v>
      </c>
      <c r="G6">
        <v>1.3226100000000001</v>
      </c>
      <c r="H6">
        <v>0.90563000000000005</v>
      </c>
      <c r="I6">
        <v>0.63297000000000003</v>
      </c>
      <c r="J6">
        <v>0.32956999999999997</v>
      </c>
    </row>
    <row r="7" spans="1:10" x14ac:dyDescent="0.25">
      <c r="A7">
        <v>2015</v>
      </c>
      <c r="B7" t="s">
        <v>11</v>
      </c>
      <c r="C7" t="s">
        <v>5</v>
      </c>
      <c r="D7">
        <v>6</v>
      </c>
      <c r="E7">
        <v>7.4059999999999997</v>
      </c>
      <c r="F7">
        <v>1.2902499999999999</v>
      </c>
      <c r="G7">
        <v>1.31826</v>
      </c>
      <c r="H7">
        <v>0.88910999999999996</v>
      </c>
      <c r="I7">
        <v>0.64168999999999998</v>
      </c>
      <c r="J7">
        <v>0.41371999999999998</v>
      </c>
    </row>
    <row r="8" spans="1:10" x14ac:dyDescent="0.25">
      <c r="A8">
        <v>2015</v>
      </c>
      <c r="B8" t="s">
        <v>12</v>
      </c>
      <c r="C8" t="s">
        <v>5</v>
      </c>
      <c r="D8">
        <v>7</v>
      </c>
      <c r="E8">
        <v>7.3780000000000001</v>
      </c>
      <c r="F8">
        <v>1.32944</v>
      </c>
      <c r="G8">
        <v>1.28017</v>
      </c>
      <c r="H8">
        <v>0.89283999999999997</v>
      </c>
      <c r="I8">
        <v>0.61575999999999997</v>
      </c>
      <c r="J8">
        <v>0.31813999999999998</v>
      </c>
    </row>
    <row r="9" spans="1:10" x14ac:dyDescent="0.25">
      <c r="A9">
        <v>2015</v>
      </c>
      <c r="B9" t="s">
        <v>13</v>
      </c>
      <c r="C9" t="s">
        <v>5</v>
      </c>
      <c r="D9">
        <v>8</v>
      </c>
      <c r="E9">
        <v>7.3639999999999999</v>
      </c>
      <c r="F9">
        <v>1.3317099999999999</v>
      </c>
      <c r="G9">
        <v>1.2890699999999999</v>
      </c>
      <c r="H9">
        <v>0.91086999999999996</v>
      </c>
      <c r="I9">
        <v>0.65980000000000005</v>
      </c>
      <c r="J9">
        <v>0.43844</v>
      </c>
    </row>
    <row r="10" spans="1:10" x14ac:dyDescent="0.25">
      <c r="A10">
        <v>2015</v>
      </c>
      <c r="B10" t="s">
        <v>14</v>
      </c>
      <c r="C10" t="s">
        <v>15</v>
      </c>
      <c r="D10">
        <v>9</v>
      </c>
      <c r="E10">
        <v>7.2859999999999996</v>
      </c>
      <c r="F10">
        <v>1.2501800000000001</v>
      </c>
      <c r="G10">
        <v>1.3196699999999999</v>
      </c>
      <c r="H10">
        <v>0.90837000000000001</v>
      </c>
      <c r="I10">
        <v>0.63937999999999995</v>
      </c>
      <c r="J10">
        <v>0.42921999999999999</v>
      </c>
    </row>
    <row r="11" spans="1:10" x14ac:dyDescent="0.25">
      <c r="A11">
        <v>2015</v>
      </c>
      <c r="B11" t="s">
        <v>16</v>
      </c>
      <c r="C11" t="s">
        <v>15</v>
      </c>
      <c r="D11">
        <v>10</v>
      </c>
      <c r="E11">
        <v>7.2839999999999998</v>
      </c>
      <c r="F11">
        <v>1.33358</v>
      </c>
      <c r="G11">
        <v>1.3092299999999999</v>
      </c>
      <c r="H11">
        <v>0.93156000000000005</v>
      </c>
      <c r="I11">
        <v>0.65124000000000004</v>
      </c>
      <c r="J11">
        <v>0.35637000000000002</v>
      </c>
    </row>
    <row r="12" spans="1:10" x14ac:dyDescent="0.25">
      <c r="A12">
        <v>2015</v>
      </c>
      <c r="B12" t="s">
        <v>17</v>
      </c>
      <c r="C12" t="s">
        <v>18</v>
      </c>
      <c r="D12">
        <v>11</v>
      </c>
      <c r="E12">
        <v>7.2779999999999996</v>
      </c>
      <c r="F12">
        <v>1.2285699999999999</v>
      </c>
      <c r="G12">
        <v>1.22393</v>
      </c>
      <c r="H12">
        <v>0.91386999999999996</v>
      </c>
      <c r="I12">
        <v>0.41319</v>
      </c>
      <c r="J12">
        <v>7.7850000000000003E-2</v>
      </c>
    </row>
    <row r="13" spans="1:10" x14ac:dyDescent="0.25">
      <c r="A13">
        <v>2015</v>
      </c>
      <c r="B13" t="s">
        <v>19</v>
      </c>
      <c r="C13" t="s">
        <v>20</v>
      </c>
      <c r="D13">
        <v>12</v>
      </c>
      <c r="E13">
        <v>7.226</v>
      </c>
      <c r="F13">
        <v>0.95577999999999996</v>
      </c>
      <c r="G13">
        <v>1.2378800000000001</v>
      </c>
      <c r="H13">
        <v>0.86026999999999998</v>
      </c>
      <c r="I13">
        <v>0.63375999999999999</v>
      </c>
      <c r="J13">
        <v>0.10582999999999999</v>
      </c>
    </row>
    <row r="14" spans="1:10" x14ac:dyDescent="0.25">
      <c r="A14">
        <v>2015</v>
      </c>
      <c r="B14" t="s">
        <v>21</v>
      </c>
      <c r="C14" t="s">
        <v>5</v>
      </c>
      <c r="D14">
        <v>13</v>
      </c>
      <c r="E14">
        <v>7.2</v>
      </c>
      <c r="F14">
        <v>1.3372299999999999</v>
      </c>
      <c r="G14">
        <v>1.29704</v>
      </c>
      <c r="H14">
        <v>0.89041999999999999</v>
      </c>
      <c r="I14">
        <v>0.62433000000000005</v>
      </c>
      <c r="J14">
        <v>0.18676000000000001</v>
      </c>
    </row>
    <row r="15" spans="1:10" x14ac:dyDescent="0.25">
      <c r="A15">
        <v>2015</v>
      </c>
      <c r="B15" t="s">
        <v>22</v>
      </c>
      <c r="C15" t="s">
        <v>20</v>
      </c>
      <c r="D15">
        <v>14</v>
      </c>
      <c r="E15">
        <v>7.1870000000000003</v>
      </c>
      <c r="F15">
        <v>1.02054</v>
      </c>
      <c r="G15">
        <v>0.91451000000000005</v>
      </c>
      <c r="H15">
        <v>0.81444000000000005</v>
      </c>
      <c r="I15">
        <v>0.48181000000000002</v>
      </c>
      <c r="J15">
        <v>0.21312</v>
      </c>
    </row>
    <row r="16" spans="1:10" x14ac:dyDescent="0.25">
      <c r="A16">
        <v>2015</v>
      </c>
      <c r="B16" t="s">
        <v>23</v>
      </c>
      <c r="C16" t="s">
        <v>10</v>
      </c>
      <c r="D16">
        <v>15</v>
      </c>
      <c r="E16">
        <v>7.1189999999999998</v>
      </c>
      <c r="F16">
        <v>1.3945099999999999</v>
      </c>
      <c r="G16">
        <v>1.2471099999999999</v>
      </c>
      <c r="H16">
        <v>0.86178999999999994</v>
      </c>
      <c r="I16">
        <v>0.54603999999999997</v>
      </c>
      <c r="J16">
        <v>0.15890000000000001</v>
      </c>
    </row>
    <row r="17" spans="1:10" x14ac:dyDescent="0.25">
      <c r="A17">
        <v>2015</v>
      </c>
      <c r="B17" t="s">
        <v>24</v>
      </c>
      <c r="C17" t="s">
        <v>20</v>
      </c>
      <c r="D17">
        <v>16</v>
      </c>
      <c r="E17">
        <v>6.9829999999999997</v>
      </c>
      <c r="F17">
        <v>0.98124</v>
      </c>
      <c r="G17">
        <v>1.2328699999999999</v>
      </c>
      <c r="H17">
        <v>0.69701999999999997</v>
      </c>
      <c r="I17">
        <v>0.49048999999999998</v>
      </c>
      <c r="J17">
        <v>0.17521</v>
      </c>
    </row>
    <row r="18" spans="1:10" x14ac:dyDescent="0.25">
      <c r="A18">
        <v>2015</v>
      </c>
      <c r="B18" t="s">
        <v>25</v>
      </c>
      <c r="C18" t="s">
        <v>5</v>
      </c>
      <c r="D18">
        <v>17</v>
      </c>
      <c r="E18">
        <v>6.9459999999999997</v>
      </c>
      <c r="F18">
        <v>1.5639099999999999</v>
      </c>
      <c r="G18">
        <v>1.21963</v>
      </c>
      <c r="H18">
        <v>0.91893999999999998</v>
      </c>
      <c r="I18">
        <v>0.61582999999999999</v>
      </c>
      <c r="J18">
        <v>0.37797999999999998</v>
      </c>
    </row>
    <row r="19" spans="1:10" x14ac:dyDescent="0.25">
      <c r="A19">
        <v>2015</v>
      </c>
      <c r="B19" t="s">
        <v>26</v>
      </c>
      <c r="C19" t="s">
        <v>5</v>
      </c>
      <c r="D19">
        <v>18</v>
      </c>
      <c r="E19">
        <v>6.94</v>
      </c>
      <c r="F19">
        <v>1.33596</v>
      </c>
      <c r="G19">
        <v>1.36948</v>
      </c>
      <c r="H19">
        <v>0.89532999999999996</v>
      </c>
      <c r="I19">
        <v>0.61777000000000004</v>
      </c>
      <c r="J19">
        <v>0.28703000000000001</v>
      </c>
    </row>
    <row r="20" spans="1:10" x14ac:dyDescent="0.25">
      <c r="A20">
        <v>2015</v>
      </c>
      <c r="B20" t="s">
        <v>27</v>
      </c>
      <c r="C20" t="s">
        <v>5</v>
      </c>
      <c r="D20">
        <v>19</v>
      </c>
      <c r="E20">
        <v>6.9370000000000003</v>
      </c>
      <c r="F20">
        <v>1.30782</v>
      </c>
      <c r="G20">
        <v>1.28566</v>
      </c>
      <c r="H20">
        <v>0.89666999999999997</v>
      </c>
      <c r="I20">
        <v>0.58450000000000002</v>
      </c>
      <c r="J20">
        <v>0.22539999999999999</v>
      </c>
    </row>
    <row r="21" spans="1:10" x14ac:dyDescent="0.25">
      <c r="A21">
        <v>2015</v>
      </c>
      <c r="B21" t="s">
        <v>28</v>
      </c>
      <c r="C21" t="s">
        <v>18</v>
      </c>
      <c r="D21">
        <v>20</v>
      </c>
      <c r="E21">
        <v>6.9009999999999998</v>
      </c>
      <c r="F21">
        <v>1.42727</v>
      </c>
      <c r="G21">
        <v>1.12575</v>
      </c>
      <c r="H21">
        <v>0.80925000000000002</v>
      </c>
      <c r="I21">
        <v>0.64156999999999997</v>
      </c>
      <c r="J21">
        <v>0.38583000000000001</v>
      </c>
    </row>
    <row r="22" spans="1:10" x14ac:dyDescent="0.25">
      <c r="A22">
        <v>2015</v>
      </c>
      <c r="B22" t="s">
        <v>29</v>
      </c>
      <c r="C22" t="s">
        <v>5</v>
      </c>
      <c r="D22">
        <v>21</v>
      </c>
      <c r="E22">
        <v>6.867</v>
      </c>
      <c r="F22">
        <v>1.26637</v>
      </c>
      <c r="G22">
        <v>1.28548</v>
      </c>
      <c r="H22">
        <v>0.90942999999999996</v>
      </c>
      <c r="I22">
        <v>0.59624999999999995</v>
      </c>
      <c r="J22">
        <v>0.32067000000000001</v>
      </c>
    </row>
    <row r="23" spans="1:10" x14ac:dyDescent="0.25">
      <c r="A23">
        <v>2015</v>
      </c>
      <c r="B23" t="s">
        <v>30</v>
      </c>
      <c r="C23" t="s">
        <v>18</v>
      </c>
      <c r="D23">
        <v>22</v>
      </c>
      <c r="E23">
        <v>6.8529999999999998</v>
      </c>
      <c r="F23">
        <v>1.3601099999999999</v>
      </c>
      <c r="G23">
        <v>1.08182</v>
      </c>
      <c r="H23">
        <v>0.76275999999999999</v>
      </c>
      <c r="I23">
        <v>0.63273999999999997</v>
      </c>
      <c r="J23">
        <v>0.32523999999999997</v>
      </c>
    </row>
    <row r="24" spans="1:10" x14ac:dyDescent="0.25">
      <c r="A24">
        <v>2015</v>
      </c>
      <c r="B24" t="s">
        <v>31</v>
      </c>
      <c r="C24" t="s">
        <v>20</v>
      </c>
      <c r="D24">
        <v>23</v>
      </c>
      <c r="E24">
        <v>6.81</v>
      </c>
      <c r="F24">
        <v>1.0442400000000001</v>
      </c>
      <c r="G24">
        <v>1.25596</v>
      </c>
      <c r="H24">
        <v>0.72052000000000005</v>
      </c>
      <c r="I24">
        <v>0.42908000000000002</v>
      </c>
      <c r="J24">
        <v>0.11069</v>
      </c>
    </row>
    <row r="25" spans="1:10" x14ac:dyDescent="0.25">
      <c r="A25">
        <v>2015</v>
      </c>
      <c r="B25" t="s">
        <v>32</v>
      </c>
      <c r="C25" t="s">
        <v>33</v>
      </c>
      <c r="D25">
        <v>24</v>
      </c>
      <c r="E25">
        <v>6.798</v>
      </c>
      <c r="F25">
        <v>1.52186</v>
      </c>
      <c r="G25">
        <v>1.02</v>
      </c>
      <c r="H25">
        <v>1.02525</v>
      </c>
      <c r="I25">
        <v>0.54252</v>
      </c>
      <c r="J25">
        <v>0.49209999999999998</v>
      </c>
    </row>
    <row r="26" spans="1:10" x14ac:dyDescent="0.25">
      <c r="A26">
        <v>2015</v>
      </c>
      <c r="B26" t="s">
        <v>34</v>
      </c>
      <c r="C26" t="s">
        <v>20</v>
      </c>
      <c r="D26">
        <v>25</v>
      </c>
      <c r="E26">
        <v>6.7859999999999996</v>
      </c>
      <c r="F26">
        <v>1.0635300000000001</v>
      </c>
      <c r="G26">
        <v>1.1984999999999999</v>
      </c>
      <c r="H26">
        <v>0.79661000000000004</v>
      </c>
      <c r="I26">
        <v>0.54210000000000003</v>
      </c>
      <c r="J26">
        <v>9.2700000000000005E-2</v>
      </c>
    </row>
    <row r="27" spans="1:10" x14ac:dyDescent="0.25">
      <c r="A27">
        <v>2015</v>
      </c>
      <c r="B27" t="s">
        <v>35</v>
      </c>
      <c r="C27" t="s">
        <v>5</v>
      </c>
      <c r="D27">
        <v>26</v>
      </c>
      <c r="E27">
        <v>6.75</v>
      </c>
      <c r="F27">
        <v>1.32792</v>
      </c>
      <c r="G27">
        <v>1.2993699999999999</v>
      </c>
      <c r="H27">
        <v>0.89185999999999999</v>
      </c>
      <c r="I27">
        <v>0.61477000000000004</v>
      </c>
      <c r="J27">
        <v>0.21843000000000001</v>
      </c>
    </row>
    <row r="28" spans="1:10" x14ac:dyDescent="0.25">
      <c r="A28">
        <v>2015</v>
      </c>
      <c r="B28" t="s">
        <v>36</v>
      </c>
      <c r="C28" t="s">
        <v>20</v>
      </c>
      <c r="D28">
        <v>27</v>
      </c>
      <c r="E28">
        <v>6.67</v>
      </c>
      <c r="F28">
        <v>1.1071500000000001</v>
      </c>
      <c r="G28">
        <v>1.1244700000000001</v>
      </c>
      <c r="H28">
        <v>0.85857000000000006</v>
      </c>
      <c r="I28">
        <v>0.44131999999999999</v>
      </c>
      <c r="J28">
        <v>0.12869</v>
      </c>
    </row>
    <row r="29" spans="1:10" x14ac:dyDescent="0.25">
      <c r="A29">
        <v>2015</v>
      </c>
      <c r="B29" t="s">
        <v>37</v>
      </c>
      <c r="C29" t="s">
        <v>18</v>
      </c>
      <c r="D29">
        <v>28</v>
      </c>
      <c r="E29">
        <v>6.6109999999999998</v>
      </c>
      <c r="F29">
        <v>1.69042</v>
      </c>
      <c r="G29">
        <v>1.0786</v>
      </c>
      <c r="H29">
        <v>0.79732999999999998</v>
      </c>
      <c r="I29">
        <v>0.64039999999999997</v>
      </c>
      <c r="J29">
        <v>0.52207999999999999</v>
      </c>
    </row>
    <row r="30" spans="1:10" x14ac:dyDescent="0.25">
      <c r="A30">
        <v>2015</v>
      </c>
      <c r="B30" t="s">
        <v>38</v>
      </c>
      <c r="C30" t="s">
        <v>5</v>
      </c>
      <c r="D30">
        <v>29</v>
      </c>
      <c r="E30">
        <v>6.5750000000000002</v>
      </c>
      <c r="F30">
        <v>1.2777799999999999</v>
      </c>
      <c r="G30">
        <v>1.2603800000000001</v>
      </c>
      <c r="H30">
        <v>0.94579000000000002</v>
      </c>
      <c r="I30">
        <v>0.55010999999999999</v>
      </c>
      <c r="J30">
        <v>0.20646</v>
      </c>
    </row>
    <row r="31" spans="1:10" x14ac:dyDescent="0.25">
      <c r="A31">
        <v>2015</v>
      </c>
      <c r="B31" t="s">
        <v>39</v>
      </c>
      <c r="C31" t="s">
        <v>20</v>
      </c>
      <c r="D31">
        <v>30</v>
      </c>
      <c r="E31">
        <v>6.5739999999999998</v>
      </c>
      <c r="F31">
        <v>1.0535099999999999</v>
      </c>
      <c r="G31">
        <v>1.24823</v>
      </c>
      <c r="H31">
        <v>0.78722999999999999</v>
      </c>
      <c r="I31">
        <v>0.44973999999999997</v>
      </c>
      <c r="J31">
        <v>8.4839999999999999E-2</v>
      </c>
    </row>
    <row r="32" spans="1:10" x14ac:dyDescent="0.25">
      <c r="A32">
        <v>2015</v>
      </c>
      <c r="B32" t="s">
        <v>40</v>
      </c>
      <c r="C32" t="s">
        <v>41</v>
      </c>
      <c r="D32">
        <v>31</v>
      </c>
      <c r="E32">
        <v>6.5049999999999999</v>
      </c>
      <c r="F32">
        <v>1.1789799999999999</v>
      </c>
      <c r="G32">
        <v>1.2064299999999999</v>
      </c>
      <c r="H32">
        <v>0.84482999999999997</v>
      </c>
      <c r="I32">
        <v>0.46364</v>
      </c>
      <c r="J32">
        <v>2.6519999999999998E-2</v>
      </c>
    </row>
    <row r="33" spans="1:10" x14ac:dyDescent="0.25">
      <c r="A33">
        <v>2015</v>
      </c>
      <c r="B33" t="s">
        <v>42</v>
      </c>
      <c r="C33" t="s">
        <v>20</v>
      </c>
      <c r="D33">
        <v>32</v>
      </c>
      <c r="E33">
        <v>6.4850000000000003</v>
      </c>
      <c r="F33">
        <v>1.06166</v>
      </c>
      <c r="G33">
        <v>1.2089000000000001</v>
      </c>
      <c r="H33">
        <v>0.81159999999999999</v>
      </c>
      <c r="I33">
        <v>0.60362000000000005</v>
      </c>
      <c r="J33">
        <v>0.24557999999999999</v>
      </c>
    </row>
    <row r="34" spans="1:10" x14ac:dyDescent="0.25">
      <c r="A34">
        <v>2015</v>
      </c>
      <c r="B34" t="s">
        <v>43</v>
      </c>
      <c r="C34" t="s">
        <v>20</v>
      </c>
      <c r="D34">
        <v>33</v>
      </c>
      <c r="E34">
        <v>6.4770000000000003</v>
      </c>
      <c r="F34">
        <v>0.91861000000000004</v>
      </c>
      <c r="G34">
        <v>1.2401800000000001</v>
      </c>
      <c r="H34">
        <v>0.69077</v>
      </c>
      <c r="I34">
        <v>0.53466000000000002</v>
      </c>
      <c r="J34">
        <v>5.1200000000000002E-2</v>
      </c>
    </row>
    <row r="35" spans="1:10" x14ac:dyDescent="0.25">
      <c r="A35">
        <v>2015</v>
      </c>
      <c r="B35" t="s">
        <v>44</v>
      </c>
      <c r="C35" t="s">
        <v>33</v>
      </c>
      <c r="D35">
        <v>34</v>
      </c>
      <c r="E35">
        <v>6.4550000000000001</v>
      </c>
      <c r="F35">
        <v>0.96689999999999998</v>
      </c>
      <c r="G35">
        <v>1.2650399999999999</v>
      </c>
      <c r="H35">
        <v>0.73850000000000005</v>
      </c>
      <c r="I35">
        <v>0.55664000000000002</v>
      </c>
      <c r="J35">
        <v>3.1870000000000002E-2</v>
      </c>
    </row>
    <row r="36" spans="1:10" x14ac:dyDescent="0.25">
      <c r="A36">
        <v>2015</v>
      </c>
      <c r="B36" t="s">
        <v>45</v>
      </c>
      <c r="C36" t="s">
        <v>18</v>
      </c>
      <c r="D36">
        <v>35</v>
      </c>
      <c r="E36">
        <v>6.4109999999999996</v>
      </c>
      <c r="F36">
        <v>1.39541</v>
      </c>
      <c r="G36">
        <v>1.0839300000000001</v>
      </c>
      <c r="H36">
        <v>0.72024999999999995</v>
      </c>
      <c r="I36">
        <v>0.31047999999999998</v>
      </c>
      <c r="J36">
        <v>0.32523999999999997</v>
      </c>
    </row>
    <row r="37" spans="1:10" x14ac:dyDescent="0.25">
      <c r="A37">
        <v>2015</v>
      </c>
      <c r="B37" t="s">
        <v>46</v>
      </c>
      <c r="C37" t="s">
        <v>5</v>
      </c>
      <c r="D37">
        <v>36</v>
      </c>
      <c r="E37">
        <v>6.3289999999999997</v>
      </c>
      <c r="F37">
        <v>1.23011</v>
      </c>
      <c r="G37">
        <v>1.31379</v>
      </c>
      <c r="H37">
        <v>0.95562000000000002</v>
      </c>
      <c r="I37">
        <v>0.45950999999999997</v>
      </c>
      <c r="J37">
        <v>6.3979999999999995E-2</v>
      </c>
    </row>
    <row r="38" spans="1:10" x14ac:dyDescent="0.25">
      <c r="A38">
        <v>2015</v>
      </c>
      <c r="B38" t="s">
        <v>47</v>
      </c>
      <c r="C38" t="s">
        <v>5</v>
      </c>
      <c r="D38">
        <v>37</v>
      </c>
      <c r="E38">
        <v>6.3019999999999996</v>
      </c>
      <c r="F38">
        <v>1.2074</v>
      </c>
      <c r="G38">
        <v>1.30203</v>
      </c>
      <c r="H38">
        <v>0.88721000000000005</v>
      </c>
      <c r="I38">
        <v>0.60365000000000002</v>
      </c>
      <c r="J38">
        <v>0.13586000000000001</v>
      </c>
    </row>
    <row r="39" spans="1:10" x14ac:dyDescent="0.25">
      <c r="A39">
        <v>2015</v>
      </c>
      <c r="B39" t="s">
        <v>48</v>
      </c>
      <c r="C39" t="s">
        <v>49</v>
      </c>
      <c r="D39">
        <v>38</v>
      </c>
      <c r="E39">
        <v>6.298</v>
      </c>
      <c r="F39">
        <v>1.29098</v>
      </c>
      <c r="G39">
        <v>1.0761700000000001</v>
      </c>
      <c r="H39">
        <v>0.87529999999999997</v>
      </c>
      <c r="I39">
        <v>0.39739999999999998</v>
      </c>
      <c r="J39">
        <v>8.1290000000000001E-2</v>
      </c>
    </row>
    <row r="40" spans="1:10" x14ac:dyDescent="0.25">
      <c r="A40">
        <v>2015</v>
      </c>
      <c r="B40" t="s">
        <v>50</v>
      </c>
      <c r="C40" t="s">
        <v>18</v>
      </c>
      <c r="D40">
        <v>39</v>
      </c>
      <c r="E40">
        <v>6.2949999999999999</v>
      </c>
      <c r="F40">
        <v>1.5542199999999999</v>
      </c>
      <c r="G40">
        <v>1.16594</v>
      </c>
      <c r="H40">
        <v>0.72492000000000001</v>
      </c>
      <c r="I40">
        <v>0.55498999999999998</v>
      </c>
      <c r="J40">
        <v>0.25608999999999998</v>
      </c>
    </row>
    <row r="41" spans="1:10" x14ac:dyDescent="0.25">
      <c r="A41">
        <v>2015</v>
      </c>
      <c r="B41" t="s">
        <v>51</v>
      </c>
      <c r="C41" t="s">
        <v>20</v>
      </c>
      <c r="D41">
        <v>40</v>
      </c>
      <c r="E41">
        <v>6.2690000000000001</v>
      </c>
      <c r="F41">
        <v>0.99534</v>
      </c>
      <c r="G41">
        <v>0.97199999999999998</v>
      </c>
      <c r="H41">
        <v>0.60819999999999996</v>
      </c>
      <c r="I41">
        <v>0.59657000000000004</v>
      </c>
      <c r="J41">
        <v>0.13633000000000001</v>
      </c>
    </row>
    <row r="42" spans="1:10" x14ac:dyDescent="0.25">
      <c r="A42">
        <v>2015</v>
      </c>
      <c r="B42" t="s">
        <v>52</v>
      </c>
      <c r="C42" t="s">
        <v>20</v>
      </c>
      <c r="D42">
        <v>41</v>
      </c>
      <c r="E42">
        <v>6.1680000000000001</v>
      </c>
      <c r="F42">
        <v>1.21183</v>
      </c>
      <c r="G42">
        <v>1.18354</v>
      </c>
      <c r="H42">
        <v>0.61482999999999999</v>
      </c>
      <c r="I42">
        <v>0.55884</v>
      </c>
      <c r="J42">
        <v>1.14E-2</v>
      </c>
    </row>
    <row r="43" spans="1:10" x14ac:dyDescent="0.25">
      <c r="A43">
        <v>2015</v>
      </c>
      <c r="B43" t="s">
        <v>53</v>
      </c>
      <c r="C43" t="s">
        <v>20</v>
      </c>
      <c r="D43">
        <v>42</v>
      </c>
      <c r="E43">
        <v>6.13</v>
      </c>
      <c r="F43">
        <v>0.76454</v>
      </c>
      <c r="G43">
        <v>1.0250699999999999</v>
      </c>
      <c r="H43">
        <v>0.67737000000000003</v>
      </c>
      <c r="I43">
        <v>0.40350000000000003</v>
      </c>
      <c r="J43">
        <v>0.11776</v>
      </c>
    </row>
    <row r="44" spans="1:10" x14ac:dyDescent="0.25">
      <c r="A44">
        <v>2015</v>
      </c>
      <c r="B44" t="s">
        <v>54</v>
      </c>
      <c r="C44" t="s">
        <v>20</v>
      </c>
      <c r="D44">
        <v>43</v>
      </c>
      <c r="E44">
        <v>6.1230000000000002</v>
      </c>
      <c r="F44">
        <v>0.74553000000000003</v>
      </c>
      <c r="G44">
        <v>1.04356</v>
      </c>
      <c r="H44">
        <v>0.64424999999999999</v>
      </c>
      <c r="I44">
        <v>0.57733000000000001</v>
      </c>
      <c r="J44">
        <v>9.4719999999999999E-2</v>
      </c>
    </row>
    <row r="45" spans="1:10" x14ac:dyDescent="0.25">
      <c r="A45">
        <v>2015</v>
      </c>
      <c r="B45" t="s">
        <v>55</v>
      </c>
      <c r="C45" t="s">
        <v>41</v>
      </c>
      <c r="D45">
        <v>44</v>
      </c>
      <c r="E45">
        <v>6.0030000000000001</v>
      </c>
      <c r="F45">
        <v>0.63244</v>
      </c>
      <c r="G45">
        <v>1.34043</v>
      </c>
      <c r="H45">
        <v>0.59772000000000003</v>
      </c>
      <c r="I45">
        <v>0.65820999999999996</v>
      </c>
      <c r="J45">
        <v>0.30825999999999998</v>
      </c>
    </row>
    <row r="46" spans="1:10" x14ac:dyDescent="0.25">
      <c r="A46">
        <v>2015</v>
      </c>
      <c r="B46" t="s">
        <v>56</v>
      </c>
      <c r="C46" t="s">
        <v>41</v>
      </c>
      <c r="D46">
        <v>45</v>
      </c>
      <c r="E46">
        <v>5.9950000000000001</v>
      </c>
      <c r="F46">
        <v>1.1689099999999999</v>
      </c>
      <c r="G46">
        <v>1.26999</v>
      </c>
      <c r="H46">
        <v>0.78902000000000005</v>
      </c>
      <c r="I46">
        <v>0.31751000000000001</v>
      </c>
      <c r="J46">
        <v>3.431E-2</v>
      </c>
    </row>
    <row r="47" spans="1:10" x14ac:dyDescent="0.25">
      <c r="A47">
        <v>2015</v>
      </c>
      <c r="B47" t="s">
        <v>57</v>
      </c>
      <c r="C47" t="s">
        <v>49</v>
      </c>
      <c r="D47">
        <v>46</v>
      </c>
      <c r="E47">
        <v>5.9870000000000001</v>
      </c>
      <c r="F47">
        <v>1.27074</v>
      </c>
      <c r="G47">
        <v>1.25712</v>
      </c>
      <c r="H47">
        <v>0.99111000000000005</v>
      </c>
      <c r="I47">
        <v>0.49614999999999998</v>
      </c>
      <c r="J47">
        <v>0.18060000000000001</v>
      </c>
    </row>
    <row r="48" spans="1:10" x14ac:dyDescent="0.25">
      <c r="A48">
        <v>2015</v>
      </c>
      <c r="B48" t="s">
        <v>58</v>
      </c>
      <c r="C48" t="s">
        <v>49</v>
      </c>
      <c r="D48">
        <v>47</v>
      </c>
      <c r="E48">
        <v>5.984</v>
      </c>
      <c r="F48">
        <v>1.24461</v>
      </c>
      <c r="G48">
        <v>0.95774000000000004</v>
      </c>
      <c r="H48">
        <v>0.96538000000000002</v>
      </c>
      <c r="I48">
        <v>0.33207999999999999</v>
      </c>
      <c r="J48">
        <v>7.8570000000000001E-2</v>
      </c>
    </row>
    <row r="49" spans="1:10" x14ac:dyDescent="0.25">
      <c r="A49">
        <v>2015</v>
      </c>
      <c r="B49" t="s">
        <v>59</v>
      </c>
      <c r="C49" t="s">
        <v>20</v>
      </c>
      <c r="D49">
        <v>48</v>
      </c>
      <c r="E49">
        <v>5.9749999999999996</v>
      </c>
      <c r="F49">
        <v>0.86402000000000001</v>
      </c>
      <c r="G49">
        <v>0.99902999999999997</v>
      </c>
      <c r="H49">
        <v>0.79074999999999995</v>
      </c>
      <c r="I49">
        <v>0.48574000000000001</v>
      </c>
      <c r="J49">
        <v>0.18090000000000001</v>
      </c>
    </row>
    <row r="50" spans="1:10" x14ac:dyDescent="0.25">
      <c r="A50">
        <v>2015</v>
      </c>
      <c r="B50" t="s">
        <v>60</v>
      </c>
      <c r="C50" t="s">
        <v>18</v>
      </c>
      <c r="D50">
        <v>49</v>
      </c>
      <c r="E50">
        <v>5.96</v>
      </c>
      <c r="F50">
        <v>1.32376</v>
      </c>
      <c r="G50">
        <v>1.21624</v>
      </c>
      <c r="H50">
        <v>0.74716000000000005</v>
      </c>
      <c r="I50">
        <v>0.45491999999999999</v>
      </c>
      <c r="J50">
        <v>0.30599999999999999</v>
      </c>
    </row>
    <row r="51" spans="1:10" x14ac:dyDescent="0.25">
      <c r="A51">
        <v>2015</v>
      </c>
      <c r="B51" t="s">
        <v>61</v>
      </c>
      <c r="C51" t="s">
        <v>5</v>
      </c>
      <c r="D51">
        <v>50</v>
      </c>
      <c r="E51">
        <v>5.9480000000000004</v>
      </c>
      <c r="F51">
        <v>1.2511399999999999</v>
      </c>
      <c r="G51">
        <v>1.19777</v>
      </c>
      <c r="H51">
        <v>0.95445999999999998</v>
      </c>
      <c r="I51">
        <v>0.26235999999999998</v>
      </c>
      <c r="J51">
        <v>2.9010000000000001E-2</v>
      </c>
    </row>
    <row r="52" spans="1:10" x14ac:dyDescent="0.25">
      <c r="A52">
        <v>2015</v>
      </c>
      <c r="B52" t="s">
        <v>62</v>
      </c>
      <c r="C52" t="s">
        <v>20</v>
      </c>
      <c r="D52">
        <v>51</v>
      </c>
      <c r="E52">
        <v>5.89</v>
      </c>
      <c r="F52">
        <v>0.68132999999999999</v>
      </c>
      <c r="G52">
        <v>0.97841</v>
      </c>
      <c r="H52">
        <v>0.53920000000000001</v>
      </c>
      <c r="I52">
        <v>0.57413999999999998</v>
      </c>
      <c r="J52">
        <v>8.7999999999999995E-2</v>
      </c>
    </row>
    <row r="53" spans="1:10" x14ac:dyDescent="0.25">
      <c r="A53">
        <v>2015</v>
      </c>
      <c r="B53" t="s">
        <v>63</v>
      </c>
      <c r="C53" t="s">
        <v>41</v>
      </c>
      <c r="D53">
        <v>52</v>
      </c>
      <c r="E53">
        <v>5.8890000000000002</v>
      </c>
      <c r="F53">
        <v>0.59448000000000001</v>
      </c>
      <c r="G53">
        <v>1.01528</v>
      </c>
      <c r="H53">
        <v>0.61826000000000003</v>
      </c>
      <c r="I53">
        <v>0.32818000000000003</v>
      </c>
      <c r="J53">
        <v>1.6150000000000001E-2</v>
      </c>
    </row>
    <row r="54" spans="1:10" x14ac:dyDescent="0.25">
      <c r="A54">
        <v>2015</v>
      </c>
      <c r="B54" t="s">
        <v>64</v>
      </c>
      <c r="C54" t="s">
        <v>20</v>
      </c>
      <c r="D54">
        <v>53</v>
      </c>
      <c r="E54">
        <v>5.8780000000000001</v>
      </c>
      <c r="F54">
        <v>0.75985000000000003</v>
      </c>
      <c r="G54">
        <v>1.30477</v>
      </c>
      <c r="H54">
        <v>0.66098000000000001</v>
      </c>
      <c r="I54">
        <v>0.53898999999999997</v>
      </c>
      <c r="J54">
        <v>8.2419999999999993E-2</v>
      </c>
    </row>
    <row r="55" spans="1:10" x14ac:dyDescent="0.25">
      <c r="A55">
        <v>2015</v>
      </c>
      <c r="B55" t="s">
        <v>65</v>
      </c>
      <c r="C55" t="s">
        <v>41</v>
      </c>
      <c r="D55">
        <v>54</v>
      </c>
      <c r="E55">
        <v>5.8550000000000004</v>
      </c>
      <c r="F55">
        <v>1.1225400000000001</v>
      </c>
      <c r="G55">
        <v>1.1224099999999999</v>
      </c>
      <c r="H55">
        <v>0.64368000000000003</v>
      </c>
      <c r="I55">
        <v>0.51649</v>
      </c>
      <c r="J55">
        <v>8.4540000000000004E-2</v>
      </c>
    </row>
    <row r="56" spans="1:10" x14ac:dyDescent="0.25">
      <c r="A56">
        <v>2015</v>
      </c>
      <c r="B56" t="s">
        <v>66</v>
      </c>
      <c r="C56" t="s">
        <v>41</v>
      </c>
      <c r="D56">
        <v>55</v>
      </c>
      <c r="E56">
        <v>5.8479999999999999</v>
      </c>
      <c r="F56">
        <v>1.1849799999999999</v>
      </c>
      <c r="G56">
        <v>1.2738499999999999</v>
      </c>
      <c r="H56">
        <v>0.87336999999999998</v>
      </c>
      <c r="I56">
        <v>0.60855000000000004</v>
      </c>
      <c r="J56">
        <v>3.7870000000000001E-2</v>
      </c>
    </row>
    <row r="57" spans="1:10" x14ac:dyDescent="0.25">
      <c r="A57">
        <v>2015</v>
      </c>
      <c r="B57" t="s">
        <v>67</v>
      </c>
      <c r="C57" t="s">
        <v>41</v>
      </c>
      <c r="D57">
        <v>56</v>
      </c>
      <c r="E57">
        <v>5.8330000000000002</v>
      </c>
      <c r="F57">
        <v>1.14723</v>
      </c>
      <c r="G57">
        <v>1.25745</v>
      </c>
      <c r="H57">
        <v>0.73128000000000004</v>
      </c>
      <c r="I57">
        <v>0.21342</v>
      </c>
      <c r="J57">
        <v>1.031E-2</v>
      </c>
    </row>
    <row r="58" spans="1:10" x14ac:dyDescent="0.25">
      <c r="A58">
        <v>2015</v>
      </c>
      <c r="B58" t="s">
        <v>68</v>
      </c>
      <c r="C58" t="s">
        <v>20</v>
      </c>
      <c r="D58">
        <v>57</v>
      </c>
      <c r="E58">
        <v>5.8280000000000003</v>
      </c>
      <c r="F58">
        <v>0.59325000000000006</v>
      </c>
      <c r="G58">
        <v>1.14184</v>
      </c>
      <c r="H58">
        <v>0.74314000000000002</v>
      </c>
      <c r="I58">
        <v>0.55474999999999997</v>
      </c>
      <c r="J58">
        <v>0.19317000000000001</v>
      </c>
    </row>
    <row r="59" spans="1:10" x14ac:dyDescent="0.25">
      <c r="A59">
        <v>2015</v>
      </c>
      <c r="B59" t="s">
        <v>69</v>
      </c>
      <c r="C59" t="s">
        <v>20</v>
      </c>
      <c r="D59">
        <v>58</v>
      </c>
      <c r="E59">
        <v>5.8239999999999998</v>
      </c>
      <c r="F59">
        <v>0.90019000000000005</v>
      </c>
      <c r="G59">
        <v>0.97458999999999996</v>
      </c>
      <c r="H59">
        <v>0.73016999999999999</v>
      </c>
      <c r="I59">
        <v>0.41496</v>
      </c>
      <c r="J59">
        <v>5.9889999999999999E-2</v>
      </c>
    </row>
    <row r="60" spans="1:10" x14ac:dyDescent="0.25">
      <c r="A60">
        <v>2015</v>
      </c>
      <c r="B60" t="s">
        <v>70</v>
      </c>
      <c r="C60" t="s">
        <v>41</v>
      </c>
      <c r="D60">
        <v>59</v>
      </c>
      <c r="E60">
        <v>5.8129999999999997</v>
      </c>
      <c r="F60">
        <v>1.0319199999999999</v>
      </c>
      <c r="G60">
        <v>1.23289</v>
      </c>
      <c r="H60">
        <v>0.73607999999999996</v>
      </c>
      <c r="I60">
        <v>0.37938</v>
      </c>
      <c r="J60">
        <v>0.19089999999999999</v>
      </c>
    </row>
    <row r="61" spans="1:10" x14ac:dyDescent="0.25">
      <c r="A61">
        <v>2015</v>
      </c>
      <c r="B61" t="s">
        <v>71</v>
      </c>
      <c r="C61" t="s">
        <v>41</v>
      </c>
      <c r="D61">
        <v>60</v>
      </c>
      <c r="E61">
        <v>5.7910000000000004</v>
      </c>
      <c r="F61">
        <v>1.1255500000000001</v>
      </c>
      <c r="G61">
        <v>1.27948</v>
      </c>
      <c r="H61">
        <v>0.77903</v>
      </c>
      <c r="I61">
        <v>0.53122000000000003</v>
      </c>
      <c r="J61">
        <v>4.2119999999999998E-2</v>
      </c>
    </row>
    <row r="62" spans="1:10" x14ac:dyDescent="0.25">
      <c r="A62">
        <v>2015</v>
      </c>
      <c r="B62" t="s">
        <v>72</v>
      </c>
      <c r="C62" t="s">
        <v>33</v>
      </c>
      <c r="D62">
        <v>61</v>
      </c>
      <c r="E62">
        <v>5.77</v>
      </c>
      <c r="F62">
        <v>1.12486</v>
      </c>
      <c r="G62">
        <v>1.07023</v>
      </c>
      <c r="H62">
        <v>0.72394000000000003</v>
      </c>
      <c r="I62">
        <v>0.53024000000000004</v>
      </c>
      <c r="J62">
        <v>0.10501000000000001</v>
      </c>
    </row>
    <row r="63" spans="1:10" x14ac:dyDescent="0.25">
      <c r="A63">
        <v>2015</v>
      </c>
      <c r="B63" t="s">
        <v>73</v>
      </c>
      <c r="C63" t="s">
        <v>41</v>
      </c>
      <c r="D63">
        <v>62</v>
      </c>
      <c r="E63">
        <v>5.7590000000000003</v>
      </c>
      <c r="F63">
        <v>1.0825400000000001</v>
      </c>
      <c r="G63">
        <v>0.79623999999999995</v>
      </c>
      <c r="H63">
        <v>0.78805000000000003</v>
      </c>
      <c r="I63">
        <v>0.25883</v>
      </c>
      <c r="J63">
        <v>2.4299999999999999E-2</v>
      </c>
    </row>
    <row r="64" spans="1:10" x14ac:dyDescent="0.25">
      <c r="A64">
        <v>2015</v>
      </c>
      <c r="B64" t="s">
        <v>74</v>
      </c>
      <c r="C64" t="s">
        <v>18</v>
      </c>
      <c r="D64">
        <v>63</v>
      </c>
      <c r="E64">
        <v>5.7539999999999996</v>
      </c>
      <c r="F64">
        <v>1.1314500000000001</v>
      </c>
      <c r="G64">
        <v>1.1186199999999999</v>
      </c>
      <c r="H64">
        <v>0.70379999999999998</v>
      </c>
      <c r="I64">
        <v>0.41667999999999999</v>
      </c>
      <c r="J64">
        <v>0.11022999999999999</v>
      </c>
    </row>
    <row r="65" spans="1:10" x14ac:dyDescent="0.25">
      <c r="A65">
        <v>2015</v>
      </c>
      <c r="B65" t="s">
        <v>75</v>
      </c>
      <c r="C65" t="s">
        <v>41</v>
      </c>
      <c r="D65">
        <v>64</v>
      </c>
      <c r="E65">
        <v>5.7160000000000002</v>
      </c>
      <c r="F65">
        <v>1.13764</v>
      </c>
      <c r="G65">
        <v>1.23617</v>
      </c>
      <c r="H65">
        <v>0.66925999999999997</v>
      </c>
      <c r="I65">
        <v>0.36679</v>
      </c>
      <c r="J65">
        <v>3.005E-2</v>
      </c>
    </row>
    <row r="66" spans="1:10" x14ac:dyDescent="0.25">
      <c r="A66">
        <v>2015</v>
      </c>
      <c r="B66" t="s">
        <v>76</v>
      </c>
      <c r="C66" t="s">
        <v>20</v>
      </c>
      <c r="D66">
        <v>65</v>
      </c>
      <c r="E66">
        <v>5.7089999999999996</v>
      </c>
      <c r="F66">
        <v>0.81037999999999999</v>
      </c>
      <c r="G66">
        <v>1.1510199999999999</v>
      </c>
      <c r="H66">
        <v>0.68740999999999997</v>
      </c>
      <c r="I66">
        <v>0.50441999999999998</v>
      </c>
      <c r="J66">
        <v>2.299E-2</v>
      </c>
    </row>
    <row r="67" spans="1:10" x14ac:dyDescent="0.25">
      <c r="A67">
        <v>2015</v>
      </c>
      <c r="B67" t="s">
        <v>77</v>
      </c>
      <c r="C67" t="s">
        <v>5</v>
      </c>
      <c r="D67">
        <v>66</v>
      </c>
      <c r="E67">
        <v>5.6950000000000003</v>
      </c>
      <c r="F67">
        <v>1.2080599999999999</v>
      </c>
      <c r="G67">
        <v>1.0700799999999999</v>
      </c>
      <c r="H67">
        <v>0.92356000000000005</v>
      </c>
      <c r="I67">
        <v>0.49026999999999998</v>
      </c>
      <c r="J67">
        <v>0.14280000000000001</v>
      </c>
    </row>
    <row r="68" spans="1:10" x14ac:dyDescent="0.25">
      <c r="A68">
        <v>2015</v>
      </c>
      <c r="B68" t="s">
        <v>78</v>
      </c>
      <c r="C68" t="s">
        <v>5</v>
      </c>
      <c r="D68">
        <v>67</v>
      </c>
      <c r="E68">
        <v>5.6890000000000001</v>
      </c>
      <c r="F68">
        <v>1.2081299999999999</v>
      </c>
      <c r="G68">
        <v>0.89317999999999997</v>
      </c>
      <c r="H68">
        <v>0.92356000000000005</v>
      </c>
      <c r="I68">
        <v>0.40672000000000003</v>
      </c>
      <c r="J68">
        <v>6.1460000000000001E-2</v>
      </c>
    </row>
    <row r="69" spans="1:10" x14ac:dyDescent="0.25">
      <c r="A69">
        <v>2015</v>
      </c>
      <c r="B69" t="s">
        <v>79</v>
      </c>
      <c r="C69" t="s">
        <v>18</v>
      </c>
      <c r="D69">
        <v>68</v>
      </c>
      <c r="E69">
        <v>5.6050000000000004</v>
      </c>
      <c r="F69">
        <v>0.93928999999999996</v>
      </c>
      <c r="G69">
        <v>1.07772</v>
      </c>
      <c r="H69">
        <v>0.61765999999999999</v>
      </c>
      <c r="I69">
        <v>0.28578999999999999</v>
      </c>
      <c r="J69">
        <v>0.17383000000000001</v>
      </c>
    </row>
    <row r="70" spans="1:10" x14ac:dyDescent="0.25">
      <c r="A70">
        <v>2015</v>
      </c>
      <c r="B70" t="s">
        <v>80</v>
      </c>
      <c r="C70" t="s">
        <v>41</v>
      </c>
      <c r="D70">
        <v>69</v>
      </c>
      <c r="E70">
        <v>5.5890000000000004</v>
      </c>
      <c r="F70">
        <v>0.80147999999999997</v>
      </c>
      <c r="G70">
        <v>0.81198000000000004</v>
      </c>
      <c r="H70">
        <v>0.63131999999999999</v>
      </c>
      <c r="I70">
        <v>0.24748999999999999</v>
      </c>
      <c r="J70">
        <v>4.7410000000000001E-2</v>
      </c>
    </row>
    <row r="71" spans="1:10" x14ac:dyDescent="0.25">
      <c r="A71">
        <v>2015</v>
      </c>
      <c r="B71" t="s">
        <v>81</v>
      </c>
      <c r="C71" t="s">
        <v>41</v>
      </c>
      <c r="D71">
        <v>70</v>
      </c>
      <c r="E71">
        <v>5.548</v>
      </c>
      <c r="F71">
        <v>0.95847000000000004</v>
      </c>
      <c r="G71">
        <v>1.22668</v>
      </c>
      <c r="H71">
        <v>0.53886000000000001</v>
      </c>
      <c r="I71">
        <v>0.47610000000000002</v>
      </c>
      <c r="J71">
        <v>0.30843999999999999</v>
      </c>
    </row>
    <row r="72" spans="1:10" x14ac:dyDescent="0.25">
      <c r="A72">
        <v>2015</v>
      </c>
      <c r="B72" t="s">
        <v>82</v>
      </c>
      <c r="C72" t="s">
        <v>83</v>
      </c>
      <c r="D72">
        <v>71</v>
      </c>
      <c r="E72">
        <v>5.4770000000000003</v>
      </c>
      <c r="F72">
        <v>1.0076099999999999</v>
      </c>
      <c r="G72">
        <v>0.98521000000000003</v>
      </c>
      <c r="H72">
        <v>0.70950000000000002</v>
      </c>
      <c r="I72">
        <v>0.56066000000000005</v>
      </c>
      <c r="J72">
        <v>7.5209999999999999E-2</v>
      </c>
    </row>
    <row r="73" spans="1:10" x14ac:dyDescent="0.25">
      <c r="A73">
        <v>2015</v>
      </c>
      <c r="B73" t="s">
        <v>84</v>
      </c>
      <c r="C73" t="s">
        <v>49</v>
      </c>
      <c r="D73">
        <v>72</v>
      </c>
      <c r="E73">
        <v>5.4740000000000002</v>
      </c>
      <c r="F73">
        <v>1.3860399999999999</v>
      </c>
      <c r="G73">
        <v>1.0581799999999999</v>
      </c>
      <c r="H73">
        <v>1.01328</v>
      </c>
      <c r="I73">
        <v>0.59608000000000005</v>
      </c>
      <c r="J73">
        <v>0.37124000000000001</v>
      </c>
    </row>
    <row r="74" spans="1:10" x14ac:dyDescent="0.25">
      <c r="A74">
        <v>2015</v>
      </c>
      <c r="B74" t="s">
        <v>85</v>
      </c>
      <c r="C74" t="s">
        <v>41</v>
      </c>
      <c r="D74">
        <v>73</v>
      </c>
      <c r="E74">
        <v>5.4290000000000003</v>
      </c>
      <c r="F74">
        <v>1.15174</v>
      </c>
      <c r="G74">
        <v>1.2279100000000001</v>
      </c>
      <c r="H74">
        <v>0.77361000000000002</v>
      </c>
      <c r="I74">
        <v>0.44888</v>
      </c>
      <c r="J74">
        <v>0.15184</v>
      </c>
    </row>
    <row r="75" spans="1:10" x14ac:dyDescent="0.25">
      <c r="A75">
        <v>2015</v>
      </c>
      <c r="B75" t="s">
        <v>86</v>
      </c>
      <c r="C75" t="s">
        <v>33</v>
      </c>
      <c r="D75">
        <v>74</v>
      </c>
      <c r="E75">
        <v>5.399</v>
      </c>
      <c r="F75">
        <v>0.82826999999999995</v>
      </c>
      <c r="G75">
        <v>1.08708</v>
      </c>
      <c r="H75">
        <v>0.63793</v>
      </c>
      <c r="I75">
        <v>0.46611000000000002</v>
      </c>
      <c r="J75">
        <v>0</v>
      </c>
    </row>
    <row r="76" spans="1:10" x14ac:dyDescent="0.25">
      <c r="A76">
        <v>2015</v>
      </c>
      <c r="B76" t="s">
        <v>87</v>
      </c>
      <c r="C76" t="s">
        <v>33</v>
      </c>
      <c r="D76">
        <v>75</v>
      </c>
      <c r="E76">
        <v>5.36</v>
      </c>
      <c r="F76">
        <v>0.63216000000000006</v>
      </c>
      <c r="G76">
        <v>0.91225999999999996</v>
      </c>
      <c r="H76">
        <v>0.74675999999999998</v>
      </c>
      <c r="I76">
        <v>0.59443999999999997</v>
      </c>
      <c r="J76">
        <v>0.10441</v>
      </c>
    </row>
    <row r="77" spans="1:10" x14ac:dyDescent="0.25">
      <c r="A77">
        <v>2015</v>
      </c>
      <c r="B77" t="s">
        <v>88</v>
      </c>
      <c r="C77" t="s">
        <v>18</v>
      </c>
      <c r="D77">
        <v>76</v>
      </c>
      <c r="E77">
        <v>5.3319999999999999</v>
      </c>
      <c r="F77">
        <v>1.06098</v>
      </c>
      <c r="G77">
        <v>0.94632000000000005</v>
      </c>
      <c r="H77">
        <v>0.73172000000000004</v>
      </c>
      <c r="I77">
        <v>0.22814999999999999</v>
      </c>
      <c r="J77">
        <v>0.15745999999999999</v>
      </c>
    </row>
    <row r="78" spans="1:10" x14ac:dyDescent="0.25">
      <c r="A78">
        <v>2015</v>
      </c>
      <c r="B78" t="s">
        <v>89</v>
      </c>
      <c r="C78" t="s">
        <v>41</v>
      </c>
      <c r="D78">
        <v>77</v>
      </c>
      <c r="E78">
        <v>5.2859999999999996</v>
      </c>
      <c r="F78">
        <v>0.47427999999999998</v>
      </c>
      <c r="G78">
        <v>1.1511499999999999</v>
      </c>
      <c r="H78">
        <v>0.65088000000000001</v>
      </c>
      <c r="I78">
        <v>0.43476999999999999</v>
      </c>
      <c r="J78">
        <v>4.2320000000000003E-2</v>
      </c>
    </row>
    <row r="79" spans="1:10" x14ac:dyDescent="0.25">
      <c r="A79">
        <v>2015</v>
      </c>
      <c r="B79" t="s">
        <v>90</v>
      </c>
      <c r="C79" t="s">
        <v>83</v>
      </c>
      <c r="D79">
        <v>78</v>
      </c>
      <c r="E79">
        <v>5.2679999999999998</v>
      </c>
      <c r="F79">
        <v>0.65434999999999999</v>
      </c>
      <c r="G79">
        <v>0.90432000000000001</v>
      </c>
      <c r="H79">
        <v>0.16006999999999999</v>
      </c>
      <c r="I79">
        <v>0.34333999999999998</v>
      </c>
      <c r="J79">
        <v>4.0300000000000002E-2</v>
      </c>
    </row>
    <row r="80" spans="1:10" x14ac:dyDescent="0.25">
      <c r="A80">
        <v>2015</v>
      </c>
      <c r="B80" t="s">
        <v>91</v>
      </c>
      <c r="C80" t="s">
        <v>92</v>
      </c>
      <c r="D80">
        <v>79</v>
      </c>
      <c r="E80">
        <v>5.2530000000000001</v>
      </c>
      <c r="F80">
        <v>0.77041999999999999</v>
      </c>
      <c r="G80">
        <v>1.10395</v>
      </c>
      <c r="H80">
        <v>0.57406999999999997</v>
      </c>
      <c r="I80">
        <v>0.53205999999999998</v>
      </c>
      <c r="J80">
        <v>0.15445</v>
      </c>
    </row>
    <row r="81" spans="1:10" x14ac:dyDescent="0.25">
      <c r="A81">
        <v>2015</v>
      </c>
      <c r="B81" t="s">
        <v>93</v>
      </c>
      <c r="C81" t="s">
        <v>41</v>
      </c>
      <c r="D81">
        <v>80</v>
      </c>
      <c r="E81">
        <v>5.2119999999999997</v>
      </c>
      <c r="F81">
        <v>1.02389</v>
      </c>
      <c r="G81">
        <v>0.93793000000000004</v>
      </c>
      <c r="H81">
        <v>0.64044999999999996</v>
      </c>
      <c r="I81">
        <v>0.37030000000000002</v>
      </c>
      <c r="J81">
        <v>0.16064999999999999</v>
      </c>
    </row>
    <row r="82" spans="1:10" x14ac:dyDescent="0.25">
      <c r="A82">
        <v>2015</v>
      </c>
      <c r="B82" t="s">
        <v>94</v>
      </c>
      <c r="C82" t="s">
        <v>92</v>
      </c>
      <c r="D82">
        <v>81</v>
      </c>
      <c r="E82">
        <v>5.194</v>
      </c>
      <c r="F82">
        <v>0.59543000000000001</v>
      </c>
      <c r="G82">
        <v>0.41410999999999998</v>
      </c>
      <c r="H82">
        <v>0.51466000000000001</v>
      </c>
      <c r="I82">
        <v>0.12102</v>
      </c>
      <c r="J82">
        <v>0.10464</v>
      </c>
    </row>
    <row r="83" spans="1:10" x14ac:dyDescent="0.25">
      <c r="A83">
        <v>2015</v>
      </c>
      <c r="B83" t="s">
        <v>95</v>
      </c>
      <c r="C83" t="s">
        <v>18</v>
      </c>
      <c r="D83">
        <v>82</v>
      </c>
      <c r="E83">
        <v>5.1920000000000002</v>
      </c>
      <c r="F83">
        <v>0.90198</v>
      </c>
      <c r="G83">
        <v>1.05392</v>
      </c>
      <c r="H83">
        <v>0.69638999999999995</v>
      </c>
      <c r="I83">
        <v>0.40661000000000003</v>
      </c>
      <c r="J83">
        <v>0.14293</v>
      </c>
    </row>
    <row r="84" spans="1:10" x14ac:dyDescent="0.25">
      <c r="A84">
        <v>2015</v>
      </c>
      <c r="B84" t="s">
        <v>96</v>
      </c>
      <c r="C84" t="s">
        <v>41</v>
      </c>
      <c r="D84">
        <v>82</v>
      </c>
      <c r="E84">
        <v>5.1920000000000002</v>
      </c>
      <c r="F84">
        <v>0.97438000000000002</v>
      </c>
      <c r="G84">
        <v>0.90556999999999999</v>
      </c>
      <c r="H84">
        <v>0.72521000000000002</v>
      </c>
      <c r="I84">
        <v>0.18260000000000001</v>
      </c>
      <c r="J84">
        <v>0.14296</v>
      </c>
    </row>
    <row r="85" spans="1:10" x14ac:dyDescent="0.25">
      <c r="A85">
        <v>2015</v>
      </c>
      <c r="B85" t="s">
        <v>97</v>
      </c>
      <c r="C85" t="s">
        <v>49</v>
      </c>
      <c r="D85">
        <v>84</v>
      </c>
      <c r="E85">
        <v>5.14</v>
      </c>
      <c r="F85">
        <v>0.89012000000000002</v>
      </c>
      <c r="G85">
        <v>0.94674999999999998</v>
      </c>
      <c r="H85">
        <v>0.81657999999999997</v>
      </c>
      <c r="I85">
        <v>0.51697000000000004</v>
      </c>
      <c r="J85">
        <v>2.7810000000000001E-2</v>
      </c>
    </row>
    <row r="86" spans="1:10" x14ac:dyDescent="0.25">
      <c r="A86">
        <v>2015</v>
      </c>
      <c r="B86" t="s">
        <v>98</v>
      </c>
      <c r="C86" t="s">
        <v>83</v>
      </c>
      <c r="D86">
        <v>85</v>
      </c>
      <c r="E86">
        <v>5.1289999999999996</v>
      </c>
      <c r="F86">
        <v>0.47038000000000002</v>
      </c>
      <c r="G86">
        <v>0.91612000000000005</v>
      </c>
      <c r="H86">
        <v>0.29924000000000001</v>
      </c>
      <c r="I86">
        <v>0.48826999999999998</v>
      </c>
      <c r="J86">
        <v>0.12468</v>
      </c>
    </row>
    <row r="87" spans="1:10" x14ac:dyDescent="0.25">
      <c r="A87">
        <v>2015</v>
      </c>
      <c r="B87" t="s">
        <v>99</v>
      </c>
      <c r="C87" t="s">
        <v>41</v>
      </c>
      <c r="D87">
        <v>86</v>
      </c>
      <c r="E87">
        <v>5.1239999999999997</v>
      </c>
      <c r="F87">
        <v>1.04345</v>
      </c>
      <c r="G87">
        <v>0.88588</v>
      </c>
      <c r="H87">
        <v>0.76890000000000003</v>
      </c>
      <c r="I87">
        <v>0.35067999999999999</v>
      </c>
      <c r="J87">
        <v>6.4900000000000001E-3</v>
      </c>
    </row>
    <row r="88" spans="1:10" x14ac:dyDescent="0.25">
      <c r="A88">
        <v>2015</v>
      </c>
      <c r="B88" t="s">
        <v>100</v>
      </c>
      <c r="C88" t="s">
        <v>41</v>
      </c>
      <c r="D88">
        <v>87</v>
      </c>
      <c r="E88">
        <v>5.1230000000000002</v>
      </c>
      <c r="F88">
        <v>0.92052999999999996</v>
      </c>
      <c r="G88">
        <v>1.0096400000000001</v>
      </c>
      <c r="H88">
        <v>0.74836000000000003</v>
      </c>
      <c r="I88">
        <v>0.20107</v>
      </c>
      <c r="J88">
        <v>2.6169999999999999E-2</v>
      </c>
    </row>
    <row r="89" spans="1:10" x14ac:dyDescent="0.25">
      <c r="A89">
        <v>2015</v>
      </c>
      <c r="B89" t="s">
        <v>101</v>
      </c>
      <c r="C89" t="s">
        <v>5</v>
      </c>
      <c r="D89">
        <v>88</v>
      </c>
      <c r="E89">
        <v>5.1020000000000003</v>
      </c>
      <c r="F89">
        <v>1.15991</v>
      </c>
      <c r="G89">
        <v>1.1393500000000001</v>
      </c>
      <c r="H89">
        <v>0.87519000000000002</v>
      </c>
      <c r="I89">
        <v>0.51468999999999998</v>
      </c>
      <c r="J89">
        <v>1.078E-2</v>
      </c>
    </row>
    <row r="90" spans="1:10" x14ac:dyDescent="0.25">
      <c r="A90">
        <v>2015</v>
      </c>
      <c r="B90" t="s">
        <v>102</v>
      </c>
      <c r="C90" t="s">
        <v>41</v>
      </c>
      <c r="D90">
        <v>89</v>
      </c>
      <c r="E90">
        <v>5.0979999999999999</v>
      </c>
      <c r="F90">
        <v>1.1131200000000001</v>
      </c>
      <c r="G90">
        <v>1.09562</v>
      </c>
      <c r="H90">
        <v>0.72436999999999996</v>
      </c>
      <c r="I90">
        <v>0.29670999999999997</v>
      </c>
      <c r="J90">
        <v>6.3320000000000001E-2</v>
      </c>
    </row>
    <row r="91" spans="1:10" x14ac:dyDescent="0.25">
      <c r="A91">
        <v>2015</v>
      </c>
      <c r="B91" t="s">
        <v>103</v>
      </c>
      <c r="C91" t="s">
        <v>33</v>
      </c>
      <c r="D91">
        <v>90</v>
      </c>
      <c r="E91">
        <v>5.0730000000000004</v>
      </c>
      <c r="F91">
        <v>0.70531999999999995</v>
      </c>
      <c r="G91">
        <v>1.0351600000000001</v>
      </c>
      <c r="H91">
        <v>0.58113999999999999</v>
      </c>
      <c r="I91">
        <v>0.62544999999999995</v>
      </c>
      <c r="J91">
        <v>0.12279</v>
      </c>
    </row>
    <row r="92" spans="1:10" x14ac:dyDescent="0.25">
      <c r="A92">
        <v>2015</v>
      </c>
      <c r="B92" t="s">
        <v>104</v>
      </c>
      <c r="C92" t="s">
        <v>83</v>
      </c>
      <c r="D92">
        <v>91</v>
      </c>
      <c r="E92">
        <v>5.0570000000000004</v>
      </c>
      <c r="F92">
        <v>0.18847</v>
      </c>
      <c r="G92">
        <v>0.95152000000000003</v>
      </c>
      <c r="H92">
        <v>0.43873000000000001</v>
      </c>
      <c r="I92">
        <v>0.46582000000000001</v>
      </c>
      <c r="J92">
        <v>0.39928000000000002</v>
      </c>
    </row>
    <row r="93" spans="1:10" x14ac:dyDescent="0.25">
      <c r="A93">
        <v>2015</v>
      </c>
      <c r="B93" t="s">
        <v>105</v>
      </c>
      <c r="C93" t="s">
        <v>18</v>
      </c>
      <c r="D93">
        <v>92</v>
      </c>
      <c r="E93">
        <v>5.0129999999999999</v>
      </c>
      <c r="F93">
        <v>0.73479000000000005</v>
      </c>
      <c r="G93">
        <v>0.64095000000000002</v>
      </c>
      <c r="H93">
        <v>0.60953999999999997</v>
      </c>
      <c r="I93">
        <v>0.41691</v>
      </c>
      <c r="J93">
        <v>8.5459999999999994E-2</v>
      </c>
    </row>
    <row r="94" spans="1:10" x14ac:dyDescent="0.25">
      <c r="A94">
        <v>2015</v>
      </c>
      <c r="B94" t="s">
        <v>106</v>
      </c>
      <c r="C94" t="s">
        <v>41</v>
      </c>
      <c r="D94">
        <v>93</v>
      </c>
      <c r="E94">
        <v>5.0069999999999997</v>
      </c>
      <c r="F94">
        <v>0.91851000000000005</v>
      </c>
      <c r="G94">
        <v>1.0023200000000001</v>
      </c>
      <c r="H94">
        <v>0.73545000000000005</v>
      </c>
      <c r="I94">
        <v>0.33456999999999998</v>
      </c>
      <c r="J94">
        <v>5.3269999999999998E-2</v>
      </c>
    </row>
    <row r="95" spans="1:10" x14ac:dyDescent="0.25">
      <c r="A95">
        <v>2015</v>
      </c>
      <c r="B95" t="s">
        <v>107</v>
      </c>
      <c r="C95" t="s">
        <v>83</v>
      </c>
      <c r="D95">
        <v>94</v>
      </c>
      <c r="E95">
        <v>4.9710000000000001</v>
      </c>
      <c r="F95">
        <v>8.3080000000000001E-2</v>
      </c>
      <c r="G95">
        <v>1.02626</v>
      </c>
      <c r="H95">
        <v>9.1310000000000002E-2</v>
      </c>
      <c r="I95">
        <v>0.34037000000000001</v>
      </c>
      <c r="J95">
        <v>0.15603</v>
      </c>
    </row>
    <row r="96" spans="1:10" x14ac:dyDescent="0.25">
      <c r="A96">
        <v>2015</v>
      </c>
      <c r="B96" t="s">
        <v>108</v>
      </c>
      <c r="C96" t="s">
        <v>41</v>
      </c>
      <c r="D96">
        <v>95</v>
      </c>
      <c r="E96">
        <v>4.9589999999999996</v>
      </c>
      <c r="F96">
        <v>0.87866999999999995</v>
      </c>
      <c r="G96">
        <v>0.80434000000000005</v>
      </c>
      <c r="H96">
        <v>0.81325000000000003</v>
      </c>
      <c r="I96">
        <v>0.35732999999999998</v>
      </c>
      <c r="J96">
        <v>6.4130000000000006E-2</v>
      </c>
    </row>
    <row r="97" spans="1:10" x14ac:dyDescent="0.25">
      <c r="A97">
        <v>2015</v>
      </c>
      <c r="B97" t="s">
        <v>109</v>
      </c>
      <c r="C97" t="s">
        <v>41</v>
      </c>
      <c r="D97">
        <v>96</v>
      </c>
      <c r="E97">
        <v>4.9489999999999998</v>
      </c>
      <c r="F97">
        <v>0.83223000000000003</v>
      </c>
      <c r="G97">
        <v>0.91915999999999998</v>
      </c>
      <c r="H97">
        <v>0.79081000000000001</v>
      </c>
      <c r="I97">
        <v>9.2450000000000004E-2</v>
      </c>
      <c r="J97">
        <v>2.2699999999999999E-3</v>
      </c>
    </row>
    <row r="98" spans="1:10" x14ac:dyDescent="0.25">
      <c r="A98">
        <v>2015</v>
      </c>
      <c r="B98" t="s">
        <v>110</v>
      </c>
      <c r="C98" t="s">
        <v>83</v>
      </c>
      <c r="D98">
        <v>97</v>
      </c>
      <c r="E98">
        <v>4.8979999999999997</v>
      </c>
      <c r="F98">
        <v>0.37545000000000001</v>
      </c>
      <c r="G98">
        <v>1.0410299999999999</v>
      </c>
      <c r="H98">
        <v>7.6119999999999993E-2</v>
      </c>
      <c r="I98">
        <v>0.31767000000000001</v>
      </c>
      <c r="J98">
        <v>0.12504000000000001</v>
      </c>
    </row>
    <row r="99" spans="1:10" x14ac:dyDescent="0.25">
      <c r="A99">
        <v>2015</v>
      </c>
      <c r="B99" t="s">
        <v>111</v>
      </c>
      <c r="C99" t="s">
        <v>20</v>
      </c>
      <c r="D99">
        <v>98</v>
      </c>
      <c r="E99">
        <v>4.8849999999999998</v>
      </c>
      <c r="F99">
        <v>0.89537</v>
      </c>
      <c r="G99">
        <v>1.1720200000000001</v>
      </c>
      <c r="H99">
        <v>0.66825000000000001</v>
      </c>
      <c r="I99">
        <v>0.57672000000000001</v>
      </c>
      <c r="J99">
        <v>0.14233999999999999</v>
      </c>
    </row>
    <row r="100" spans="1:10" x14ac:dyDescent="0.25">
      <c r="A100">
        <v>2015</v>
      </c>
      <c r="B100" t="s">
        <v>112</v>
      </c>
      <c r="C100" t="s">
        <v>33</v>
      </c>
      <c r="D100">
        <v>99</v>
      </c>
      <c r="E100">
        <v>4.8760000000000003</v>
      </c>
      <c r="F100">
        <v>0.59065999999999996</v>
      </c>
      <c r="G100">
        <v>0.73802999999999996</v>
      </c>
      <c r="H100">
        <v>0.54908999999999997</v>
      </c>
      <c r="I100">
        <v>0.59591000000000005</v>
      </c>
      <c r="J100">
        <v>0.24249000000000001</v>
      </c>
    </row>
    <row r="101" spans="1:10" x14ac:dyDescent="0.25">
      <c r="A101">
        <v>2015</v>
      </c>
      <c r="B101" t="s">
        <v>113</v>
      </c>
      <c r="C101" t="s">
        <v>49</v>
      </c>
      <c r="D101">
        <v>100</v>
      </c>
      <c r="E101">
        <v>4.8739999999999997</v>
      </c>
      <c r="F101">
        <v>0.82818999999999998</v>
      </c>
      <c r="G101">
        <v>1.3006</v>
      </c>
      <c r="H101">
        <v>0.60267999999999999</v>
      </c>
      <c r="I101">
        <v>0.43625999999999998</v>
      </c>
      <c r="J101">
        <v>2.666E-2</v>
      </c>
    </row>
    <row r="102" spans="1:10" x14ac:dyDescent="0.25">
      <c r="A102">
        <v>2015</v>
      </c>
      <c r="B102" t="s">
        <v>114</v>
      </c>
      <c r="C102" t="s">
        <v>83</v>
      </c>
      <c r="D102">
        <v>101</v>
      </c>
      <c r="E102">
        <v>4.867</v>
      </c>
      <c r="F102">
        <v>0.71206000000000003</v>
      </c>
      <c r="G102">
        <v>1.07284</v>
      </c>
      <c r="H102">
        <v>7.5660000000000005E-2</v>
      </c>
      <c r="I102">
        <v>0.30658000000000002</v>
      </c>
      <c r="J102">
        <v>3.0599999999999999E-2</v>
      </c>
    </row>
    <row r="103" spans="1:10" x14ac:dyDescent="0.25">
      <c r="A103">
        <v>2015</v>
      </c>
      <c r="B103" t="s">
        <v>115</v>
      </c>
      <c r="C103" t="s">
        <v>5</v>
      </c>
      <c r="D103">
        <v>102</v>
      </c>
      <c r="E103">
        <v>4.8570000000000002</v>
      </c>
      <c r="F103">
        <v>1.1540600000000001</v>
      </c>
      <c r="G103">
        <v>0.92932999999999999</v>
      </c>
      <c r="H103">
        <v>0.88212999999999997</v>
      </c>
      <c r="I103">
        <v>7.6990000000000003E-2</v>
      </c>
      <c r="J103">
        <v>1.397E-2</v>
      </c>
    </row>
    <row r="104" spans="1:10" x14ac:dyDescent="0.25">
      <c r="A104">
        <v>2015</v>
      </c>
      <c r="B104" t="s">
        <v>116</v>
      </c>
      <c r="C104" t="s">
        <v>18</v>
      </c>
      <c r="D104">
        <v>103</v>
      </c>
      <c r="E104">
        <v>4.8390000000000004</v>
      </c>
      <c r="F104">
        <v>1.0256400000000001</v>
      </c>
      <c r="G104">
        <v>0.80001</v>
      </c>
      <c r="H104">
        <v>0.83947000000000005</v>
      </c>
      <c r="I104">
        <v>0.33916000000000002</v>
      </c>
      <c r="J104">
        <v>4.582E-2</v>
      </c>
    </row>
    <row r="105" spans="1:10" x14ac:dyDescent="0.25">
      <c r="A105">
        <v>2015</v>
      </c>
      <c r="B105" t="s">
        <v>117</v>
      </c>
      <c r="C105" t="s">
        <v>41</v>
      </c>
      <c r="D105">
        <v>104</v>
      </c>
      <c r="E105">
        <v>4.8</v>
      </c>
      <c r="F105">
        <v>1.12094</v>
      </c>
      <c r="G105">
        <v>1.2021500000000001</v>
      </c>
      <c r="H105">
        <v>0.75905</v>
      </c>
      <c r="I105">
        <v>0.32112000000000002</v>
      </c>
      <c r="J105">
        <v>2.758E-2</v>
      </c>
    </row>
    <row r="106" spans="1:10" x14ac:dyDescent="0.25">
      <c r="A106">
        <v>2015</v>
      </c>
      <c r="B106" t="s">
        <v>118</v>
      </c>
      <c r="C106" t="s">
        <v>20</v>
      </c>
      <c r="D106">
        <v>105</v>
      </c>
      <c r="E106">
        <v>4.7880000000000003</v>
      </c>
      <c r="F106">
        <v>0.59531999999999996</v>
      </c>
      <c r="G106">
        <v>0.95347999999999999</v>
      </c>
      <c r="H106">
        <v>0.69510000000000005</v>
      </c>
      <c r="I106">
        <v>0.40148</v>
      </c>
      <c r="J106">
        <v>6.8250000000000005E-2</v>
      </c>
    </row>
    <row r="107" spans="1:10" x14ac:dyDescent="0.25">
      <c r="A107">
        <v>2015</v>
      </c>
      <c r="B107" t="s">
        <v>119</v>
      </c>
      <c r="C107" t="s">
        <v>41</v>
      </c>
      <c r="D107">
        <v>106</v>
      </c>
      <c r="E107">
        <v>4.7859999999999996</v>
      </c>
      <c r="F107">
        <v>0.39046999999999998</v>
      </c>
      <c r="G107">
        <v>0.85563</v>
      </c>
      <c r="H107">
        <v>0.57379000000000002</v>
      </c>
      <c r="I107">
        <v>0.47216000000000002</v>
      </c>
      <c r="J107">
        <v>0.15071999999999999</v>
      </c>
    </row>
    <row r="108" spans="1:10" x14ac:dyDescent="0.25">
      <c r="A108">
        <v>2015</v>
      </c>
      <c r="B108" t="s">
        <v>120</v>
      </c>
      <c r="C108" t="s">
        <v>18</v>
      </c>
      <c r="D108">
        <v>107</v>
      </c>
      <c r="E108">
        <v>4.7389999999999999</v>
      </c>
      <c r="F108">
        <v>0.88112999999999997</v>
      </c>
      <c r="G108">
        <v>0.60428999999999999</v>
      </c>
      <c r="H108">
        <v>0.73792999999999997</v>
      </c>
      <c r="I108">
        <v>0.26268000000000002</v>
      </c>
      <c r="J108">
        <v>6.3579999999999998E-2</v>
      </c>
    </row>
    <row r="109" spans="1:10" x14ac:dyDescent="0.25">
      <c r="A109">
        <v>2015</v>
      </c>
      <c r="B109" t="s">
        <v>121</v>
      </c>
      <c r="C109" t="s">
        <v>18</v>
      </c>
      <c r="D109">
        <v>108</v>
      </c>
      <c r="E109">
        <v>4.7149999999999999</v>
      </c>
      <c r="F109">
        <v>0.59867000000000004</v>
      </c>
      <c r="G109">
        <v>0.92557999999999996</v>
      </c>
      <c r="H109">
        <v>0.66015000000000001</v>
      </c>
      <c r="I109">
        <v>0.24499000000000001</v>
      </c>
      <c r="J109">
        <v>0.12905</v>
      </c>
    </row>
    <row r="110" spans="1:10" x14ac:dyDescent="0.25">
      <c r="A110">
        <v>2015</v>
      </c>
      <c r="B110" t="s">
        <v>122</v>
      </c>
      <c r="C110" t="s">
        <v>92</v>
      </c>
      <c r="D110">
        <v>109</v>
      </c>
      <c r="E110">
        <v>4.694</v>
      </c>
      <c r="F110">
        <v>0.39752999999999999</v>
      </c>
      <c r="G110">
        <v>0.43106</v>
      </c>
      <c r="H110">
        <v>0.60163999999999995</v>
      </c>
      <c r="I110">
        <v>0.40820000000000001</v>
      </c>
      <c r="J110">
        <v>0.12569</v>
      </c>
    </row>
    <row r="111" spans="1:10" x14ac:dyDescent="0.25">
      <c r="A111">
        <v>2015</v>
      </c>
      <c r="B111" t="s">
        <v>123</v>
      </c>
      <c r="C111" t="s">
        <v>18</v>
      </c>
      <c r="D111">
        <v>110</v>
      </c>
      <c r="E111">
        <v>4.6859999999999999</v>
      </c>
      <c r="F111">
        <v>1.0087999999999999</v>
      </c>
      <c r="G111">
        <v>0.54447000000000001</v>
      </c>
      <c r="H111">
        <v>0.69804999999999995</v>
      </c>
      <c r="I111">
        <v>0.30032999999999999</v>
      </c>
      <c r="J111">
        <v>5.8630000000000002E-2</v>
      </c>
    </row>
    <row r="112" spans="1:10" x14ac:dyDescent="0.25">
      <c r="A112">
        <v>2015</v>
      </c>
      <c r="B112" t="s">
        <v>124</v>
      </c>
      <c r="C112" t="s">
        <v>41</v>
      </c>
      <c r="D112">
        <v>111</v>
      </c>
      <c r="E112">
        <v>4.681</v>
      </c>
      <c r="F112">
        <v>0.79906999999999995</v>
      </c>
      <c r="G112">
        <v>1.20278</v>
      </c>
      <c r="H112">
        <v>0.67390000000000005</v>
      </c>
      <c r="I112">
        <v>0.25123000000000001</v>
      </c>
      <c r="J112">
        <v>2.9610000000000001E-2</v>
      </c>
    </row>
    <row r="113" spans="1:10" x14ac:dyDescent="0.25">
      <c r="A113">
        <v>2015</v>
      </c>
      <c r="B113" t="s">
        <v>125</v>
      </c>
      <c r="C113" t="s">
        <v>18</v>
      </c>
      <c r="D113">
        <v>112</v>
      </c>
      <c r="E113">
        <v>4.6769999999999996</v>
      </c>
      <c r="F113">
        <v>0.98548999999999998</v>
      </c>
      <c r="G113">
        <v>0.81889000000000001</v>
      </c>
      <c r="H113">
        <v>0.60236999999999996</v>
      </c>
      <c r="I113">
        <v>0</v>
      </c>
      <c r="J113">
        <v>0.13788</v>
      </c>
    </row>
    <row r="114" spans="1:10" x14ac:dyDescent="0.25">
      <c r="A114">
        <v>2015</v>
      </c>
      <c r="B114" t="s">
        <v>126</v>
      </c>
      <c r="C114" t="s">
        <v>83</v>
      </c>
      <c r="D114">
        <v>113</v>
      </c>
      <c r="E114">
        <v>4.6420000000000003</v>
      </c>
      <c r="F114">
        <v>0.92049000000000003</v>
      </c>
      <c r="G114">
        <v>1.18468</v>
      </c>
      <c r="H114">
        <v>0.27688000000000001</v>
      </c>
      <c r="I114">
        <v>0.33206999999999998</v>
      </c>
      <c r="J114">
        <v>8.8840000000000002E-2</v>
      </c>
    </row>
    <row r="115" spans="1:10" x14ac:dyDescent="0.25">
      <c r="A115">
        <v>2015</v>
      </c>
      <c r="B115" t="s">
        <v>127</v>
      </c>
      <c r="C115" t="s">
        <v>83</v>
      </c>
      <c r="D115">
        <v>114</v>
      </c>
      <c r="E115">
        <v>4.633</v>
      </c>
      <c r="F115">
        <v>0.54557999999999995</v>
      </c>
      <c r="G115">
        <v>0.67954000000000003</v>
      </c>
      <c r="H115">
        <v>0.40132000000000001</v>
      </c>
      <c r="I115">
        <v>0.42342000000000002</v>
      </c>
      <c r="J115">
        <v>4.3549999999999998E-2</v>
      </c>
    </row>
    <row r="116" spans="1:10" x14ac:dyDescent="0.25">
      <c r="A116">
        <v>2015</v>
      </c>
      <c r="B116" t="s">
        <v>128</v>
      </c>
      <c r="C116" t="s">
        <v>83</v>
      </c>
      <c r="D116">
        <v>115</v>
      </c>
      <c r="E116">
        <v>4.6100000000000003</v>
      </c>
      <c r="F116">
        <v>0.27100000000000002</v>
      </c>
      <c r="G116">
        <v>1.0327599999999999</v>
      </c>
      <c r="H116">
        <v>0.33474999999999999</v>
      </c>
      <c r="I116">
        <v>0.25861000000000001</v>
      </c>
      <c r="J116">
        <v>8.0790000000000001E-2</v>
      </c>
    </row>
    <row r="117" spans="1:10" x14ac:dyDescent="0.25">
      <c r="A117">
        <v>2015</v>
      </c>
      <c r="B117" t="s">
        <v>129</v>
      </c>
      <c r="C117" t="s">
        <v>83</v>
      </c>
      <c r="D117">
        <v>116</v>
      </c>
      <c r="E117">
        <v>4.5709999999999997</v>
      </c>
      <c r="F117">
        <v>7.1199999999999999E-2</v>
      </c>
      <c r="G117">
        <v>0.78968000000000005</v>
      </c>
      <c r="H117">
        <v>0.34200999999999998</v>
      </c>
      <c r="I117">
        <v>0.28531000000000001</v>
      </c>
      <c r="J117">
        <v>6.232E-2</v>
      </c>
    </row>
    <row r="118" spans="1:10" x14ac:dyDescent="0.25">
      <c r="A118">
        <v>2015</v>
      </c>
      <c r="B118" t="s">
        <v>130</v>
      </c>
      <c r="C118" t="s">
        <v>92</v>
      </c>
      <c r="D118">
        <v>117</v>
      </c>
      <c r="E118">
        <v>4.5650000000000004</v>
      </c>
      <c r="F118">
        <v>0.64498999999999995</v>
      </c>
      <c r="G118">
        <v>0.38174000000000002</v>
      </c>
      <c r="H118">
        <v>0.51529000000000003</v>
      </c>
      <c r="I118">
        <v>0.39785999999999999</v>
      </c>
      <c r="J118">
        <v>8.4919999999999995E-2</v>
      </c>
    </row>
    <row r="119" spans="1:10" x14ac:dyDescent="0.25">
      <c r="A119">
        <v>2015</v>
      </c>
      <c r="B119" t="s">
        <v>131</v>
      </c>
      <c r="C119" t="s">
        <v>83</v>
      </c>
      <c r="D119">
        <v>118</v>
      </c>
      <c r="E119">
        <v>4.55</v>
      </c>
      <c r="F119">
        <v>0.52107000000000003</v>
      </c>
      <c r="G119">
        <v>1.0140400000000001</v>
      </c>
      <c r="H119">
        <v>0.36878</v>
      </c>
      <c r="I119">
        <v>0.10081</v>
      </c>
      <c r="J119">
        <v>0.14660000000000001</v>
      </c>
    </row>
    <row r="120" spans="1:10" x14ac:dyDescent="0.25">
      <c r="A120">
        <v>2015</v>
      </c>
      <c r="B120" t="s">
        <v>132</v>
      </c>
      <c r="C120" t="s">
        <v>20</v>
      </c>
      <c r="D120">
        <v>119</v>
      </c>
      <c r="E120">
        <v>4.5179999999999998</v>
      </c>
      <c r="F120">
        <v>0.26673000000000002</v>
      </c>
      <c r="G120">
        <v>0.74302000000000001</v>
      </c>
      <c r="H120">
        <v>0.38846999999999998</v>
      </c>
      <c r="I120">
        <v>0.24424999999999999</v>
      </c>
      <c r="J120">
        <v>0.17175000000000001</v>
      </c>
    </row>
    <row r="121" spans="1:10" x14ac:dyDescent="0.25">
      <c r="A121">
        <v>2015</v>
      </c>
      <c r="B121" t="s">
        <v>133</v>
      </c>
      <c r="C121" t="s">
        <v>83</v>
      </c>
      <c r="D121">
        <v>120</v>
      </c>
      <c r="E121">
        <v>4.5170000000000003</v>
      </c>
      <c r="F121">
        <v>0</v>
      </c>
      <c r="G121">
        <v>1.0012000000000001</v>
      </c>
      <c r="H121">
        <v>9.8059999999999994E-2</v>
      </c>
      <c r="I121">
        <v>0.22605</v>
      </c>
      <c r="J121">
        <v>7.6249999999999998E-2</v>
      </c>
    </row>
    <row r="122" spans="1:10" x14ac:dyDescent="0.25">
      <c r="A122">
        <v>2015</v>
      </c>
      <c r="B122" t="s">
        <v>134</v>
      </c>
      <c r="C122" t="s">
        <v>92</v>
      </c>
      <c r="D122">
        <v>121</v>
      </c>
      <c r="E122">
        <v>4.5140000000000002</v>
      </c>
      <c r="F122">
        <v>0.35997000000000001</v>
      </c>
      <c r="G122">
        <v>0.86448999999999998</v>
      </c>
      <c r="H122">
        <v>0.56874000000000002</v>
      </c>
      <c r="I122">
        <v>0.38281999999999999</v>
      </c>
      <c r="J122">
        <v>5.9069999999999998E-2</v>
      </c>
    </row>
    <row r="123" spans="1:10" x14ac:dyDescent="0.25">
      <c r="A123">
        <v>2015</v>
      </c>
      <c r="B123" t="s">
        <v>135</v>
      </c>
      <c r="C123" t="s">
        <v>83</v>
      </c>
      <c r="D123">
        <v>122</v>
      </c>
      <c r="E123">
        <v>4.5119999999999996</v>
      </c>
      <c r="F123">
        <v>0.19073000000000001</v>
      </c>
      <c r="G123">
        <v>0.60406000000000004</v>
      </c>
      <c r="H123">
        <v>0.44055</v>
      </c>
      <c r="I123">
        <v>0.4345</v>
      </c>
      <c r="J123">
        <v>0.15048</v>
      </c>
    </row>
    <row r="124" spans="1:10" x14ac:dyDescent="0.25">
      <c r="A124">
        <v>2015</v>
      </c>
      <c r="B124" t="s">
        <v>136</v>
      </c>
      <c r="C124" t="s">
        <v>83</v>
      </c>
      <c r="D124">
        <v>123</v>
      </c>
      <c r="E124">
        <v>4.5069999999999997</v>
      </c>
      <c r="F124">
        <v>0.33023999999999998</v>
      </c>
      <c r="G124">
        <v>0.95570999999999995</v>
      </c>
      <c r="H124">
        <v>0</v>
      </c>
      <c r="I124">
        <v>0.40839999999999999</v>
      </c>
      <c r="J124">
        <v>8.7859999999999994E-2</v>
      </c>
    </row>
    <row r="125" spans="1:10" x14ac:dyDescent="0.25">
      <c r="A125">
        <v>2015</v>
      </c>
      <c r="B125" t="s">
        <v>137</v>
      </c>
      <c r="C125" t="s">
        <v>83</v>
      </c>
      <c r="D125">
        <v>124</v>
      </c>
      <c r="E125">
        <v>4.4359999999999999</v>
      </c>
      <c r="F125">
        <v>0.45406999999999997</v>
      </c>
      <c r="G125">
        <v>0.86907999999999996</v>
      </c>
      <c r="H125">
        <v>0.35874</v>
      </c>
      <c r="I125">
        <v>0.24232000000000001</v>
      </c>
      <c r="J125">
        <v>0.17460999999999999</v>
      </c>
    </row>
    <row r="126" spans="1:10" x14ac:dyDescent="0.25">
      <c r="A126">
        <v>2015</v>
      </c>
      <c r="B126" t="s">
        <v>138</v>
      </c>
      <c r="C126" t="s">
        <v>83</v>
      </c>
      <c r="D126">
        <v>125</v>
      </c>
      <c r="E126">
        <v>4.4189999999999996</v>
      </c>
      <c r="F126">
        <v>0.36470999999999998</v>
      </c>
      <c r="G126">
        <v>0.99875999999999998</v>
      </c>
      <c r="H126">
        <v>0.41435</v>
      </c>
      <c r="I126">
        <v>0.42215000000000003</v>
      </c>
      <c r="J126">
        <v>5.8389999999999997E-2</v>
      </c>
    </row>
    <row r="127" spans="1:10" x14ac:dyDescent="0.25">
      <c r="A127">
        <v>2015</v>
      </c>
      <c r="B127" t="s">
        <v>139</v>
      </c>
      <c r="C127" t="s">
        <v>83</v>
      </c>
      <c r="D127">
        <v>126</v>
      </c>
      <c r="E127">
        <v>4.3689999999999998</v>
      </c>
      <c r="F127">
        <v>0.44024999999999997</v>
      </c>
      <c r="G127">
        <v>0.59206999999999999</v>
      </c>
      <c r="H127">
        <v>0.36291000000000001</v>
      </c>
      <c r="I127">
        <v>0.46073999999999998</v>
      </c>
      <c r="J127">
        <v>0.28105000000000002</v>
      </c>
    </row>
    <row r="128" spans="1:10" x14ac:dyDescent="0.25">
      <c r="A128">
        <v>2015</v>
      </c>
      <c r="B128" t="s">
        <v>140</v>
      </c>
      <c r="C128" t="s">
        <v>41</v>
      </c>
      <c r="D128">
        <v>127</v>
      </c>
      <c r="E128">
        <v>4.3499999999999996</v>
      </c>
      <c r="F128">
        <v>0.76820999999999995</v>
      </c>
      <c r="G128">
        <v>0.77710999999999997</v>
      </c>
      <c r="H128">
        <v>0.72989999999999999</v>
      </c>
      <c r="I128">
        <v>0.19847000000000001</v>
      </c>
      <c r="J128">
        <v>3.9E-2</v>
      </c>
    </row>
    <row r="129" spans="1:10" x14ac:dyDescent="0.25">
      <c r="A129">
        <v>2015</v>
      </c>
      <c r="B129" t="s">
        <v>141</v>
      </c>
      <c r="C129" t="s">
        <v>83</v>
      </c>
      <c r="D129">
        <v>128</v>
      </c>
      <c r="E129">
        <v>4.3319999999999999</v>
      </c>
      <c r="F129">
        <v>0.99355000000000004</v>
      </c>
      <c r="G129">
        <v>1.1046400000000001</v>
      </c>
      <c r="H129">
        <v>4.7759999999999997E-2</v>
      </c>
      <c r="I129">
        <v>0.49495</v>
      </c>
      <c r="J129">
        <v>0.12474</v>
      </c>
    </row>
    <row r="130" spans="1:10" x14ac:dyDescent="0.25">
      <c r="A130">
        <v>2015</v>
      </c>
      <c r="B130" t="s">
        <v>142</v>
      </c>
      <c r="C130" t="s">
        <v>33</v>
      </c>
      <c r="D130">
        <v>129</v>
      </c>
      <c r="E130">
        <v>4.3070000000000004</v>
      </c>
      <c r="F130">
        <v>0.27107999999999999</v>
      </c>
      <c r="G130">
        <v>0.70904999999999996</v>
      </c>
      <c r="H130">
        <v>0.48246</v>
      </c>
      <c r="I130">
        <v>0.44017000000000001</v>
      </c>
      <c r="J130">
        <v>0.19034000000000001</v>
      </c>
    </row>
    <row r="131" spans="1:10" x14ac:dyDescent="0.25">
      <c r="A131">
        <v>2015</v>
      </c>
      <c r="B131" t="s">
        <v>143</v>
      </c>
      <c r="C131" t="s">
        <v>41</v>
      </c>
      <c r="D131">
        <v>130</v>
      </c>
      <c r="E131">
        <v>4.2969999999999997</v>
      </c>
      <c r="F131">
        <v>0.7419</v>
      </c>
      <c r="G131">
        <v>0.38562000000000002</v>
      </c>
      <c r="H131">
        <v>0.72926000000000002</v>
      </c>
      <c r="I131">
        <v>0.40577000000000002</v>
      </c>
      <c r="J131">
        <v>0.38330999999999998</v>
      </c>
    </row>
    <row r="132" spans="1:10" x14ac:dyDescent="0.25">
      <c r="A132">
        <v>2015</v>
      </c>
      <c r="B132" t="s">
        <v>144</v>
      </c>
      <c r="C132" t="s">
        <v>83</v>
      </c>
      <c r="D132">
        <v>131</v>
      </c>
      <c r="E132">
        <v>4.2919999999999998</v>
      </c>
      <c r="F132">
        <v>1.6039999999999999E-2</v>
      </c>
      <c r="G132">
        <v>0.41133999999999998</v>
      </c>
      <c r="H132">
        <v>0.22561999999999999</v>
      </c>
      <c r="I132">
        <v>0.43053999999999998</v>
      </c>
      <c r="J132">
        <v>6.9769999999999999E-2</v>
      </c>
    </row>
    <row r="133" spans="1:10" x14ac:dyDescent="0.25">
      <c r="A133">
        <v>2015</v>
      </c>
      <c r="B133" t="s">
        <v>145</v>
      </c>
      <c r="C133" t="s">
        <v>92</v>
      </c>
      <c r="D133">
        <v>132</v>
      </c>
      <c r="E133">
        <v>4.2709999999999999</v>
      </c>
      <c r="F133">
        <v>0.83523999999999998</v>
      </c>
      <c r="G133">
        <v>1.01905</v>
      </c>
      <c r="H133">
        <v>0.70806000000000002</v>
      </c>
      <c r="I133">
        <v>0.53725999999999996</v>
      </c>
      <c r="J133">
        <v>9.1789999999999997E-2</v>
      </c>
    </row>
    <row r="134" spans="1:10" x14ac:dyDescent="0.25">
      <c r="A134">
        <v>2015</v>
      </c>
      <c r="B134" t="s">
        <v>146</v>
      </c>
      <c r="C134" t="s">
        <v>83</v>
      </c>
      <c r="D134">
        <v>133</v>
      </c>
      <c r="E134">
        <v>4.2519999999999998</v>
      </c>
      <c r="F134">
        <v>0.42249999999999999</v>
      </c>
      <c r="G134">
        <v>0.88766999999999996</v>
      </c>
      <c r="H134">
        <v>0.23402000000000001</v>
      </c>
      <c r="I134">
        <v>0.49308999999999997</v>
      </c>
      <c r="J134">
        <v>5.7860000000000002E-2</v>
      </c>
    </row>
    <row r="135" spans="1:10" x14ac:dyDescent="0.25">
      <c r="A135">
        <v>2015</v>
      </c>
      <c r="B135" t="s">
        <v>147</v>
      </c>
      <c r="C135" t="s">
        <v>41</v>
      </c>
      <c r="D135">
        <v>134</v>
      </c>
      <c r="E135">
        <v>4.218</v>
      </c>
      <c r="F135">
        <v>1.0121599999999999</v>
      </c>
      <c r="G135">
        <v>1.1061399999999999</v>
      </c>
      <c r="H135">
        <v>0.76649</v>
      </c>
      <c r="I135">
        <v>0.30586999999999998</v>
      </c>
      <c r="J135">
        <v>8.7200000000000003E-3</v>
      </c>
    </row>
    <row r="136" spans="1:10" x14ac:dyDescent="0.25">
      <c r="A136">
        <v>2015</v>
      </c>
      <c r="B136" t="s">
        <v>148</v>
      </c>
      <c r="C136" t="s">
        <v>18</v>
      </c>
      <c r="D136">
        <v>135</v>
      </c>
      <c r="E136">
        <v>4.194</v>
      </c>
      <c r="F136">
        <v>0.88180000000000003</v>
      </c>
      <c r="G136">
        <v>0.747</v>
      </c>
      <c r="H136">
        <v>0.61712</v>
      </c>
      <c r="I136">
        <v>0.17288000000000001</v>
      </c>
      <c r="J136">
        <v>6.3240000000000005E-2</v>
      </c>
    </row>
    <row r="137" spans="1:10" x14ac:dyDescent="0.25">
      <c r="A137">
        <v>2015</v>
      </c>
      <c r="B137" t="s">
        <v>149</v>
      </c>
      <c r="C137" t="s">
        <v>18</v>
      </c>
      <c r="D137">
        <v>136</v>
      </c>
      <c r="E137">
        <v>4.077</v>
      </c>
      <c r="F137">
        <v>0.54649000000000003</v>
      </c>
      <c r="G137">
        <v>0.68093000000000004</v>
      </c>
      <c r="H137">
        <v>0.40064</v>
      </c>
      <c r="I137">
        <v>0.35571000000000003</v>
      </c>
      <c r="J137">
        <v>7.8539999999999999E-2</v>
      </c>
    </row>
    <row r="138" spans="1:10" x14ac:dyDescent="0.25">
      <c r="A138">
        <v>2015</v>
      </c>
      <c r="B138" t="s">
        <v>150</v>
      </c>
      <c r="C138" t="s">
        <v>83</v>
      </c>
      <c r="D138">
        <v>137</v>
      </c>
      <c r="E138">
        <v>4.0330000000000004</v>
      </c>
      <c r="F138">
        <v>0.75778000000000001</v>
      </c>
      <c r="G138">
        <v>0.86040000000000005</v>
      </c>
      <c r="H138">
        <v>0.16683000000000001</v>
      </c>
      <c r="I138">
        <v>0.10384</v>
      </c>
      <c r="J138">
        <v>7.1220000000000006E-2</v>
      </c>
    </row>
    <row r="139" spans="1:10" x14ac:dyDescent="0.25">
      <c r="A139">
        <v>2015</v>
      </c>
      <c r="B139" t="s">
        <v>151</v>
      </c>
      <c r="C139" t="s">
        <v>83</v>
      </c>
      <c r="D139">
        <v>138</v>
      </c>
      <c r="E139">
        <v>3.9950000000000001</v>
      </c>
      <c r="F139">
        <v>0.26074000000000003</v>
      </c>
      <c r="G139">
        <v>1.0352600000000001</v>
      </c>
      <c r="H139">
        <v>0.20583000000000001</v>
      </c>
      <c r="I139">
        <v>0.38857000000000003</v>
      </c>
      <c r="J139">
        <v>0.12352</v>
      </c>
    </row>
    <row r="140" spans="1:10" x14ac:dyDescent="0.25">
      <c r="A140">
        <v>2015</v>
      </c>
      <c r="B140" t="s">
        <v>152</v>
      </c>
      <c r="C140" t="s">
        <v>83</v>
      </c>
      <c r="D140">
        <v>139</v>
      </c>
      <c r="E140">
        <v>3.9889999999999999</v>
      </c>
      <c r="F140">
        <v>0.67866000000000004</v>
      </c>
      <c r="G140">
        <v>0.66290000000000004</v>
      </c>
      <c r="H140">
        <v>0.31051000000000001</v>
      </c>
      <c r="I140">
        <v>0.41465999999999997</v>
      </c>
      <c r="J140">
        <v>0.11686000000000001</v>
      </c>
    </row>
    <row r="141" spans="1:10" x14ac:dyDescent="0.25">
      <c r="A141">
        <v>2015</v>
      </c>
      <c r="B141" t="s">
        <v>153</v>
      </c>
      <c r="C141" t="s">
        <v>83</v>
      </c>
      <c r="D141">
        <v>140</v>
      </c>
      <c r="E141">
        <v>3.956</v>
      </c>
      <c r="F141">
        <v>0.23905999999999999</v>
      </c>
      <c r="G141">
        <v>0.79273000000000005</v>
      </c>
      <c r="H141">
        <v>0.36314999999999997</v>
      </c>
      <c r="I141">
        <v>0.22917000000000001</v>
      </c>
      <c r="J141">
        <v>0.19900000000000001</v>
      </c>
    </row>
    <row r="142" spans="1:10" x14ac:dyDescent="0.25">
      <c r="A142">
        <v>2015</v>
      </c>
      <c r="B142" t="s">
        <v>154</v>
      </c>
      <c r="C142" t="s">
        <v>83</v>
      </c>
      <c r="D142">
        <v>141</v>
      </c>
      <c r="E142">
        <v>3.931</v>
      </c>
      <c r="F142">
        <v>0.21102000000000001</v>
      </c>
      <c r="G142">
        <v>1.1329899999999999</v>
      </c>
      <c r="H142">
        <v>0.33861000000000002</v>
      </c>
      <c r="I142">
        <v>0.45727000000000001</v>
      </c>
      <c r="J142">
        <v>7.2669999999999998E-2</v>
      </c>
    </row>
    <row r="143" spans="1:10" x14ac:dyDescent="0.25">
      <c r="A143">
        <v>2015</v>
      </c>
      <c r="B143" t="s">
        <v>155</v>
      </c>
      <c r="C143" t="s">
        <v>83</v>
      </c>
      <c r="D143">
        <v>142</v>
      </c>
      <c r="E143">
        <v>3.9039999999999999</v>
      </c>
      <c r="F143">
        <v>0.36498000000000003</v>
      </c>
      <c r="G143">
        <v>0.97619</v>
      </c>
      <c r="H143">
        <v>0.43540000000000001</v>
      </c>
      <c r="I143">
        <v>0.36771999999999999</v>
      </c>
      <c r="J143">
        <v>0.10713</v>
      </c>
    </row>
    <row r="144" spans="1:10" x14ac:dyDescent="0.25">
      <c r="A144">
        <v>2015</v>
      </c>
      <c r="B144" t="s">
        <v>156</v>
      </c>
      <c r="C144" t="s">
        <v>83</v>
      </c>
      <c r="D144">
        <v>143</v>
      </c>
      <c r="E144">
        <v>3.8959999999999999</v>
      </c>
      <c r="F144">
        <v>1.0602400000000001</v>
      </c>
      <c r="G144">
        <v>0.90527999999999997</v>
      </c>
      <c r="H144">
        <v>0.43371999999999999</v>
      </c>
      <c r="I144">
        <v>0.31913999999999998</v>
      </c>
      <c r="J144">
        <v>0.11090999999999999</v>
      </c>
    </row>
    <row r="145" spans="1:10" x14ac:dyDescent="0.25">
      <c r="A145">
        <v>2015</v>
      </c>
      <c r="B145" t="s">
        <v>157</v>
      </c>
      <c r="C145" t="s">
        <v>83</v>
      </c>
      <c r="D145">
        <v>144</v>
      </c>
      <c r="E145">
        <v>3.8450000000000002</v>
      </c>
      <c r="F145">
        <v>6.9400000000000003E-2</v>
      </c>
      <c r="G145">
        <v>0.77264999999999995</v>
      </c>
      <c r="H145">
        <v>0.29707</v>
      </c>
      <c r="I145">
        <v>0.47692000000000001</v>
      </c>
      <c r="J145">
        <v>0.15639</v>
      </c>
    </row>
    <row r="146" spans="1:10" x14ac:dyDescent="0.25">
      <c r="A146">
        <v>2015</v>
      </c>
      <c r="B146" t="s">
        <v>158</v>
      </c>
      <c r="C146" t="s">
        <v>33</v>
      </c>
      <c r="D146">
        <v>145</v>
      </c>
      <c r="E146">
        <v>3.819</v>
      </c>
      <c r="F146">
        <v>0.46038000000000001</v>
      </c>
      <c r="G146">
        <v>0.62736000000000003</v>
      </c>
      <c r="H146">
        <v>0.61114000000000002</v>
      </c>
      <c r="I146">
        <v>0.66246000000000005</v>
      </c>
      <c r="J146">
        <v>7.2470000000000007E-2</v>
      </c>
    </row>
    <row r="147" spans="1:10" x14ac:dyDescent="0.25">
      <c r="A147">
        <v>2015</v>
      </c>
      <c r="B147" t="s">
        <v>159</v>
      </c>
      <c r="C147" t="s">
        <v>83</v>
      </c>
      <c r="D147">
        <v>146</v>
      </c>
      <c r="E147">
        <v>3.7810000000000001</v>
      </c>
      <c r="F147">
        <v>0.28520000000000001</v>
      </c>
      <c r="G147">
        <v>1.00268</v>
      </c>
      <c r="H147">
        <v>0.38214999999999999</v>
      </c>
      <c r="I147">
        <v>0.32878000000000002</v>
      </c>
      <c r="J147">
        <v>5.747E-2</v>
      </c>
    </row>
    <row r="148" spans="1:10" x14ac:dyDescent="0.25">
      <c r="A148">
        <v>2015</v>
      </c>
      <c r="B148" t="s">
        <v>160</v>
      </c>
      <c r="C148" t="s">
        <v>83</v>
      </c>
      <c r="D148">
        <v>147</v>
      </c>
      <c r="E148">
        <v>3.681</v>
      </c>
      <c r="F148">
        <v>0.20824000000000001</v>
      </c>
      <c r="G148">
        <v>0.66800999999999999</v>
      </c>
      <c r="H148">
        <v>0.46721000000000001</v>
      </c>
      <c r="I148">
        <v>0.19184000000000001</v>
      </c>
      <c r="J148">
        <v>8.1240000000000007E-2</v>
      </c>
    </row>
    <row r="149" spans="1:10" x14ac:dyDescent="0.25">
      <c r="A149">
        <v>2015</v>
      </c>
      <c r="B149" t="s">
        <v>161</v>
      </c>
      <c r="C149" t="s">
        <v>83</v>
      </c>
      <c r="D149">
        <v>148</v>
      </c>
      <c r="E149">
        <v>3.6779999999999999</v>
      </c>
      <c r="F149">
        <v>7.85E-2</v>
      </c>
      <c r="G149">
        <v>0</v>
      </c>
      <c r="H149">
        <v>6.6989999999999994E-2</v>
      </c>
      <c r="I149">
        <v>0.48879</v>
      </c>
      <c r="J149">
        <v>8.2890000000000005E-2</v>
      </c>
    </row>
    <row r="150" spans="1:10" x14ac:dyDescent="0.25">
      <c r="A150">
        <v>2015</v>
      </c>
      <c r="B150" t="s">
        <v>162</v>
      </c>
      <c r="C150" t="s">
        <v>83</v>
      </c>
      <c r="D150">
        <v>149</v>
      </c>
      <c r="E150">
        <v>3.6669999999999998</v>
      </c>
      <c r="F150">
        <v>0.34193000000000001</v>
      </c>
      <c r="G150">
        <v>0.76061999999999996</v>
      </c>
      <c r="H150">
        <v>0.15010000000000001</v>
      </c>
      <c r="I150">
        <v>0.23501</v>
      </c>
      <c r="J150">
        <v>5.2690000000000001E-2</v>
      </c>
    </row>
    <row r="151" spans="1:10" x14ac:dyDescent="0.25">
      <c r="A151">
        <v>2015</v>
      </c>
      <c r="B151" t="s">
        <v>163</v>
      </c>
      <c r="C151" t="s">
        <v>83</v>
      </c>
      <c r="D151">
        <v>150</v>
      </c>
      <c r="E151">
        <v>3.6560000000000001</v>
      </c>
      <c r="F151">
        <v>0.17416999999999999</v>
      </c>
      <c r="G151">
        <v>0.46475</v>
      </c>
      <c r="H151">
        <v>0.24009</v>
      </c>
      <c r="I151">
        <v>0.37724999999999997</v>
      </c>
      <c r="J151">
        <v>0.12139</v>
      </c>
    </row>
    <row r="152" spans="1:10" x14ac:dyDescent="0.25">
      <c r="A152">
        <v>2015</v>
      </c>
      <c r="B152" t="s">
        <v>164</v>
      </c>
      <c r="C152" t="s">
        <v>83</v>
      </c>
      <c r="D152">
        <v>151</v>
      </c>
      <c r="E152">
        <v>3.6549999999999998</v>
      </c>
      <c r="F152">
        <v>0.46533999999999998</v>
      </c>
      <c r="G152">
        <v>0.77115</v>
      </c>
      <c r="H152">
        <v>0.15185000000000001</v>
      </c>
      <c r="I152">
        <v>0.46866000000000002</v>
      </c>
      <c r="J152">
        <v>0.17921999999999999</v>
      </c>
    </row>
    <row r="153" spans="1:10" x14ac:dyDescent="0.25">
      <c r="A153">
        <v>2015</v>
      </c>
      <c r="B153" t="s">
        <v>165</v>
      </c>
      <c r="C153" t="s">
        <v>83</v>
      </c>
      <c r="D153">
        <v>152</v>
      </c>
      <c r="E153">
        <v>3.5870000000000002</v>
      </c>
      <c r="F153">
        <v>0.25812000000000002</v>
      </c>
      <c r="G153">
        <v>0.85187999999999997</v>
      </c>
      <c r="H153">
        <v>0.27124999999999999</v>
      </c>
      <c r="I153">
        <v>0.39493</v>
      </c>
      <c r="J153">
        <v>0.12831999999999999</v>
      </c>
    </row>
    <row r="154" spans="1:10" x14ac:dyDescent="0.25">
      <c r="A154">
        <v>2015</v>
      </c>
      <c r="B154" t="s">
        <v>166</v>
      </c>
      <c r="C154" t="s">
        <v>92</v>
      </c>
      <c r="D154">
        <v>153</v>
      </c>
      <c r="E154">
        <v>3.5750000000000002</v>
      </c>
      <c r="F154">
        <v>0.31981999999999999</v>
      </c>
      <c r="G154">
        <v>0.30285000000000001</v>
      </c>
      <c r="H154">
        <v>0.30335000000000001</v>
      </c>
      <c r="I154">
        <v>0.23413999999999999</v>
      </c>
      <c r="J154">
        <v>9.7189999999999999E-2</v>
      </c>
    </row>
    <row r="155" spans="1:10" x14ac:dyDescent="0.25">
      <c r="A155">
        <v>2015</v>
      </c>
      <c r="B155" t="s">
        <v>167</v>
      </c>
      <c r="C155" t="s">
        <v>83</v>
      </c>
      <c r="D155">
        <v>154</v>
      </c>
      <c r="E155">
        <v>3.4649999999999999</v>
      </c>
      <c r="F155">
        <v>0.22208</v>
      </c>
      <c r="G155">
        <v>0.77370000000000005</v>
      </c>
      <c r="H155">
        <v>0.42864000000000002</v>
      </c>
      <c r="I155">
        <v>0.59201000000000004</v>
      </c>
      <c r="J155">
        <v>0.55191000000000001</v>
      </c>
    </row>
    <row r="156" spans="1:10" x14ac:dyDescent="0.25">
      <c r="A156">
        <v>2015</v>
      </c>
      <c r="B156" t="s">
        <v>168</v>
      </c>
      <c r="C156" t="s">
        <v>83</v>
      </c>
      <c r="D156">
        <v>155</v>
      </c>
      <c r="E156">
        <v>3.34</v>
      </c>
      <c r="F156">
        <v>0.28665000000000002</v>
      </c>
      <c r="G156">
        <v>0.35386000000000001</v>
      </c>
      <c r="H156">
        <v>0.31909999999999999</v>
      </c>
      <c r="I156">
        <v>0.48449999999999999</v>
      </c>
      <c r="J156">
        <v>8.0100000000000005E-2</v>
      </c>
    </row>
    <row r="157" spans="1:10" x14ac:dyDescent="0.25">
      <c r="A157">
        <v>2015</v>
      </c>
      <c r="B157" t="s">
        <v>169</v>
      </c>
      <c r="C157" t="s">
        <v>18</v>
      </c>
      <c r="D157">
        <v>156</v>
      </c>
      <c r="E157">
        <v>3.0059999999999998</v>
      </c>
      <c r="F157">
        <v>0.66320000000000001</v>
      </c>
      <c r="G157">
        <v>0.47488999999999998</v>
      </c>
      <c r="H157">
        <v>0.72192999999999996</v>
      </c>
      <c r="I157">
        <v>0.15684000000000001</v>
      </c>
      <c r="J157">
        <v>0.18906000000000001</v>
      </c>
    </row>
    <row r="158" spans="1:10" x14ac:dyDescent="0.25">
      <c r="A158">
        <v>2015</v>
      </c>
      <c r="B158" t="s">
        <v>170</v>
      </c>
      <c r="C158" t="s">
        <v>83</v>
      </c>
      <c r="D158">
        <v>157</v>
      </c>
      <c r="E158">
        <v>2.9049999999999998</v>
      </c>
      <c r="F158">
        <v>1.5299999999999999E-2</v>
      </c>
      <c r="G158">
        <v>0.41587000000000002</v>
      </c>
      <c r="H158">
        <v>0.22395999999999999</v>
      </c>
      <c r="I158">
        <v>0.11849999999999999</v>
      </c>
      <c r="J158">
        <v>0.10062</v>
      </c>
    </row>
    <row r="159" spans="1:10" x14ac:dyDescent="0.25">
      <c r="A159">
        <v>2015</v>
      </c>
      <c r="B159" t="s">
        <v>171</v>
      </c>
      <c r="C159" t="s">
        <v>83</v>
      </c>
      <c r="D159">
        <v>158</v>
      </c>
      <c r="E159">
        <v>2.839</v>
      </c>
      <c r="F159">
        <v>0.20868</v>
      </c>
      <c r="G159">
        <v>0.13994999999999999</v>
      </c>
      <c r="H159">
        <v>0.28443000000000002</v>
      </c>
      <c r="I159">
        <v>0.36453000000000002</v>
      </c>
      <c r="J159">
        <v>0.10731</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788C-F01E-4B4E-87A5-AB956367A4A3}">
  <dimension ref="A1:K158"/>
  <sheetViews>
    <sheetView workbookViewId="0">
      <selection activeCell="G20" sqref="G20"/>
    </sheetView>
  </sheetViews>
  <sheetFormatPr defaultRowHeight="15" x14ac:dyDescent="0.25"/>
  <cols>
    <col min="1" max="1" width="7.28515625" bestFit="1" customWidth="1"/>
    <col min="2" max="2" width="22.42578125" bestFit="1" customWidth="1"/>
    <col min="3" max="3" width="29.85546875" bestFit="1" customWidth="1"/>
    <col min="4" max="4" width="17.85546875" bestFit="1" customWidth="1"/>
    <col min="5" max="5" width="18.42578125" bestFit="1" customWidth="1"/>
    <col min="6" max="6" width="27.140625" bestFit="1" customWidth="1"/>
    <col min="7" max="7" width="9.140625" bestFit="1" customWidth="1"/>
    <col min="8" max="8" width="24.7109375" bestFit="1" customWidth="1"/>
    <col min="9" max="9" width="11.28515625" bestFit="1" customWidth="1"/>
    <col min="10" max="10" width="31.140625" bestFit="1" customWidth="1"/>
    <col min="11" max="11" width="13.140625" bestFit="1" customWidth="1"/>
    <col min="12" max="12" width="27.140625" bestFit="1" customWidth="1"/>
    <col min="13" max="13" width="26.85546875" bestFit="1" customWidth="1"/>
    <col min="15" max="15" width="25" bestFit="1" customWidth="1"/>
    <col min="16" max="16" width="11.28515625" bestFit="1" customWidth="1"/>
    <col min="17" max="17" width="31.42578125" bestFit="1" customWidth="1"/>
    <col min="18" max="18" width="13.140625" bestFit="1" customWidth="1"/>
    <col min="19" max="19" width="19.140625" bestFit="1" customWidth="1"/>
  </cols>
  <sheetData>
    <row r="1" spans="1:11" x14ac:dyDescent="0.25">
      <c r="A1" t="s">
        <v>296</v>
      </c>
      <c r="B1" t="s">
        <v>0</v>
      </c>
      <c r="C1" t="s">
        <v>1</v>
      </c>
      <c r="D1" t="s">
        <v>297</v>
      </c>
      <c r="E1" t="s">
        <v>298</v>
      </c>
      <c r="F1" t="s">
        <v>299</v>
      </c>
      <c r="G1" t="s">
        <v>2</v>
      </c>
      <c r="H1" t="s">
        <v>300</v>
      </c>
      <c r="I1" t="s">
        <v>3</v>
      </c>
      <c r="J1" t="s">
        <v>301</v>
      </c>
      <c r="K1" t="s">
        <v>172</v>
      </c>
    </row>
    <row r="2" spans="1:11" x14ac:dyDescent="0.25">
      <c r="A2">
        <v>2016</v>
      </c>
      <c r="B2" t="s">
        <v>7</v>
      </c>
      <c r="C2" t="s">
        <v>5</v>
      </c>
      <c r="D2">
        <v>1</v>
      </c>
      <c r="E2">
        <v>7.5259999999999998</v>
      </c>
      <c r="F2">
        <v>1.4417800000000001</v>
      </c>
      <c r="G2">
        <v>1.16374</v>
      </c>
      <c r="H2">
        <v>0.79503999999999997</v>
      </c>
      <c r="I2">
        <v>0.57940999999999998</v>
      </c>
      <c r="J2">
        <v>0.44452999999999998</v>
      </c>
      <c r="K2">
        <v>0.36170999999999998</v>
      </c>
    </row>
    <row r="3" spans="1:11" x14ac:dyDescent="0.25">
      <c r="A3">
        <v>2016</v>
      </c>
      <c r="B3" t="s">
        <v>4</v>
      </c>
      <c r="C3" t="s">
        <v>5</v>
      </c>
      <c r="D3">
        <v>2</v>
      </c>
      <c r="E3">
        <v>7.5090000000000003</v>
      </c>
      <c r="F3">
        <v>1.5273300000000001</v>
      </c>
      <c r="G3">
        <v>1.14524</v>
      </c>
      <c r="H3">
        <v>0.86302999999999996</v>
      </c>
      <c r="I3">
        <v>0.58557000000000003</v>
      </c>
      <c r="J3">
        <v>0.41203000000000001</v>
      </c>
      <c r="K3">
        <v>0.28083000000000002</v>
      </c>
    </row>
    <row r="4" spans="1:11" x14ac:dyDescent="0.25">
      <c r="A4">
        <v>2016</v>
      </c>
      <c r="B4" t="s">
        <v>6</v>
      </c>
      <c r="C4" t="s">
        <v>5</v>
      </c>
      <c r="D4">
        <v>3</v>
      </c>
      <c r="E4">
        <v>7.5010000000000003</v>
      </c>
      <c r="F4">
        <v>1.42666</v>
      </c>
      <c r="G4">
        <v>1.18326</v>
      </c>
      <c r="H4">
        <v>0.86733000000000005</v>
      </c>
      <c r="I4">
        <v>0.56623999999999997</v>
      </c>
      <c r="J4">
        <v>0.14974999999999999</v>
      </c>
      <c r="K4">
        <v>0.47677999999999998</v>
      </c>
    </row>
    <row r="5" spans="1:11" x14ac:dyDescent="0.25">
      <c r="A5">
        <v>2016</v>
      </c>
      <c r="B5" t="s">
        <v>8</v>
      </c>
      <c r="C5" t="s">
        <v>5</v>
      </c>
      <c r="D5">
        <v>4</v>
      </c>
      <c r="E5">
        <v>7.4980000000000002</v>
      </c>
      <c r="F5">
        <v>1.57744</v>
      </c>
      <c r="G5">
        <v>1.1269</v>
      </c>
      <c r="H5">
        <v>0.79579</v>
      </c>
      <c r="I5">
        <v>0.59609000000000001</v>
      </c>
      <c r="J5">
        <v>0.35776000000000002</v>
      </c>
      <c r="K5">
        <v>0.37895000000000001</v>
      </c>
    </row>
    <row r="6" spans="1:11" x14ac:dyDescent="0.25">
      <c r="A6">
        <v>2016</v>
      </c>
      <c r="B6" t="s">
        <v>11</v>
      </c>
      <c r="C6" t="s">
        <v>5</v>
      </c>
      <c r="D6">
        <v>5</v>
      </c>
      <c r="E6">
        <v>7.4130000000000003</v>
      </c>
      <c r="F6">
        <v>1.40598</v>
      </c>
      <c r="G6">
        <v>1.1346400000000001</v>
      </c>
      <c r="H6">
        <v>0.81091000000000002</v>
      </c>
      <c r="I6">
        <v>0.57103999999999999</v>
      </c>
      <c r="J6">
        <v>0.41004000000000002</v>
      </c>
      <c r="K6">
        <v>0.25491999999999998</v>
      </c>
    </row>
    <row r="7" spans="1:11" x14ac:dyDescent="0.25">
      <c r="A7">
        <v>2016</v>
      </c>
      <c r="B7" t="s">
        <v>9</v>
      </c>
      <c r="C7" t="s">
        <v>10</v>
      </c>
      <c r="D7">
        <v>6</v>
      </c>
      <c r="E7">
        <v>7.4039999999999999</v>
      </c>
      <c r="F7">
        <v>1.44015</v>
      </c>
      <c r="G7">
        <v>1.0961000000000001</v>
      </c>
      <c r="H7">
        <v>0.8276</v>
      </c>
      <c r="I7">
        <v>0.57369999999999999</v>
      </c>
      <c r="J7">
        <v>0.31329000000000001</v>
      </c>
      <c r="K7">
        <v>0.44834000000000002</v>
      </c>
    </row>
    <row r="8" spans="1:11" x14ac:dyDescent="0.25">
      <c r="A8">
        <v>2016</v>
      </c>
      <c r="B8" t="s">
        <v>12</v>
      </c>
      <c r="C8" t="s">
        <v>5</v>
      </c>
      <c r="D8">
        <v>7</v>
      </c>
      <c r="E8">
        <v>7.3390000000000004</v>
      </c>
      <c r="F8">
        <v>1.46468</v>
      </c>
      <c r="G8">
        <v>1.02912</v>
      </c>
      <c r="H8">
        <v>0.81230999999999998</v>
      </c>
      <c r="I8">
        <v>0.55210999999999999</v>
      </c>
      <c r="J8">
        <v>0.29926999999999998</v>
      </c>
      <c r="K8">
        <v>0.47416000000000003</v>
      </c>
    </row>
    <row r="9" spans="1:11" x14ac:dyDescent="0.25">
      <c r="A9">
        <v>2016</v>
      </c>
      <c r="B9" t="s">
        <v>14</v>
      </c>
      <c r="C9" t="s">
        <v>15</v>
      </c>
      <c r="D9">
        <v>8</v>
      </c>
      <c r="E9">
        <v>7.3339999999999996</v>
      </c>
      <c r="F9">
        <v>1.36066</v>
      </c>
      <c r="G9">
        <v>1.1727799999999999</v>
      </c>
      <c r="H9">
        <v>0.83096000000000003</v>
      </c>
      <c r="I9">
        <v>0.58147000000000004</v>
      </c>
      <c r="J9">
        <v>0.41904000000000002</v>
      </c>
      <c r="K9">
        <v>0.49401</v>
      </c>
    </row>
    <row r="10" spans="1:11" x14ac:dyDescent="0.25">
      <c r="A10">
        <v>2016</v>
      </c>
      <c r="B10" t="s">
        <v>16</v>
      </c>
      <c r="C10" t="s">
        <v>15</v>
      </c>
      <c r="D10">
        <v>9</v>
      </c>
      <c r="E10">
        <v>7.3129999999999997</v>
      </c>
      <c r="F10">
        <v>1.4444300000000001</v>
      </c>
      <c r="G10">
        <v>1.10476</v>
      </c>
      <c r="H10">
        <v>0.85119999999999996</v>
      </c>
      <c r="I10">
        <v>0.56837000000000004</v>
      </c>
      <c r="J10">
        <v>0.32330999999999999</v>
      </c>
      <c r="K10">
        <v>0.47406999999999999</v>
      </c>
    </row>
    <row r="11" spans="1:11" x14ac:dyDescent="0.25">
      <c r="A11">
        <v>2016</v>
      </c>
      <c r="B11" t="s">
        <v>13</v>
      </c>
      <c r="C11" t="s">
        <v>5</v>
      </c>
      <c r="D11">
        <v>10</v>
      </c>
      <c r="E11">
        <v>7.2910000000000004</v>
      </c>
      <c r="F11">
        <v>1.45181</v>
      </c>
      <c r="G11">
        <v>1.0876399999999999</v>
      </c>
      <c r="H11">
        <v>0.83121</v>
      </c>
      <c r="I11">
        <v>0.58218000000000003</v>
      </c>
      <c r="J11">
        <v>0.40866999999999998</v>
      </c>
      <c r="K11">
        <v>0.38253999999999999</v>
      </c>
    </row>
    <row r="12" spans="1:11" x14ac:dyDescent="0.25">
      <c r="A12">
        <v>2016</v>
      </c>
      <c r="B12" t="s">
        <v>17</v>
      </c>
      <c r="C12" t="s">
        <v>18</v>
      </c>
      <c r="D12">
        <v>11</v>
      </c>
      <c r="E12">
        <v>7.2670000000000003</v>
      </c>
      <c r="F12">
        <v>1.3376600000000001</v>
      </c>
      <c r="G12">
        <v>0.99536999999999998</v>
      </c>
      <c r="H12">
        <v>0.84916999999999998</v>
      </c>
      <c r="I12">
        <v>0.36431999999999998</v>
      </c>
      <c r="J12">
        <v>8.7279999999999996E-2</v>
      </c>
      <c r="K12">
        <v>0.32288</v>
      </c>
    </row>
    <row r="13" spans="1:11" x14ac:dyDescent="0.25">
      <c r="A13">
        <v>2016</v>
      </c>
      <c r="B13" t="s">
        <v>21</v>
      </c>
      <c r="C13" t="s">
        <v>5</v>
      </c>
      <c r="D13">
        <v>12</v>
      </c>
      <c r="E13">
        <v>7.1189999999999998</v>
      </c>
      <c r="F13">
        <v>1.45038</v>
      </c>
      <c r="G13">
        <v>1.0838300000000001</v>
      </c>
      <c r="H13">
        <v>0.80564999999999998</v>
      </c>
      <c r="I13">
        <v>0.54354999999999998</v>
      </c>
      <c r="J13">
        <v>0.21348</v>
      </c>
      <c r="K13">
        <v>0.32865</v>
      </c>
    </row>
    <row r="14" spans="1:11" x14ac:dyDescent="0.25">
      <c r="A14">
        <v>2016</v>
      </c>
      <c r="B14" t="s">
        <v>23</v>
      </c>
      <c r="C14" t="s">
        <v>10</v>
      </c>
      <c r="D14">
        <v>13</v>
      </c>
      <c r="E14">
        <v>7.1040000000000001</v>
      </c>
      <c r="F14">
        <v>1.50796</v>
      </c>
      <c r="G14">
        <v>1.04782</v>
      </c>
      <c r="H14">
        <v>0.77900000000000003</v>
      </c>
      <c r="I14">
        <v>0.48163</v>
      </c>
      <c r="J14">
        <v>0.14868000000000001</v>
      </c>
      <c r="K14">
        <v>0.41077000000000002</v>
      </c>
    </row>
    <row r="15" spans="1:11" x14ac:dyDescent="0.25">
      <c r="A15">
        <v>2016</v>
      </c>
      <c r="B15" t="s">
        <v>19</v>
      </c>
      <c r="C15" t="s">
        <v>20</v>
      </c>
      <c r="D15">
        <v>14</v>
      </c>
      <c r="E15">
        <v>7.0869999999999997</v>
      </c>
      <c r="F15">
        <v>1.0687899999999999</v>
      </c>
      <c r="G15">
        <v>1.02152</v>
      </c>
      <c r="H15">
        <v>0.76146000000000003</v>
      </c>
      <c r="I15">
        <v>0.55225000000000002</v>
      </c>
      <c r="J15">
        <v>0.10546999999999999</v>
      </c>
      <c r="K15">
        <v>0.22553000000000001</v>
      </c>
    </row>
    <row r="16" spans="1:11" x14ac:dyDescent="0.25">
      <c r="A16">
        <v>2016</v>
      </c>
      <c r="B16" t="s">
        <v>173</v>
      </c>
      <c r="C16" t="s">
        <v>20</v>
      </c>
      <c r="D16">
        <v>15</v>
      </c>
      <c r="E16">
        <v>7.0389999999999997</v>
      </c>
      <c r="F16">
        <v>1.3594299999999999</v>
      </c>
      <c r="G16">
        <v>1.0811299999999999</v>
      </c>
      <c r="H16">
        <v>0.77758000000000005</v>
      </c>
      <c r="I16">
        <v>0.46822999999999998</v>
      </c>
      <c r="J16">
        <v>0.12275</v>
      </c>
      <c r="K16">
        <v>0.22202</v>
      </c>
    </row>
    <row r="17" spans="1:11" x14ac:dyDescent="0.25">
      <c r="A17">
        <v>2016</v>
      </c>
      <c r="B17" t="s">
        <v>35</v>
      </c>
      <c r="C17" t="s">
        <v>5</v>
      </c>
      <c r="D17">
        <v>16</v>
      </c>
      <c r="E17">
        <v>6.9939999999999998</v>
      </c>
      <c r="F17">
        <v>1.44787</v>
      </c>
      <c r="G17">
        <v>1.0977399999999999</v>
      </c>
      <c r="H17">
        <v>0.81486999999999998</v>
      </c>
      <c r="I17">
        <v>0.53466000000000002</v>
      </c>
      <c r="J17">
        <v>0.28550999999999999</v>
      </c>
      <c r="K17">
        <v>0.30452000000000001</v>
      </c>
    </row>
    <row r="18" spans="1:11" x14ac:dyDescent="0.25">
      <c r="A18">
        <v>2016</v>
      </c>
      <c r="B18" t="s">
        <v>24</v>
      </c>
      <c r="C18" t="s">
        <v>20</v>
      </c>
      <c r="D18">
        <v>17</v>
      </c>
      <c r="E18">
        <v>6.952</v>
      </c>
      <c r="F18">
        <v>1.08754</v>
      </c>
      <c r="G18">
        <v>1.03938</v>
      </c>
      <c r="H18">
        <v>0.61414999999999997</v>
      </c>
      <c r="I18">
        <v>0.40425</v>
      </c>
      <c r="J18">
        <v>0.14166000000000001</v>
      </c>
      <c r="K18">
        <v>0.15776000000000001</v>
      </c>
    </row>
    <row r="19" spans="1:11" x14ac:dyDescent="0.25">
      <c r="A19">
        <v>2016</v>
      </c>
      <c r="B19" t="s">
        <v>27</v>
      </c>
      <c r="C19" t="s">
        <v>5</v>
      </c>
      <c r="D19">
        <v>18</v>
      </c>
      <c r="E19">
        <v>6.9290000000000003</v>
      </c>
      <c r="F19">
        <v>1.4253899999999999</v>
      </c>
      <c r="G19">
        <v>1.0524899999999999</v>
      </c>
      <c r="H19">
        <v>0.81959000000000004</v>
      </c>
      <c r="I19">
        <v>0.51354</v>
      </c>
      <c r="J19">
        <v>0.26247999999999999</v>
      </c>
      <c r="K19">
        <v>0.2424</v>
      </c>
    </row>
    <row r="20" spans="1:11" x14ac:dyDescent="0.25">
      <c r="A20">
        <v>2016</v>
      </c>
      <c r="B20" t="s">
        <v>26</v>
      </c>
      <c r="C20" t="s">
        <v>5</v>
      </c>
      <c r="D20">
        <v>19</v>
      </c>
      <c r="E20">
        <v>6.907</v>
      </c>
      <c r="F20">
        <v>1.4834099999999999</v>
      </c>
      <c r="G20">
        <v>1.16157</v>
      </c>
      <c r="H20">
        <v>0.81455</v>
      </c>
      <c r="I20">
        <v>0.54008</v>
      </c>
      <c r="J20">
        <v>0.29754000000000003</v>
      </c>
      <c r="K20">
        <v>0.44962999999999997</v>
      </c>
    </row>
    <row r="21" spans="1:11" x14ac:dyDescent="0.25">
      <c r="A21">
        <v>2016</v>
      </c>
      <c r="B21" t="s">
        <v>25</v>
      </c>
      <c r="C21" t="s">
        <v>5</v>
      </c>
      <c r="D21">
        <v>20</v>
      </c>
      <c r="E21">
        <v>6.8710000000000004</v>
      </c>
      <c r="F21">
        <v>1.6975199999999999</v>
      </c>
      <c r="G21">
        <v>1.03999</v>
      </c>
      <c r="H21">
        <v>0.84541999999999995</v>
      </c>
      <c r="I21">
        <v>0.54869999999999997</v>
      </c>
      <c r="J21">
        <v>0.35328999999999999</v>
      </c>
      <c r="K21">
        <v>0.27571000000000001</v>
      </c>
    </row>
    <row r="22" spans="1:11" x14ac:dyDescent="0.25">
      <c r="A22">
        <v>2016</v>
      </c>
      <c r="B22" t="s">
        <v>22</v>
      </c>
      <c r="C22" t="s">
        <v>20</v>
      </c>
      <c r="D22">
        <v>21</v>
      </c>
      <c r="E22">
        <v>6.7779999999999996</v>
      </c>
      <c r="F22">
        <v>1.1150800000000001</v>
      </c>
      <c r="G22">
        <v>0.71460000000000001</v>
      </c>
      <c r="H22">
        <v>0.71143000000000001</v>
      </c>
      <c r="I22">
        <v>0.37708999999999998</v>
      </c>
      <c r="J22">
        <v>0.18354999999999999</v>
      </c>
      <c r="K22">
        <v>0.11735</v>
      </c>
    </row>
    <row r="23" spans="1:11" x14ac:dyDescent="0.25">
      <c r="A23">
        <v>2016</v>
      </c>
      <c r="B23" t="s">
        <v>32</v>
      </c>
      <c r="C23" t="s">
        <v>33</v>
      </c>
      <c r="D23">
        <v>22</v>
      </c>
      <c r="E23">
        <v>6.7389999999999999</v>
      </c>
      <c r="F23">
        <v>1.6455500000000001</v>
      </c>
      <c r="G23">
        <v>0.86758000000000002</v>
      </c>
      <c r="H23">
        <v>0.94718999999999998</v>
      </c>
      <c r="I23">
        <v>0.48770000000000002</v>
      </c>
      <c r="J23">
        <v>0.46987000000000001</v>
      </c>
      <c r="K23">
        <v>0.32706000000000002</v>
      </c>
    </row>
    <row r="24" spans="1:11" x14ac:dyDescent="0.25">
      <c r="A24">
        <v>2016</v>
      </c>
      <c r="B24" t="s">
        <v>29</v>
      </c>
      <c r="C24" t="s">
        <v>5</v>
      </c>
      <c r="D24">
        <v>23</v>
      </c>
      <c r="E24">
        <v>6.7249999999999996</v>
      </c>
      <c r="F24">
        <v>1.40283</v>
      </c>
      <c r="G24">
        <v>1.0867199999999999</v>
      </c>
      <c r="H24">
        <v>0.80991000000000002</v>
      </c>
      <c r="I24">
        <v>0.50036000000000003</v>
      </c>
      <c r="J24">
        <v>0.27399000000000001</v>
      </c>
      <c r="K24">
        <v>0.50156000000000001</v>
      </c>
    </row>
    <row r="25" spans="1:11" x14ac:dyDescent="0.25">
      <c r="A25">
        <v>2016</v>
      </c>
      <c r="B25" t="s">
        <v>36</v>
      </c>
      <c r="C25" t="s">
        <v>20</v>
      </c>
      <c r="D25">
        <v>24</v>
      </c>
      <c r="E25">
        <v>6.7050000000000001</v>
      </c>
      <c r="F25">
        <v>1.2166999999999999</v>
      </c>
      <c r="G25">
        <v>0.90586999999999995</v>
      </c>
      <c r="H25">
        <v>0.81882999999999995</v>
      </c>
      <c r="I25">
        <v>0.37789</v>
      </c>
      <c r="J25">
        <v>0.11451</v>
      </c>
      <c r="K25">
        <v>0.31595000000000001</v>
      </c>
    </row>
    <row r="26" spans="1:11" x14ac:dyDescent="0.25">
      <c r="A26">
        <v>2016</v>
      </c>
      <c r="B26" t="s">
        <v>34</v>
      </c>
      <c r="C26" t="s">
        <v>20</v>
      </c>
      <c r="D26">
        <v>25</v>
      </c>
      <c r="E26">
        <v>6.7009999999999996</v>
      </c>
      <c r="F26">
        <v>1.18306</v>
      </c>
      <c r="G26">
        <v>0.98912</v>
      </c>
      <c r="H26">
        <v>0.70835000000000004</v>
      </c>
      <c r="I26">
        <v>0.48926999999999998</v>
      </c>
      <c r="J26">
        <v>8.4229999999999999E-2</v>
      </c>
      <c r="K26">
        <v>0.24179999999999999</v>
      </c>
    </row>
    <row r="27" spans="1:11" x14ac:dyDescent="0.25">
      <c r="A27">
        <v>2016</v>
      </c>
      <c r="B27" t="s">
        <v>39</v>
      </c>
      <c r="C27" t="s">
        <v>20</v>
      </c>
      <c r="D27">
        <v>26</v>
      </c>
      <c r="E27">
        <v>6.65</v>
      </c>
      <c r="F27">
        <v>1.15137</v>
      </c>
      <c r="G27">
        <v>1.06612</v>
      </c>
      <c r="H27">
        <v>0.69711000000000001</v>
      </c>
      <c r="I27">
        <v>0.42283999999999999</v>
      </c>
      <c r="J27">
        <v>7.2959999999999997E-2</v>
      </c>
      <c r="K27">
        <v>0.10989</v>
      </c>
    </row>
    <row r="28" spans="1:11" x14ac:dyDescent="0.25">
      <c r="A28">
        <v>2016</v>
      </c>
      <c r="B28" t="s">
        <v>40</v>
      </c>
      <c r="C28" t="s">
        <v>41</v>
      </c>
      <c r="D28">
        <v>27</v>
      </c>
      <c r="E28">
        <v>6.5960000000000001</v>
      </c>
      <c r="F28">
        <v>1.30915</v>
      </c>
      <c r="G28">
        <v>1.00793</v>
      </c>
      <c r="H28">
        <v>0.76375999999999999</v>
      </c>
      <c r="I28">
        <v>0.41417999999999999</v>
      </c>
      <c r="J28">
        <v>3.986E-2</v>
      </c>
      <c r="K28">
        <v>9.9290000000000003E-2</v>
      </c>
    </row>
    <row r="29" spans="1:11" x14ac:dyDescent="0.25">
      <c r="A29">
        <v>2016</v>
      </c>
      <c r="B29" t="s">
        <v>28</v>
      </c>
      <c r="C29" t="s">
        <v>18</v>
      </c>
      <c r="D29">
        <v>28</v>
      </c>
      <c r="E29">
        <v>6.5730000000000004</v>
      </c>
      <c r="F29">
        <v>1.57352</v>
      </c>
      <c r="G29">
        <v>0.87114000000000003</v>
      </c>
      <c r="H29">
        <v>0.72992999999999997</v>
      </c>
      <c r="I29">
        <v>0.56215000000000004</v>
      </c>
      <c r="J29">
        <v>0.35560999999999998</v>
      </c>
      <c r="K29">
        <v>0.26590999999999998</v>
      </c>
    </row>
    <row r="30" spans="1:11" x14ac:dyDescent="0.25">
      <c r="A30">
        <v>2016</v>
      </c>
      <c r="B30" t="s">
        <v>42</v>
      </c>
      <c r="C30" t="s">
        <v>20</v>
      </c>
      <c r="D30">
        <v>29</v>
      </c>
      <c r="E30">
        <v>6.5449999999999999</v>
      </c>
      <c r="F30">
        <v>1.18157</v>
      </c>
      <c r="G30">
        <v>1.0314300000000001</v>
      </c>
      <c r="H30">
        <v>0.72182999999999997</v>
      </c>
      <c r="I30">
        <v>0.54388000000000003</v>
      </c>
      <c r="J30">
        <v>0.21393999999999999</v>
      </c>
      <c r="K30">
        <v>0.18056</v>
      </c>
    </row>
    <row r="31" spans="1:11" x14ac:dyDescent="0.25">
      <c r="A31">
        <v>2016</v>
      </c>
      <c r="B31" t="s">
        <v>47</v>
      </c>
      <c r="C31" t="s">
        <v>5</v>
      </c>
      <c r="D31">
        <v>30</v>
      </c>
      <c r="E31">
        <v>6.4880000000000004</v>
      </c>
      <c r="F31">
        <v>1.30782</v>
      </c>
      <c r="G31">
        <v>1.0987899999999999</v>
      </c>
      <c r="H31">
        <v>0.80315000000000003</v>
      </c>
      <c r="I31">
        <v>0.54993999999999998</v>
      </c>
      <c r="J31">
        <v>0.17554</v>
      </c>
      <c r="K31">
        <v>0.56237000000000004</v>
      </c>
    </row>
    <row r="32" spans="1:11" x14ac:dyDescent="0.25">
      <c r="A32">
        <v>2016</v>
      </c>
      <c r="B32" t="s">
        <v>43</v>
      </c>
      <c r="C32" t="s">
        <v>20</v>
      </c>
      <c r="D32">
        <v>31</v>
      </c>
      <c r="E32">
        <v>6.4809999999999999</v>
      </c>
      <c r="F32">
        <v>1.0303199999999999</v>
      </c>
      <c r="G32">
        <v>1.02169</v>
      </c>
      <c r="H32">
        <v>0.59658999999999995</v>
      </c>
      <c r="I32">
        <v>0.44735000000000003</v>
      </c>
      <c r="J32">
        <v>5.3990000000000003E-2</v>
      </c>
      <c r="K32">
        <v>0.15626000000000001</v>
      </c>
    </row>
    <row r="33" spans="1:11" x14ac:dyDescent="0.25">
      <c r="A33">
        <v>2016</v>
      </c>
      <c r="B33" t="s">
        <v>38</v>
      </c>
      <c r="C33" t="s">
        <v>5</v>
      </c>
      <c r="D33">
        <v>32</v>
      </c>
      <c r="E33">
        <v>6.4779999999999998</v>
      </c>
      <c r="F33">
        <v>1.3948799999999999</v>
      </c>
      <c r="G33">
        <v>1.00508</v>
      </c>
      <c r="H33">
        <v>0.83794999999999997</v>
      </c>
      <c r="I33">
        <v>0.46561999999999998</v>
      </c>
      <c r="J33">
        <v>0.17807999999999999</v>
      </c>
      <c r="K33">
        <v>0.1216</v>
      </c>
    </row>
    <row r="34" spans="1:11" x14ac:dyDescent="0.25">
      <c r="A34">
        <v>2016</v>
      </c>
      <c r="B34" t="s">
        <v>44</v>
      </c>
      <c r="C34" t="s">
        <v>33</v>
      </c>
      <c r="D34">
        <v>33</v>
      </c>
      <c r="E34">
        <v>6.4740000000000002</v>
      </c>
      <c r="F34">
        <v>1.0892999999999999</v>
      </c>
      <c r="G34">
        <v>1.04477</v>
      </c>
      <c r="H34">
        <v>0.64915</v>
      </c>
      <c r="I34">
        <v>0.49553000000000003</v>
      </c>
      <c r="J34">
        <v>2.8330000000000001E-2</v>
      </c>
      <c r="K34">
        <v>0.58696000000000004</v>
      </c>
    </row>
    <row r="35" spans="1:11" x14ac:dyDescent="0.25">
      <c r="A35">
        <v>2016</v>
      </c>
      <c r="B35" t="s">
        <v>45</v>
      </c>
      <c r="C35" t="s">
        <v>18</v>
      </c>
      <c r="D35">
        <v>34</v>
      </c>
      <c r="E35">
        <v>6.3789999999999996</v>
      </c>
      <c r="F35">
        <v>1.48953</v>
      </c>
      <c r="G35">
        <v>0.84828999999999999</v>
      </c>
      <c r="H35">
        <v>0.59267000000000003</v>
      </c>
      <c r="I35">
        <v>0.37903999999999999</v>
      </c>
      <c r="J35">
        <v>0.30008000000000001</v>
      </c>
      <c r="K35">
        <v>0.15457000000000001</v>
      </c>
    </row>
    <row r="36" spans="1:11" x14ac:dyDescent="0.25">
      <c r="A36">
        <v>2016</v>
      </c>
      <c r="B36" t="s">
        <v>48</v>
      </c>
      <c r="C36" t="s">
        <v>49</v>
      </c>
      <c r="D36">
        <v>34</v>
      </c>
      <c r="E36">
        <v>6.3789999999999996</v>
      </c>
      <c r="F36">
        <v>1.3972899999999999</v>
      </c>
      <c r="G36">
        <v>0.92623999999999995</v>
      </c>
      <c r="H36">
        <v>0.79564999999999997</v>
      </c>
      <c r="I36">
        <v>0.32377</v>
      </c>
      <c r="J36">
        <v>6.6299999999999998E-2</v>
      </c>
      <c r="K36">
        <v>0.25495000000000001</v>
      </c>
    </row>
    <row r="37" spans="1:11" x14ac:dyDescent="0.25">
      <c r="A37">
        <v>2016</v>
      </c>
      <c r="B37" t="s">
        <v>37</v>
      </c>
      <c r="C37" t="s">
        <v>18</v>
      </c>
      <c r="D37">
        <v>36</v>
      </c>
      <c r="E37">
        <v>6.375</v>
      </c>
      <c r="F37">
        <v>1.8242700000000001</v>
      </c>
      <c r="G37">
        <v>0.87963999999999998</v>
      </c>
      <c r="H37">
        <v>0.71723000000000003</v>
      </c>
      <c r="I37">
        <v>0.56679000000000002</v>
      </c>
      <c r="J37">
        <v>0.48048999999999997</v>
      </c>
      <c r="K37">
        <v>0.32388</v>
      </c>
    </row>
    <row r="38" spans="1:11" x14ac:dyDescent="0.25">
      <c r="A38">
        <v>2016</v>
      </c>
      <c r="B38" t="s">
        <v>46</v>
      </c>
      <c r="C38" t="s">
        <v>5</v>
      </c>
      <c r="D38">
        <v>37</v>
      </c>
      <c r="E38">
        <v>6.3609999999999998</v>
      </c>
      <c r="F38">
        <v>1.34253</v>
      </c>
      <c r="G38">
        <v>1.1294500000000001</v>
      </c>
      <c r="H38">
        <v>0.87895999999999996</v>
      </c>
      <c r="I38">
        <v>0.37545000000000001</v>
      </c>
      <c r="J38">
        <v>6.1370000000000001E-2</v>
      </c>
      <c r="K38">
        <v>0.17665</v>
      </c>
    </row>
    <row r="39" spans="1:11" x14ac:dyDescent="0.25">
      <c r="A39">
        <v>2016</v>
      </c>
      <c r="B39" t="s">
        <v>79</v>
      </c>
      <c r="C39" t="s">
        <v>18</v>
      </c>
      <c r="D39">
        <v>38</v>
      </c>
      <c r="E39">
        <v>6.3550000000000004</v>
      </c>
      <c r="F39">
        <v>1.0526599999999999</v>
      </c>
      <c r="G39">
        <v>0.83309</v>
      </c>
      <c r="H39">
        <v>0.61804000000000003</v>
      </c>
      <c r="I39">
        <v>0.21006</v>
      </c>
      <c r="J39">
        <v>0.16156999999999999</v>
      </c>
      <c r="K39">
        <v>7.0440000000000003E-2</v>
      </c>
    </row>
    <row r="40" spans="1:11" x14ac:dyDescent="0.25">
      <c r="A40">
        <v>2016</v>
      </c>
      <c r="B40" t="s">
        <v>54</v>
      </c>
      <c r="C40" t="s">
        <v>20</v>
      </c>
      <c r="D40">
        <v>39</v>
      </c>
      <c r="E40">
        <v>6.3239999999999998</v>
      </c>
      <c r="F40">
        <v>0.83453999999999995</v>
      </c>
      <c r="G40">
        <v>0.87119000000000002</v>
      </c>
      <c r="H40">
        <v>0.54039000000000004</v>
      </c>
      <c r="I40">
        <v>0.50378999999999996</v>
      </c>
      <c r="J40">
        <v>8.7010000000000004E-2</v>
      </c>
      <c r="K40">
        <v>0.28808</v>
      </c>
    </row>
    <row r="41" spans="1:11" x14ac:dyDescent="0.25">
      <c r="A41">
        <v>2016</v>
      </c>
      <c r="B41" t="s">
        <v>51</v>
      </c>
      <c r="C41" t="s">
        <v>20</v>
      </c>
      <c r="D41">
        <v>40</v>
      </c>
      <c r="E41">
        <v>6.2690000000000001</v>
      </c>
      <c r="F41">
        <v>1.0968599999999999</v>
      </c>
      <c r="G41">
        <v>0.77866000000000002</v>
      </c>
      <c r="H41">
        <v>0.50932999999999995</v>
      </c>
      <c r="I41">
        <v>0.52234000000000003</v>
      </c>
      <c r="J41">
        <v>0.12692000000000001</v>
      </c>
      <c r="K41">
        <v>0.16664999999999999</v>
      </c>
    </row>
    <row r="42" spans="1:11" x14ac:dyDescent="0.25">
      <c r="A42">
        <v>2016</v>
      </c>
      <c r="B42" t="s">
        <v>50</v>
      </c>
      <c r="C42" t="s">
        <v>18</v>
      </c>
      <c r="D42">
        <v>41</v>
      </c>
      <c r="E42">
        <v>6.2389999999999999</v>
      </c>
      <c r="F42">
        <v>1.61714</v>
      </c>
      <c r="G42">
        <v>0.87758000000000003</v>
      </c>
      <c r="H42">
        <v>0.63568999999999998</v>
      </c>
      <c r="I42">
        <v>0.43165999999999999</v>
      </c>
      <c r="J42">
        <v>0.23669000000000001</v>
      </c>
      <c r="K42">
        <v>0.15964999999999999</v>
      </c>
    </row>
    <row r="43" spans="1:11" x14ac:dyDescent="0.25">
      <c r="A43">
        <v>2016</v>
      </c>
      <c r="B43" t="s">
        <v>60</v>
      </c>
      <c r="C43" t="s">
        <v>18</v>
      </c>
      <c r="D43">
        <v>42</v>
      </c>
      <c r="E43">
        <v>6.218</v>
      </c>
      <c r="F43">
        <v>1.44024</v>
      </c>
      <c r="G43">
        <v>0.94396999999999998</v>
      </c>
      <c r="H43">
        <v>0.65695999999999999</v>
      </c>
      <c r="I43">
        <v>0.47375</v>
      </c>
      <c r="J43">
        <v>0.25772</v>
      </c>
      <c r="K43">
        <v>0.17147000000000001</v>
      </c>
    </row>
    <row r="44" spans="1:11" x14ac:dyDescent="0.25">
      <c r="A44">
        <v>2016</v>
      </c>
      <c r="B44" t="s">
        <v>52</v>
      </c>
      <c r="C44" t="s">
        <v>20</v>
      </c>
      <c r="D44">
        <v>43</v>
      </c>
      <c r="E44">
        <v>6.1680000000000001</v>
      </c>
      <c r="F44">
        <v>1.32572</v>
      </c>
      <c r="G44">
        <v>0.98568999999999996</v>
      </c>
      <c r="H44">
        <v>0.52607999999999999</v>
      </c>
      <c r="I44">
        <v>0.48453000000000002</v>
      </c>
      <c r="J44">
        <v>1.2409999999999999E-2</v>
      </c>
      <c r="K44">
        <v>0.31935000000000002</v>
      </c>
    </row>
    <row r="45" spans="1:11" x14ac:dyDescent="0.25">
      <c r="A45">
        <v>2016</v>
      </c>
      <c r="B45" t="s">
        <v>31</v>
      </c>
      <c r="C45" t="s">
        <v>20</v>
      </c>
      <c r="D45">
        <v>44</v>
      </c>
      <c r="E45">
        <v>6.0839999999999996</v>
      </c>
      <c r="F45">
        <v>1.13367</v>
      </c>
      <c r="G45">
        <v>1.03302</v>
      </c>
      <c r="H45">
        <v>0.61904000000000003</v>
      </c>
      <c r="I45">
        <v>0.19847000000000001</v>
      </c>
      <c r="J45">
        <v>8.3040000000000003E-2</v>
      </c>
      <c r="K45">
        <v>4.2500000000000003E-2</v>
      </c>
    </row>
    <row r="46" spans="1:11" x14ac:dyDescent="0.25">
      <c r="A46">
        <v>2016</v>
      </c>
      <c r="B46" t="s">
        <v>56</v>
      </c>
      <c r="C46" t="s">
        <v>41</v>
      </c>
      <c r="D46">
        <v>45</v>
      </c>
      <c r="E46">
        <v>6.0780000000000003</v>
      </c>
      <c r="F46">
        <v>1.27973</v>
      </c>
      <c r="G46">
        <v>1.0826800000000001</v>
      </c>
      <c r="H46">
        <v>0.70367000000000002</v>
      </c>
      <c r="I46">
        <v>0.23391000000000001</v>
      </c>
      <c r="J46">
        <v>2.947E-2</v>
      </c>
      <c r="K46">
        <v>0.13836999999999999</v>
      </c>
    </row>
    <row r="47" spans="1:11" x14ac:dyDescent="0.25">
      <c r="A47">
        <v>2016</v>
      </c>
      <c r="B47" t="s">
        <v>53</v>
      </c>
      <c r="C47" t="s">
        <v>20</v>
      </c>
      <c r="D47">
        <v>46</v>
      </c>
      <c r="E47">
        <v>6.0679999999999996</v>
      </c>
      <c r="F47">
        <v>0.87370000000000003</v>
      </c>
      <c r="G47">
        <v>0.80974999999999997</v>
      </c>
      <c r="H47">
        <v>0.59599999999999997</v>
      </c>
      <c r="I47">
        <v>0.37269000000000002</v>
      </c>
      <c r="J47">
        <v>0.10613</v>
      </c>
      <c r="K47">
        <v>8.8770000000000002E-2</v>
      </c>
    </row>
    <row r="48" spans="1:11" x14ac:dyDescent="0.25">
      <c r="A48">
        <v>2016</v>
      </c>
      <c r="B48" t="s">
        <v>72</v>
      </c>
      <c r="C48" t="s">
        <v>33</v>
      </c>
      <c r="D48">
        <v>47</v>
      </c>
      <c r="E48">
        <v>6.0049999999999999</v>
      </c>
      <c r="F48">
        <v>1.25142</v>
      </c>
      <c r="G48">
        <v>0.88024999999999998</v>
      </c>
      <c r="H48">
        <v>0.62365999999999999</v>
      </c>
      <c r="I48">
        <v>0.39030999999999999</v>
      </c>
      <c r="J48">
        <v>9.0810000000000002E-2</v>
      </c>
      <c r="K48">
        <v>0.41474</v>
      </c>
    </row>
    <row r="49" spans="1:11" x14ac:dyDescent="0.25">
      <c r="A49">
        <v>2016</v>
      </c>
      <c r="B49" t="s">
        <v>68</v>
      </c>
      <c r="C49" t="s">
        <v>20</v>
      </c>
      <c r="D49">
        <v>48</v>
      </c>
      <c r="E49">
        <v>5.992</v>
      </c>
      <c r="F49">
        <v>0.69384000000000001</v>
      </c>
      <c r="G49">
        <v>0.89520999999999995</v>
      </c>
      <c r="H49">
        <v>0.65212999999999999</v>
      </c>
      <c r="I49">
        <v>0.46582000000000001</v>
      </c>
      <c r="J49">
        <v>0.16292000000000001</v>
      </c>
      <c r="K49">
        <v>0.29772999999999999</v>
      </c>
    </row>
    <row r="50" spans="1:11" x14ac:dyDescent="0.25">
      <c r="A50">
        <v>2016</v>
      </c>
      <c r="B50" t="s">
        <v>55</v>
      </c>
      <c r="C50" t="s">
        <v>41</v>
      </c>
      <c r="D50">
        <v>49</v>
      </c>
      <c r="E50">
        <v>5.9870000000000001</v>
      </c>
      <c r="F50">
        <v>0.73590999999999995</v>
      </c>
      <c r="G50">
        <v>1.1680999999999999</v>
      </c>
      <c r="H50">
        <v>0.50163000000000002</v>
      </c>
      <c r="I50">
        <v>0.60848000000000002</v>
      </c>
      <c r="J50">
        <v>0.28333000000000003</v>
      </c>
      <c r="K50">
        <v>0.34326000000000001</v>
      </c>
    </row>
    <row r="51" spans="1:11" x14ac:dyDescent="0.25">
      <c r="A51">
        <v>2016</v>
      </c>
      <c r="B51" t="s">
        <v>61</v>
      </c>
      <c r="C51" t="s">
        <v>5</v>
      </c>
      <c r="D51">
        <v>50</v>
      </c>
      <c r="E51">
        <v>5.9770000000000003</v>
      </c>
      <c r="F51">
        <v>1.3549500000000001</v>
      </c>
      <c r="G51">
        <v>1.0416700000000001</v>
      </c>
      <c r="H51">
        <v>0.85102</v>
      </c>
      <c r="I51">
        <v>0.18826999999999999</v>
      </c>
      <c r="J51">
        <v>2.5559999999999999E-2</v>
      </c>
      <c r="K51">
        <v>0.16683999999999999</v>
      </c>
    </row>
    <row r="52" spans="1:11" x14ac:dyDescent="0.25">
      <c r="A52">
        <v>2016</v>
      </c>
      <c r="B52" t="s">
        <v>59</v>
      </c>
      <c r="C52" t="s">
        <v>20</v>
      </c>
      <c r="D52">
        <v>51</v>
      </c>
      <c r="E52">
        <v>5.976</v>
      </c>
      <c r="F52">
        <v>0.97306000000000004</v>
      </c>
      <c r="G52">
        <v>0.85973999999999995</v>
      </c>
      <c r="H52">
        <v>0.68613000000000002</v>
      </c>
      <c r="I52">
        <v>0.4027</v>
      </c>
      <c r="J52">
        <v>0.18037</v>
      </c>
      <c r="K52">
        <v>0.10074</v>
      </c>
    </row>
    <row r="53" spans="1:11" x14ac:dyDescent="0.25">
      <c r="A53">
        <v>2016</v>
      </c>
      <c r="B53" t="s">
        <v>174</v>
      </c>
      <c r="C53" t="s">
        <v>20</v>
      </c>
      <c r="D53">
        <v>52</v>
      </c>
      <c r="E53">
        <v>5.9560000000000004</v>
      </c>
      <c r="F53">
        <v>0.87616000000000005</v>
      </c>
      <c r="G53">
        <v>0.68654999999999999</v>
      </c>
      <c r="H53">
        <v>0.45568999999999998</v>
      </c>
      <c r="I53">
        <v>0.51231000000000004</v>
      </c>
      <c r="J53">
        <v>0.10771</v>
      </c>
      <c r="K53">
        <v>0.23683999999999999</v>
      </c>
    </row>
    <row r="54" spans="1:11" x14ac:dyDescent="0.25">
      <c r="A54">
        <v>2016</v>
      </c>
      <c r="B54" t="s">
        <v>57</v>
      </c>
      <c r="C54" t="s">
        <v>49</v>
      </c>
      <c r="D54">
        <v>53</v>
      </c>
      <c r="E54">
        <v>5.9210000000000003</v>
      </c>
      <c r="F54">
        <v>1.3800699999999999</v>
      </c>
      <c r="G54">
        <v>1.06054</v>
      </c>
      <c r="H54">
        <v>0.91491</v>
      </c>
      <c r="I54">
        <v>0.46761000000000003</v>
      </c>
      <c r="J54">
        <v>0.18984999999999999</v>
      </c>
      <c r="K54">
        <v>0.10224</v>
      </c>
    </row>
    <row r="55" spans="1:11" x14ac:dyDescent="0.25">
      <c r="A55">
        <v>2016</v>
      </c>
      <c r="B55" t="s">
        <v>65</v>
      </c>
      <c r="C55" t="s">
        <v>41</v>
      </c>
      <c r="D55">
        <v>54</v>
      </c>
      <c r="E55">
        <v>5.9189999999999996</v>
      </c>
      <c r="F55">
        <v>1.22943</v>
      </c>
      <c r="G55">
        <v>0.95543999999999996</v>
      </c>
      <c r="H55">
        <v>0.57386000000000004</v>
      </c>
      <c r="I55">
        <v>0.4052</v>
      </c>
      <c r="J55">
        <v>0.11132</v>
      </c>
      <c r="K55">
        <v>0.15010999999999999</v>
      </c>
    </row>
    <row r="56" spans="1:11" x14ac:dyDescent="0.25">
      <c r="A56">
        <v>2016</v>
      </c>
      <c r="B56" t="s">
        <v>63</v>
      </c>
      <c r="C56" t="s">
        <v>41</v>
      </c>
      <c r="D56">
        <v>55</v>
      </c>
      <c r="E56">
        <v>5.8970000000000002</v>
      </c>
      <c r="F56">
        <v>0.69177</v>
      </c>
      <c r="G56">
        <v>0.83131999999999995</v>
      </c>
      <c r="H56">
        <v>0.52309000000000005</v>
      </c>
      <c r="I56">
        <v>0.25202000000000002</v>
      </c>
      <c r="J56">
        <v>1.9029999999999998E-2</v>
      </c>
      <c r="K56">
        <v>0.19997000000000001</v>
      </c>
    </row>
    <row r="57" spans="1:11" x14ac:dyDescent="0.25">
      <c r="A57">
        <v>2016</v>
      </c>
      <c r="B57" t="s">
        <v>75</v>
      </c>
      <c r="C57" t="s">
        <v>41</v>
      </c>
      <c r="D57">
        <v>56</v>
      </c>
      <c r="E57">
        <v>5.8559999999999999</v>
      </c>
      <c r="F57">
        <v>1.23228</v>
      </c>
      <c r="G57">
        <v>1.05261</v>
      </c>
      <c r="H57">
        <v>0.58991000000000005</v>
      </c>
      <c r="I57">
        <v>0.32682</v>
      </c>
      <c r="J57">
        <v>3.5860000000000003E-2</v>
      </c>
      <c r="K57">
        <v>2.7359999999999999E-2</v>
      </c>
    </row>
    <row r="58" spans="1:11" x14ac:dyDescent="0.25">
      <c r="A58">
        <v>2016</v>
      </c>
      <c r="B58" t="s">
        <v>71</v>
      </c>
      <c r="C58" t="s">
        <v>41</v>
      </c>
      <c r="D58">
        <v>57</v>
      </c>
      <c r="E58">
        <v>5.835</v>
      </c>
      <c r="F58">
        <v>1.2458499999999999</v>
      </c>
      <c r="G58">
        <v>1.0468500000000001</v>
      </c>
      <c r="H58">
        <v>0.69057999999999997</v>
      </c>
      <c r="I58">
        <v>0.45190000000000002</v>
      </c>
      <c r="J58">
        <v>5.5E-2</v>
      </c>
      <c r="K58">
        <v>0.14443</v>
      </c>
    </row>
    <row r="59" spans="1:11" x14ac:dyDescent="0.25">
      <c r="A59">
        <v>2016</v>
      </c>
      <c r="B59" t="s">
        <v>58</v>
      </c>
      <c r="C59" t="s">
        <v>49</v>
      </c>
      <c r="D59">
        <v>57</v>
      </c>
      <c r="E59">
        <v>5.835</v>
      </c>
      <c r="F59">
        <v>1.35948</v>
      </c>
      <c r="G59">
        <v>0.72194000000000003</v>
      </c>
      <c r="H59">
        <v>0.88644999999999996</v>
      </c>
      <c r="I59">
        <v>0.25168000000000001</v>
      </c>
      <c r="J59">
        <v>7.7160000000000006E-2</v>
      </c>
      <c r="K59">
        <v>0.18823999999999999</v>
      </c>
    </row>
    <row r="60" spans="1:11" x14ac:dyDescent="0.25">
      <c r="A60">
        <v>2016</v>
      </c>
      <c r="B60" t="s">
        <v>62</v>
      </c>
      <c r="C60" t="s">
        <v>20</v>
      </c>
      <c r="D60">
        <v>59</v>
      </c>
      <c r="E60">
        <v>5.8220000000000001</v>
      </c>
      <c r="F60">
        <v>0.79422000000000004</v>
      </c>
      <c r="G60">
        <v>0.83779000000000003</v>
      </c>
      <c r="H60">
        <v>0.46970000000000001</v>
      </c>
      <c r="I60">
        <v>0.50961000000000001</v>
      </c>
      <c r="J60">
        <v>7.7460000000000001E-2</v>
      </c>
      <c r="K60">
        <v>0.21698000000000001</v>
      </c>
    </row>
    <row r="61" spans="1:11" x14ac:dyDescent="0.25">
      <c r="A61">
        <v>2016</v>
      </c>
      <c r="B61" t="s">
        <v>67</v>
      </c>
      <c r="C61" t="s">
        <v>41</v>
      </c>
      <c r="D61">
        <v>60</v>
      </c>
      <c r="E61">
        <v>5.8129999999999997</v>
      </c>
      <c r="F61">
        <v>1.2692000000000001</v>
      </c>
      <c r="G61">
        <v>1.0641099999999999</v>
      </c>
      <c r="H61">
        <v>0.64673999999999998</v>
      </c>
      <c r="I61">
        <v>0.18929000000000001</v>
      </c>
      <c r="J61">
        <v>1.8200000000000001E-2</v>
      </c>
      <c r="K61">
        <v>2.0250000000000001E-2</v>
      </c>
    </row>
    <row r="62" spans="1:11" x14ac:dyDescent="0.25">
      <c r="A62">
        <v>2016</v>
      </c>
      <c r="B62" t="s">
        <v>70</v>
      </c>
      <c r="C62" t="s">
        <v>41</v>
      </c>
      <c r="D62">
        <v>61</v>
      </c>
      <c r="E62">
        <v>5.8019999999999996</v>
      </c>
      <c r="F62">
        <v>1.13062</v>
      </c>
      <c r="G62">
        <v>1.04993</v>
      </c>
      <c r="H62">
        <v>0.63104000000000005</v>
      </c>
      <c r="I62">
        <v>0.29091</v>
      </c>
      <c r="J62">
        <v>0.17457</v>
      </c>
      <c r="K62">
        <v>0.13941999999999999</v>
      </c>
    </row>
    <row r="63" spans="1:11" x14ac:dyDescent="0.25">
      <c r="A63">
        <v>2016</v>
      </c>
      <c r="B63" t="s">
        <v>77</v>
      </c>
      <c r="C63" t="s">
        <v>5</v>
      </c>
      <c r="D63">
        <v>62</v>
      </c>
      <c r="E63">
        <v>5.7709999999999999</v>
      </c>
      <c r="F63">
        <v>1.31141</v>
      </c>
      <c r="G63">
        <v>0.81825999999999999</v>
      </c>
      <c r="H63">
        <v>0.84141999999999995</v>
      </c>
      <c r="I63">
        <v>0.43596000000000001</v>
      </c>
      <c r="J63">
        <v>0.16578000000000001</v>
      </c>
      <c r="K63">
        <v>0.26322000000000001</v>
      </c>
    </row>
    <row r="64" spans="1:11" x14ac:dyDescent="0.25">
      <c r="A64">
        <v>2016</v>
      </c>
      <c r="B64" t="s">
        <v>66</v>
      </c>
      <c r="C64" t="s">
        <v>41</v>
      </c>
      <c r="D64">
        <v>63</v>
      </c>
      <c r="E64">
        <v>5.7679999999999998</v>
      </c>
      <c r="F64">
        <v>1.2994699999999999</v>
      </c>
      <c r="G64">
        <v>1.05613</v>
      </c>
      <c r="H64">
        <v>0.79151000000000005</v>
      </c>
      <c r="I64">
        <v>0.53164</v>
      </c>
      <c r="J64">
        <v>3.635E-2</v>
      </c>
      <c r="K64">
        <v>0.25738</v>
      </c>
    </row>
    <row r="65" spans="1:11" x14ac:dyDescent="0.25">
      <c r="A65">
        <v>2016</v>
      </c>
      <c r="B65" t="s">
        <v>69</v>
      </c>
      <c r="C65" t="s">
        <v>20</v>
      </c>
      <c r="D65">
        <v>64</v>
      </c>
      <c r="E65">
        <v>5.7430000000000003</v>
      </c>
      <c r="F65">
        <v>0.99602000000000002</v>
      </c>
      <c r="G65">
        <v>0.81254999999999999</v>
      </c>
      <c r="H65">
        <v>0.62994000000000006</v>
      </c>
      <c r="I65">
        <v>0.37502000000000002</v>
      </c>
      <c r="J65">
        <v>5.2920000000000002E-2</v>
      </c>
      <c r="K65">
        <v>0.14527000000000001</v>
      </c>
    </row>
    <row r="66" spans="1:11" x14ac:dyDescent="0.25">
      <c r="A66">
        <v>2016</v>
      </c>
      <c r="B66" t="s">
        <v>81</v>
      </c>
      <c r="C66" t="s">
        <v>41</v>
      </c>
      <c r="D66">
        <v>65</v>
      </c>
      <c r="E66">
        <v>5.6580000000000004</v>
      </c>
      <c r="F66">
        <v>1.0801700000000001</v>
      </c>
      <c r="G66">
        <v>1.03817</v>
      </c>
      <c r="H66">
        <v>0.44006000000000001</v>
      </c>
      <c r="I66">
        <v>0.37408000000000002</v>
      </c>
      <c r="J66">
        <v>0.28466999999999998</v>
      </c>
      <c r="K66">
        <v>0.22567000000000001</v>
      </c>
    </row>
    <row r="67" spans="1:11" x14ac:dyDescent="0.25">
      <c r="A67">
        <v>2016</v>
      </c>
      <c r="B67" t="s">
        <v>82</v>
      </c>
      <c r="C67" t="s">
        <v>83</v>
      </c>
      <c r="D67">
        <v>66</v>
      </c>
      <c r="E67">
        <v>5.6479999999999997</v>
      </c>
      <c r="F67">
        <v>1.1437200000000001</v>
      </c>
      <c r="G67">
        <v>0.75695000000000001</v>
      </c>
      <c r="H67">
        <v>0.66188999999999998</v>
      </c>
      <c r="I67">
        <v>0.46145000000000003</v>
      </c>
      <c r="J67">
        <v>5.203E-2</v>
      </c>
      <c r="K67">
        <v>0.36951000000000001</v>
      </c>
    </row>
    <row r="68" spans="1:11" x14ac:dyDescent="0.25">
      <c r="A68">
        <v>2016</v>
      </c>
      <c r="B68" t="s">
        <v>74</v>
      </c>
      <c r="C68" t="s">
        <v>18</v>
      </c>
      <c r="D68">
        <v>67</v>
      </c>
      <c r="E68">
        <v>5.6150000000000002</v>
      </c>
      <c r="F68">
        <v>1.0668800000000001</v>
      </c>
      <c r="G68">
        <v>0.95076000000000005</v>
      </c>
      <c r="H68">
        <v>0.52303999999999995</v>
      </c>
      <c r="I68">
        <v>0.40672000000000003</v>
      </c>
      <c r="J68">
        <v>0.10339</v>
      </c>
      <c r="K68">
        <v>0.17086999999999999</v>
      </c>
    </row>
    <row r="69" spans="1:11" x14ac:dyDescent="0.25">
      <c r="A69">
        <v>2016</v>
      </c>
      <c r="B69" t="s">
        <v>102</v>
      </c>
      <c r="C69" t="s">
        <v>41</v>
      </c>
      <c r="D69">
        <v>68</v>
      </c>
      <c r="E69">
        <v>5.56</v>
      </c>
      <c r="F69">
        <v>1.2178800000000001</v>
      </c>
      <c r="G69">
        <v>0.95025000000000004</v>
      </c>
      <c r="H69">
        <v>0.63951999999999998</v>
      </c>
      <c r="I69">
        <v>0.27995999999999999</v>
      </c>
      <c r="J69">
        <v>8.8900000000000007E-2</v>
      </c>
      <c r="K69">
        <v>0.17444999999999999</v>
      </c>
    </row>
    <row r="70" spans="1:11" x14ac:dyDescent="0.25">
      <c r="A70">
        <v>2016</v>
      </c>
      <c r="B70" t="s">
        <v>78</v>
      </c>
      <c r="C70" t="s">
        <v>5</v>
      </c>
      <c r="D70">
        <v>69</v>
      </c>
      <c r="E70">
        <v>5.5460000000000003</v>
      </c>
      <c r="F70">
        <v>1.31857</v>
      </c>
      <c r="G70">
        <v>0.70696999999999999</v>
      </c>
      <c r="H70">
        <v>0.8488</v>
      </c>
      <c r="I70">
        <v>0.29507</v>
      </c>
      <c r="J70">
        <v>5.228E-2</v>
      </c>
      <c r="K70">
        <v>0.27905999999999997</v>
      </c>
    </row>
    <row r="71" spans="1:11" x14ac:dyDescent="0.25">
      <c r="A71">
        <v>2016</v>
      </c>
      <c r="B71" t="s">
        <v>64</v>
      </c>
      <c r="C71" t="s">
        <v>20</v>
      </c>
      <c r="D71">
        <v>70</v>
      </c>
      <c r="E71">
        <v>5.5380000000000003</v>
      </c>
      <c r="F71">
        <v>0.89373000000000002</v>
      </c>
      <c r="G71">
        <v>1.11111</v>
      </c>
      <c r="H71">
        <v>0.58294999999999997</v>
      </c>
      <c r="I71">
        <v>0.46234999999999998</v>
      </c>
      <c r="J71">
        <v>7.3959999999999998E-2</v>
      </c>
      <c r="K71">
        <v>0.25296000000000002</v>
      </c>
    </row>
    <row r="72" spans="1:11" x14ac:dyDescent="0.25">
      <c r="A72">
        <v>2016</v>
      </c>
      <c r="B72" t="s">
        <v>99</v>
      </c>
      <c r="C72" t="s">
        <v>41</v>
      </c>
      <c r="D72">
        <v>71</v>
      </c>
      <c r="E72">
        <v>5.5279999999999996</v>
      </c>
      <c r="F72">
        <v>1.1697</v>
      </c>
      <c r="G72">
        <v>0.72802999999999995</v>
      </c>
      <c r="H72">
        <v>0.67601999999999995</v>
      </c>
      <c r="I72">
        <v>0.36712</v>
      </c>
      <c r="J72">
        <v>6.79E-3</v>
      </c>
      <c r="K72">
        <v>0.12889</v>
      </c>
    </row>
    <row r="73" spans="1:11" x14ac:dyDescent="0.25">
      <c r="A73">
        <v>2016</v>
      </c>
      <c r="B73" t="s">
        <v>85</v>
      </c>
      <c r="C73" t="s">
        <v>41</v>
      </c>
      <c r="D73">
        <v>72</v>
      </c>
      <c r="E73">
        <v>5.5170000000000003</v>
      </c>
      <c r="F73">
        <v>1.2796400000000001</v>
      </c>
      <c r="G73">
        <v>1.0516300000000001</v>
      </c>
      <c r="H73">
        <v>0.68098000000000003</v>
      </c>
      <c r="I73">
        <v>0.41510999999999998</v>
      </c>
      <c r="J73">
        <v>0.18518999999999999</v>
      </c>
      <c r="K73">
        <v>8.4229999999999999E-2</v>
      </c>
    </row>
    <row r="74" spans="1:11" x14ac:dyDescent="0.25">
      <c r="A74">
        <v>2016</v>
      </c>
      <c r="B74" t="s">
        <v>76</v>
      </c>
      <c r="C74" t="s">
        <v>20</v>
      </c>
      <c r="D74">
        <v>73</v>
      </c>
      <c r="E74">
        <v>5.51</v>
      </c>
      <c r="F74">
        <v>0.89332999999999996</v>
      </c>
      <c r="G74">
        <v>0.96372000000000002</v>
      </c>
      <c r="H74">
        <v>0.59469000000000005</v>
      </c>
      <c r="I74">
        <v>0.43597000000000002</v>
      </c>
      <c r="J74">
        <v>4.2939999999999999E-2</v>
      </c>
      <c r="K74">
        <v>0.22245000000000001</v>
      </c>
    </row>
    <row r="75" spans="1:11" x14ac:dyDescent="0.25">
      <c r="A75">
        <v>2016</v>
      </c>
      <c r="B75" t="s">
        <v>73</v>
      </c>
      <c r="C75" t="s">
        <v>41</v>
      </c>
      <c r="D75">
        <v>74</v>
      </c>
      <c r="E75">
        <v>5.4880000000000004</v>
      </c>
      <c r="F75">
        <v>1.18649</v>
      </c>
      <c r="G75">
        <v>0.60809000000000002</v>
      </c>
      <c r="H75">
        <v>0.70523999999999998</v>
      </c>
      <c r="I75">
        <v>0.23907</v>
      </c>
      <c r="J75">
        <v>4.002E-2</v>
      </c>
      <c r="K75">
        <v>0.18434</v>
      </c>
    </row>
    <row r="76" spans="1:11" x14ac:dyDescent="0.25">
      <c r="A76">
        <v>2016</v>
      </c>
      <c r="B76" t="s">
        <v>84</v>
      </c>
      <c r="C76" t="s">
        <v>49</v>
      </c>
      <c r="D76">
        <v>75</v>
      </c>
      <c r="E76">
        <v>5.4580000000000002</v>
      </c>
      <c r="F76">
        <v>1.5106999999999999</v>
      </c>
      <c r="G76">
        <v>0.87021000000000004</v>
      </c>
      <c r="H76">
        <v>0.95277000000000001</v>
      </c>
      <c r="I76">
        <v>0.48079</v>
      </c>
      <c r="J76">
        <v>0.31646999999999997</v>
      </c>
      <c r="K76">
        <v>0.40096999999999999</v>
      </c>
    </row>
    <row r="77" spans="1:11" x14ac:dyDescent="0.25">
      <c r="A77">
        <v>2016</v>
      </c>
      <c r="B77" t="s">
        <v>175</v>
      </c>
      <c r="C77" t="s">
        <v>83</v>
      </c>
      <c r="D77">
        <v>76</v>
      </c>
      <c r="E77">
        <v>5.44</v>
      </c>
      <c r="F77">
        <v>0</v>
      </c>
      <c r="G77">
        <v>0.33612999999999998</v>
      </c>
      <c r="H77">
        <v>0.11466</v>
      </c>
      <c r="I77">
        <v>0.56777999999999995</v>
      </c>
      <c r="J77">
        <v>0.31180000000000002</v>
      </c>
      <c r="K77">
        <v>0.27224999999999999</v>
      </c>
    </row>
    <row r="78" spans="1:11" x14ac:dyDescent="0.25">
      <c r="A78">
        <v>2016</v>
      </c>
      <c r="B78" t="s">
        <v>80</v>
      </c>
      <c r="C78" t="s">
        <v>41</v>
      </c>
      <c r="D78">
        <v>77</v>
      </c>
      <c r="E78">
        <v>5.4009999999999998</v>
      </c>
      <c r="F78">
        <v>0.90144999999999997</v>
      </c>
      <c r="G78">
        <v>0.66061999999999999</v>
      </c>
      <c r="H78">
        <v>0.54</v>
      </c>
      <c r="I78">
        <v>0.14396</v>
      </c>
      <c r="J78">
        <v>6.547E-2</v>
      </c>
      <c r="K78">
        <v>0.27992</v>
      </c>
    </row>
    <row r="79" spans="1:11" x14ac:dyDescent="0.25">
      <c r="A79">
        <v>2016</v>
      </c>
      <c r="B79" t="s">
        <v>88</v>
      </c>
      <c r="C79" t="s">
        <v>18</v>
      </c>
      <c r="D79">
        <v>78</v>
      </c>
      <c r="E79">
        <v>5.3890000000000002</v>
      </c>
      <c r="F79">
        <v>1.16492</v>
      </c>
      <c r="G79">
        <v>0.87717000000000001</v>
      </c>
      <c r="H79">
        <v>0.64717999999999998</v>
      </c>
      <c r="I79">
        <v>0.23888999999999999</v>
      </c>
      <c r="J79">
        <v>0.12348000000000001</v>
      </c>
      <c r="K79">
        <v>4.7070000000000001E-2</v>
      </c>
    </row>
    <row r="80" spans="1:11" x14ac:dyDescent="0.25">
      <c r="A80">
        <v>2016</v>
      </c>
      <c r="B80" t="s">
        <v>86</v>
      </c>
      <c r="C80" t="s">
        <v>33</v>
      </c>
      <c r="D80">
        <v>79</v>
      </c>
      <c r="E80">
        <v>5.3140000000000001</v>
      </c>
      <c r="F80">
        <v>0.95104</v>
      </c>
      <c r="G80">
        <v>0.87624999999999997</v>
      </c>
      <c r="H80">
        <v>0.49374000000000001</v>
      </c>
      <c r="I80">
        <v>0.39237</v>
      </c>
      <c r="J80">
        <v>3.2200000000000002E-3</v>
      </c>
      <c r="K80">
        <v>0.56520999999999999</v>
      </c>
    </row>
    <row r="81" spans="1:11" x14ac:dyDescent="0.25">
      <c r="A81">
        <v>2016</v>
      </c>
      <c r="B81" t="s">
        <v>95</v>
      </c>
      <c r="C81" t="s">
        <v>18</v>
      </c>
      <c r="D81">
        <v>80</v>
      </c>
      <c r="E81">
        <v>5.3029999999999999</v>
      </c>
      <c r="F81">
        <v>0.99673</v>
      </c>
      <c r="G81">
        <v>0.86216000000000004</v>
      </c>
      <c r="H81">
        <v>0.60711999999999999</v>
      </c>
      <c r="I81">
        <v>0.36022999999999999</v>
      </c>
      <c r="J81">
        <v>0.13297</v>
      </c>
      <c r="K81">
        <v>0.14262</v>
      </c>
    </row>
    <row r="82" spans="1:11" x14ac:dyDescent="0.25">
      <c r="A82">
        <v>2016</v>
      </c>
      <c r="B82" t="s">
        <v>93</v>
      </c>
      <c r="C82" t="s">
        <v>41</v>
      </c>
      <c r="D82">
        <v>81</v>
      </c>
      <c r="E82">
        <v>5.2910000000000004</v>
      </c>
      <c r="F82">
        <v>1.1237299999999999</v>
      </c>
      <c r="G82">
        <v>0.76041999999999998</v>
      </c>
      <c r="H82">
        <v>0.54503999999999997</v>
      </c>
      <c r="I82">
        <v>0.35326999999999997</v>
      </c>
      <c r="J82">
        <v>0.17913999999999999</v>
      </c>
      <c r="K82">
        <v>5.6399999999999999E-2</v>
      </c>
    </row>
    <row r="83" spans="1:11" x14ac:dyDescent="0.25">
      <c r="A83">
        <v>2016</v>
      </c>
      <c r="B83" t="s">
        <v>103</v>
      </c>
      <c r="C83" t="s">
        <v>33</v>
      </c>
      <c r="D83">
        <v>82</v>
      </c>
      <c r="E83">
        <v>5.2789999999999999</v>
      </c>
      <c r="F83">
        <v>0.81216999999999995</v>
      </c>
      <c r="G83">
        <v>0.87877000000000005</v>
      </c>
      <c r="H83">
        <v>0.47036</v>
      </c>
      <c r="I83">
        <v>0.54854000000000003</v>
      </c>
      <c r="J83">
        <v>0.11756999999999999</v>
      </c>
      <c r="K83">
        <v>0.21673999999999999</v>
      </c>
    </row>
    <row r="84" spans="1:11" x14ac:dyDescent="0.25">
      <c r="A84">
        <v>2016</v>
      </c>
      <c r="B84" t="s">
        <v>97</v>
      </c>
      <c r="C84" t="s">
        <v>49</v>
      </c>
      <c r="D84">
        <v>83</v>
      </c>
      <c r="E84">
        <v>5.2450000000000001</v>
      </c>
      <c r="F84">
        <v>1.0278</v>
      </c>
      <c r="G84">
        <v>0.79381000000000002</v>
      </c>
      <c r="H84">
        <v>0.73560999999999999</v>
      </c>
      <c r="I84">
        <v>0.44012000000000001</v>
      </c>
      <c r="J84">
        <v>2.7449999999999999E-2</v>
      </c>
      <c r="K84">
        <v>4.9590000000000002E-2</v>
      </c>
    </row>
    <row r="85" spans="1:11" x14ac:dyDescent="0.25">
      <c r="A85">
        <v>2016</v>
      </c>
      <c r="B85" t="s">
        <v>91</v>
      </c>
      <c r="C85" t="s">
        <v>92</v>
      </c>
      <c r="D85">
        <v>84</v>
      </c>
      <c r="E85">
        <v>5.1959999999999997</v>
      </c>
      <c r="F85">
        <v>0.85270000000000001</v>
      </c>
      <c r="G85">
        <v>0.90835999999999995</v>
      </c>
      <c r="H85">
        <v>0.49758999999999998</v>
      </c>
      <c r="I85">
        <v>0.46073999999999998</v>
      </c>
      <c r="J85">
        <v>0.16159999999999999</v>
      </c>
      <c r="K85">
        <v>0.48546</v>
      </c>
    </row>
    <row r="86" spans="1:11" x14ac:dyDescent="0.25">
      <c r="A86">
        <v>2016</v>
      </c>
      <c r="B86" t="s">
        <v>89</v>
      </c>
      <c r="C86" t="s">
        <v>41</v>
      </c>
      <c r="D86">
        <v>85</v>
      </c>
      <c r="E86">
        <v>5.1849999999999996</v>
      </c>
      <c r="F86">
        <v>0.56044000000000005</v>
      </c>
      <c r="G86">
        <v>0.95433999999999997</v>
      </c>
      <c r="H86">
        <v>0.55449000000000004</v>
      </c>
      <c r="I86">
        <v>0.40211999999999998</v>
      </c>
      <c r="J86">
        <v>4.7620000000000003E-2</v>
      </c>
      <c r="K86">
        <v>0.38431999999999999</v>
      </c>
    </row>
    <row r="87" spans="1:11" x14ac:dyDescent="0.25">
      <c r="A87">
        <v>2016</v>
      </c>
      <c r="B87" t="s">
        <v>100</v>
      </c>
      <c r="C87" t="s">
        <v>41</v>
      </c>
      <c r="D87">
        <v>86</v>
      </c>
      <c r="E87">
        <v>5.1769999999999996</v>
      </c>
      <c r="F87">
        <v>1.03437</v>
      </c>
      <c r="G87">
        <v>0.81328999999999996</v>
      </c>
      <c r="H87">
        <v>0.64580000000000004</v>
      </c>
      <c r="I87">
        <v>0.15717999999999999</v>
      </c>
      <c r="J87">
        <v>4.3389999999999998E-2</v>
      </c>
      <c r="K87">
        <v>0.20737</v>
      </c>
    </row>
    <row r="88" spans="1:11" x14ac:dyDescent="0.25">
      <c r="A88">
        <v>2016</v>
      </c>
      <c r="B88" t="s">
        <v>109</v>
      </c>
      <c r="C88" t="s">
        <v>41</v>
      </c>
      <c r="D88">
        <v>87</v>
      </c>
      <c r="E88">
        <v>5.1630000000000003</v>
      </c>
      <c r="F88">
        <v>0.93383000000000005</v>
      </c>
      <c r="G88">
        <v>0.64366999999999996</v>
      </c>
      <c r="H88">
        <v>0.70765999999999996</v>
      </c>
      <c r="I88">
        <v>9.511E-2</v>
      </c>
      <c r="J88">
        <v>0</v>
      </c>
      <c r="K88">
        <v>0.29888999999999999</v>
      </c>
    </row>
    <row r="89" spans="1:11" x14ac:dyDescent="0.25">
      <c r="A89">
        <v>2016</v>
      </c>
      <c r="B89" t="s">
        <v>96</v>
      </c>
      <c r="C89" t="s">
        <v>41</v>
      </c>
      <c r="D89">
        <v>88</v>
      </c>
      <c r="E89">
        <v>5.1609999999999996</v>
      </c>
      <c r="F89">
        <v>1.0783799999999999</v>
      </c>
      <c r="G89">
        <v>0.74173</v>
      </c>
      <c r="H89">
        <v>0.63532999999999995</v>
      </c>
      <c r="I89">
        <v>0.15110999999999999</v>
      </c>
      <c r="J89">
        <v>0.12720999999999999</v>
      </c>
      <c r="K89">
        <v>0.17191000000000001</v>
      </c>
    </row>
    <row r="90" spans="1:11" x14ac:dyDescent="0.25">
      <c r="A90">
        <v>2016</v>
      </c>
      <c r="B90" t="s">
        <v>111</v>
      </c>
      <c r="C90" t="s">
        <v>20</v>
      </c>
      <c r="D90">
        <v>89</v>
      </c>
      <c r="E90">
        <v>5.1550000000000002</v>
      </c>
      <c r="F90">
        <v>1.0278700000000001</v>
      </c>
      <c r="G90">
        <v>0.99495999999999996</v>
      </c>
      <c r="H90">
        <v>0.57669000000000004</v>
      </c>
      <c r="I90">
        <v>0.52259</v>
      </c>
      <c r="J90">
        <v>0.12372</v>
      </c>
      <c r="K90">
        <v>0.21285999999999999</v>
      </c>
    </row>
    <row r="91" spans="1:11" x14ac:dyDescent="0.25">
      <c r="A91">
        <v>2016</v>
      </c>
      <c r="B91" t="s">
        <v>105</v>
      </c>
      <c r="C91" t="s">
        <v>18</v>
      </c>
      <c r="D91">
        <v>90</v>
      </c>
      <c r="E91">
        <v>5.1509999999999998</v>
      </c>
      <c r="F91">
        <v>0.84057999999999999</v>
      </c>
      <c r="G91">
        <v>0.38595000000000002</v>
      </c>
      <c r="H91">
        <v>0.59470999999999996</v>
      </c>
      <c r="I91">
        <v>0.25646000000000002</v>
      </c>
      <c r="J91">
        <v>8.4040000000000004E-2</v>
      </c>
      <c r="K91">
        <v>4.0529999999999997E-2</v>
      </c>
    </row>
    <row r="92" spans="1:11" x14ac:dyDescent="0.25">
      <c r="A92">
        <v>2016</v>
      </c>
      <c r="B92" t="s">
        <v>117</v>
      </c>
      <c r="C92" t="s">
        <v>41</v>
      </c>
      <c r="D92">
        <v>91</v>
      </c>
      <c r="E92">
        <v>5.1449999999999996</v>
      </c>
      <c r="F92">
        <v>1.24142</v>
      </c>
      <c r="G92">
        <v>0.93164000000000002</v>
      </c>
      <c r="H92">
        <v>0.67608000000000001</v>
      </c>
      <c r="I92">
        <v>0.19769999999999999</v>
      </c>
      <c r="J92">
        <v>4.4720000000000003E-2</v>
      </c>
      <c r="K92">
        <v>9.9000000000000005E-2</v>
      </c>
    </row>
    <row r="93" spans="1:11" x14ac:dyDescent="0.25">
      <c r="A93">
        <v>2016</v>
      </c>
      <c r="B93" t="s">
        <v>94</v>
      </c>
      <c r="C93" t="s">
        <v>92</v>
      </c>
      <c r="D93">
        <v>92</v>
      </c>
      <c r="E93">
        <v>5.1319999999999997</v>
      </c>
      <c r="F93">
        <v>0.68815999999999999</v>
      </c>
      <c r="G93">
        <v>0.26135000000000003</v>
      </c>
      <c r="H93">
        <v>0.40305999999999997</v>
      </c>
      <c r="I93">
        <v>0.14621999999999999</v>
      </c>
      <c r="J93">
        <v>0.13880000000000001</v>
      </c>
      <c r="K93">
        <v>0.31185000000000002</v>
      </c>
    </row>
    <row r="94" spans="1:11" x14ac:dyDescent="0.25">
      <c r="A94">
        <v>2016</v>
      </c>
      <c r="B94" t="s">
        <v>116</v>
      </c>
      <c r="C94" t="s">
        <v>18</v>
      </c>
      <c r="D94">
        <v>93</v>
      </c>
      <c r="E94">
        <v>5.1289999999999996</v>
      </c>
      <c r="F94">
        <v>1.1226799999999999</v>
      </c>
      <c r="G94">
        <v>0.64183999999999997</v>
      </c>
      <c r="H94">
        <v>0.76171</v>
      </c>
      <c r="I94">
        <v>0.26228000000000001</v>
      </c>
      <c r="J94">
        <v>3.0609999999999998E-2</v>
      </c>
      <c r="K94">
        <v>0.23693</v>
      </c>
    </row>
    <row r="95" spans="1:11" x14ac:dyDescent="0.25">
      <c r="A95">
        <v>2016</v>
      </c>
      <c r="B95" t="s">
        <v>101</v>
      </c>
      <c r="C95" t="s">
        <v>5</v>
      </c>
      <c r="D95">
        <v>94</v>
      </c>
      <c r="E95">
        <v>5.1230000000000002</v>
      </c>
      <c r="F95">
        <v>1.27607</v>
      </c>
      <c r="G95">
        <v>0.94367000000000001</v>
      </c>
      <c r="H95">
        <v>0.79362999999999995</v>
      </c>
      <c r="I95">
        <v>0.44727</v>
      </c>
      <c r="J95">
        <v>1.521E-2</v>
      </c>
      <c r="K95">
        <v>0.11691</v>
      </c>
    </row>
    <row r="96" spans="1:11" x14ac:dyDescent="0.25">
      <c r="A96">
        <v>2016</v>
      </c>
      <c r="B96" t="s">
        <v>106</v>
      </c>
      <c r="C96" t="s">
        <v>41</v>
      </c>
      <c r="D96">
        <v>95</v>
      </c>
      <c r="E96">
        <v>5.1210000000000004</v>
      </c>
      <c r="F96">
        <v>1.0193000000000001</v>
      </c>
      <c r="G96">
        <v>0.78236000000000006</v>
      </c>
      <c r="H96">
        <v>0.64737999999999996</v>
      </c>
      <c r="I96">
        <v>0.27667999999999998</v>
      </c>
      <c r="J96">
        <v>7.0470000000000005E-2</v>
      </c>
      <c r="K96">
        <v>0.23507</v>
      </c>
    </row>
    <row r="97" spans="1:11" x14ac:dyDescent="0.25">
      <c r="A97">
        <v>2016</v>
      </c>
      <c r="B97" t="s">
        <v>87</v>
      </c>
      <c r="C97" t="s">
        <v>33</v>
      </c>
      <c r="D97">
        <v>96</v>
      </c>
      <c r="E97">
        <v>5.0609999999999999</v>
      </c>
      <c r="F97">
        <v>0.74036999999999997</v>
      </c>
      <c r="G97">
        <v>0.79117000000000004</v>
      </c>
      <c r="H97">
        <v>0.66156999999999999</v>
      </c>
      <c r="I97">
        <v>0.55954000000000004</v>
      </c>
      <c r="J97">
        <v>0.11556</v>
      </c>
      <c r="K97">
        <v>0.25074999999999997</v>
      </c>
    </row>
    <row r="98" spans="1:11" x14ac:dyDescent="0.25">
      <c r="A98">
        <v>2016</v>
      </c>
      <c r="B98" t="s">
        <v>176</v>
      </c>
      <c r="C98" t="s">
        <v>83</v>
      </c>
      <c r="D98">
        <v>97</v>
      </c>
      <c r="E98">
        <v>5.0570000000000004</v>
      </c>
      <c r="F98">
        <v>0.25557999999999997</v>
      </c>
      <c r="G98">
        <v>0.75861999999999996</v>
      </c>
      <c r="H98">
        <v>0.33107999999999999</v>
      </c>
      <c r="I98">
        <v>0.39129999999999998</v>
      </c>
      <c r="J98">
        <v>0.36793999999999999</v>
      </c>
      <c r="K98">
        <v>0.51478999999999997</v>
      </c>
    </row>
    <row r="99" spans="1:11" x14ac:dyDescent="0.25">
      <c r="A99">
        <v>2016</v>
      </c>
      <c r="B99" t="s">
        <v>120</v>
      </c>
      <c r="C99" t="s">
        <v>18</v>
      </c>
      <c r="D99">
        <v>98</v>
      </c>
      <c r="E99">
        <v>5.0449999999999999</v>
      </c>
      <c r="F99">
        <v>0.97724</v>
      </c>
      <c r="G99">
        <v>0.43164999999999998</v>
      </c>
      <c r="H99">
        <v>0.59577000000000002</v>
      </c>
      <c r="I99">
        <v>0.23552999999999999</v>
      </c>
      <c r="J99">
        <v>8.1699999999999995E-2</v>
      </c>
      <c r="K99">
        <v>3.9359999999999999E-2</v>
      </c>
    </row>
    <row r="100" spans="1:11" x14ac:dyDescent="0.25">
      <c r="A100">
        <v>2016</v>
      </c>
      <c r="B100" t="s">
        <v>115</v>
      </c>
      <c r="C100" t="s">
        <v>5</v>
      </c>
      <c r="D100">
        <v>99</v>
      </c>
      <c r="E100">
        <v>5.0330000000000004</v>
      </c>
      <c r="F100">
        <v>1.2488600000000001</v>
      </c>
      <c r="G100">
        <v>0.75473000000000001</v>
      </c>
      <c r="H100">
        <v>0.80028999999999995</v>
      </c>
      <c r="I100">
        <v>5.8220000000000001E-2</v>
      </c>
      <c r="J100">
        <v>4.1270000000000001E-2</v>
      </c>
      <c r="K100">
        <v>0</v>
      </c>
    </row>
    <row r="101" spans="1:11" x14ac:dyDescent="0.25">
      <c r="A101">
        <v>2016</v>
      </c>
      <c r="B101" t="s">
        <v>119</v>
      </c>
      <c r="C101" t="s">
        <v>41</v>
      </c>
      <c r="D101">
        <v>100</v>
      </c>
      <c r="E101">
        <v>4.9960000000000004</v>
      </c>
      <c r="F101">
        <v>0.48835000000000001</v>
      </c>
      <c r="G101">
        <v>0.75602000000000003</v>
      </c>
      <c r="H101">
        <v>0.53119000000000005</v>
      </c>
      <c r="I101">
        <v>0.43408000000000002</v>
      </c>
      <c r="J101">
        <v>0.13508999999999999</v>
      </c>
      <c r="K101">
        <v>0.25997999999999999</v>
      </c>
    </row>
    <row r="102" spans="1:11" x14ac:dyDescent="0.25">
      <c r="A102">
        <v>2016</v>
      </c>
      <c r="B102" t="s">
        <v>113</v>
      </c>
      <c r="C102" t="s">
        <v>49</v>
      </c>
      <c r="D102">
        <v>101</v>
      </c>
      <c r="E102">
        <v>4.907</v>
      </c>
      <c r="F102">
        <v>0.98853000000000002</v>
      </c>
      <c r="G102">
        <v>1.0898300000000001</v>
      </c>
      <c r="H102">
        <v>0.55469000000000002</v>
      </c>
      <c r="I102">
        <v>0.35971999999999998</v>
      </c>
      <c r="J102">
        <v>3.2849999999999997E-2</v>
      </c>
      <c r="K102">
        <v>0.34538999999999997</v>
      </c>
    </row>
    <row r="103" spans="1:11" x14ac:dyDescent="0.25">
      <c r="A103">
        <v>2016</v>
      </c>
      <c r="B103" t="s">
        <v>112</v>
      </c>
      <c r="C103" t="s">
        <v>33</v>
      </c>
      <c r="D103">
        <v>102</v>
      </c>
      <c r="E103">
        <v>4.8760000000000003</v>
      </c>
      <c r="F103">
        <v>0.68042000000000002</v>
      </c>
      <c r="G103">
        <v>0.54969999999999997</v>
      </c>
      <c r="H103">
        <v>0.38290999999999997</v>
      </c>
      <c r="I103">
        <v>0.52168000000000003</v>
      </c>
      <c r="J103">
        <v>0.22423000000000001</v>
      </c>
      <c r="K103">
        <v>0.43079000000000001</v>
      </c>
    </row>
    <row r="104" spans="1:11" x14ac:dyDescent="0.25">
      <c r="A104">
        <v>2016</v>
      </c>
      <c r="B104" t="s">
        <v>90</v>
      </c>
      <c r="C104" t="s">
        <v>83</v>
      </c>
      <c r="D104">
        <v>103</v>
      </c>
      <c r="E104">
        <v>4.875</v>
      </c>
      <c r="F104">
        <v>0.75216000000000005</v>
      </c>
      <c r="G104">
        <v>0.64498</v>
      </c>
      <c r="H104">
        <v>5.108E-2</v>
      </c>
      <c r="I104">
        <v>0.27854000000000001</v>
      </c>
      <c r="J104">
        <v>3.0499999999999999E-2</v>
      </c>
      <c r="K104">
        <v>0.23219000000000001</v>
      </c>
    </row>
    <row r="105" spans="1:11" x14ac:dyDescent="0.25">
      <c r="A105">
        <v>2016</v>
      </c>
      <c r="B105" t="s">
        <v>118</v>
      </c>
      <c r="C105" t="s">
        <v>20</v>
      </c>
      <c r="D105">
        <v>104</v>
      </c>
      <c r="E105">
        <v>4.8710000000000004</v>
      </c>
      <c r="F105">
        <v>0.69428999999999996</v>
      </c>
      <c r="G105">
        <v>0.75595999999999997</v>
      </c>
      <c r="H105">
        <v>0.58382999999999996</v>
      </c>
      <c r="I105">
        <v>0.26755000000000001</v>
      </c>
      <c r="J105">
        <v>6.9059999999999996E-2</v>
      </c>
      <c r="K105">
        <v>0.2044</v>
      </c>
    </row>
    <row r="106" spans="1:11" x14ac:dyDescent="0.25">
      <c r="A106">
        <v>2016</v>
      </c>
      <c r="B106" t="s">
        <v>123</v>
      </c>
      <c r="C106" t="s">
        <v>18</v>
      </c>
      <c r="D106">
        <v>105</v>
      </c>
      <c r="E106">
        <v>4.8129999999999997</v>
      </c>
      <c r="F106">
        <v>1.11758</v>
      </c>
      <c r="G106">
        <v>0.38857000000000003</v>
      </c>
      <c r="H106">
        <v>0.64232</v>
      </c>
      <c r="I106">
        <v>0.22544</v>
      </c>
      <c r="J106">
        <v>5.57E-2</v>
      </c>
      <c r="K106">
        <v>0.38538</v>
      </c>
    </row>
    <row r="107" spans="1:11" x14ac:dyDescent="0.25">
      <c r="A107">
        <v>2016</v>
      </c>
      <c r="B107" t="s">
        <v>98</v>
      </c>
      <c r="C107" t="s">
        <v>83</v>
      </c>
      <c r="D107">
        <v>106</v>
      </c>
      <c r="E107">
        <v>4.7949999999999999</v>
      </c>
      <c r="F107">
        <v>0.61202000000000001</v>
      </c>
      <c r="G107">
        <v>0.63759999999999994</v>
      </c>
      <c r="H107">
        <v>0.23573</v>
      </c>
      <c r="I107">
        <v>0.42662</v>
      </c>
      <c r="J107">
        <v>0.11479</v>
      </c>
      <c r="K107">
        <v>0.17866000000000001</v>
      </c>
    </row>
    <row r="108" spans="1:11" x14ac:dyDescent="0.25">
      <c r="A108">
        <v>2016</v>
      </c>
      <c r="B108" t="s">
        <v>134</v>
      </c>
      <c r="C108" t="s">
        <v>92</v>
      </c>
      <c r="D108">
        <v>107</v>
      </c>
      <c r="E108">
        <v>4.7930000000000001</v>
      </c>
      <c r="F108">
        <v>0.44625999999999999</v>
      </c>
      <c r="G108">
        <v>0.69699</v>
      </c>
      <c r="H108">
        <v>0.50073000000000001</v>
      </c>
      <c r="I108">
        <v>0.37012</v>
      </c>
      <c r="J108">
        <v>7.0080000000000003E-2</v>
      </c>
      <c r="K108">
        <v>0.38159999999999999</v>
      </c>
    </row>
    <row r="109" spans="1:11" x14ac:dyDescent="0.25">
      <c r="A109">
        <v>2016</v>
      </c>
      <c r="B109" t="s">
        <v>121</v>
      </c>
      <c r="C109" t="s">
        <v>18</v>
      </c>
      <c r="D109">
        <v>108</v>
      </c>
      <c r="E109">
        <v>4.7539999999999996</v>
      </c>
      <c r="F109">
        <v>0.67023999999999995</v>
      </c>
      <c r="G109">
        <v>0.71628999999999998</v>
      </c>
      <c r="H109">
        <v>0.56843999999999995</v>
      </c>
      <c r="I109">
        <v>0.17743999999999999</v>
      </c>
      <c r="J109">
        <v>0.10613</v>
      </c>
      <c r="K109">
        <v>0.11154</v>
      </c>
    </row>
    <row r="110" spans="1:11" x14ac:dyDescent="0.25">
      <c r="A110">
        <v>2016</v>
      </c>
      <c r="B110" t="s">
        <v>108</v>
      </c>
      <c r="C110" t="s">
        <v>41</v>
      </c>
      <c r="D110">
        <v>109</v>
      </c>
      <c r="E110">
        <v>4.6550000000000002</v>
      </c>
      <c r="F110">
        <v>0.95530000000000004</v>
      </c>
      <c r="G110">
        <v>0.50163000000000002</v>
      </c>
      <c r="H110">
        <v>0.73007</v>
      </c>
      <c r="I110">
        <v>0.31866</v>
      </c>
      <c r="J110">
        <v>5.3010000000000002E-2</v>
      </c>
      <c r="K110">
        <v>0.16839999999999999</v>
      </c>
    </row>
    <row r="111" spans="1:11" x14ac:dyDescent="0.25">
      <c r="A111">
        <v>2016</v>
      </c>
      <c r="B111" t="s">
        <v>122</v>
      </c>
      <c r="C111" t="s">
        <v>92</v>
      </c>
      <c r="D111">
        <v>110</v>
      </c>
      <c r="E111">
        <v>4.6429999999999998</v>
      </c>
      <c r="F111">
        <v>0.54176999999999997</v>
      </c>
      <c r="G111">
        <v>0.24748999999999999</v>
      </c>
      <c r="H111">
        <v>0.52988999999999997</v>
      </c>
      <c r="I111">
        <v>0.39778000000000002</v>
      </c>
      <c r="J111">
        <v>0.12583</v>
      </c>
      <c r="K111">
        <v>0.19131999999999999</v>
      </c>
    </row>
    <row r="112" spans="1:11" x14ac:dyDescent="0.25">
      <c r="A112">
        <v>2016</v>
      </c>
      <c r="B112" t="s">
        <v>136</v>
      </c>
      <c r="C112" t="s">
        <v>83</v>
      </c>
      <c r="D112">
        <v>111</v>
      </c>
      <c r="E112">
        <v>4.6349999999999998</v>
      </c>
      <c r="F112">
        <v>0.36485000000000001</v>
      </c>
      <c r="G112">
        <v>0.628</v>
      </c>
      <c r="H112">
        <v>0</v>
      </c>
      <c r="I112">
        <v>0.30685000000000001</v>
      </c>
      <c r="J112">
        <v>8.1960000000000005E-2</v>
      </c>
      <c r="K112">
        <v>0.23896999999999999</v>
      </c>
    </row>
    <row r="113" spans="1:11" x14ac:dyDescent="0.25">
      <c r="A113">
        <v>2016</v>
      </c>
      <c r="B113" t="s">
        <v>125</v>
      </c>
      <c r="C113" t="s">
        <v>18</v>
      </c>
      <c r="D113">
        <v>112</v>
      </c>
      <c r="E113">
        <v>4.5750000000000002</v>
      </c>
      <c r="F113">
        <v>1.07474</v>
      </c>
      <c r="G113">
        <v>0.59204999999999997</v>
      </c>
      <c r="H113">
        <v>0.51075999999999999</v>
      </c>
      <c r="I113">
        <v>0.24856</v>
      </c>
      <c r="J113">
        <v>0.13636000000000001</v>
      </c>
      <c r="K113">
        <v>0.19589000000000001</v>
      </c>
    </row>
    <row r="114" spans="1:11" x14ac:dyDescent="0.25">
      <c r="A114">
        <v>2016</v>
      </c>
      <c r="B114" t="s">
        <v>177</v>
      </c>
      <c r="C114" t="s">
        <v>83</v>
      </c>
      <c r="D114">
        <v>113</v>
      </c>
      <c r="E114">
        <v>4.5739999999999998</v>
      </c>
      <c r="F114">
        <v>0.93286999999999998</v>
      </c>
      <c r="G114">
        <v>0.70362000000000002</v>
      </c>
      <c r="H114">
        <v>0.34744999999999998</v>
      </c>
      <c r="I114">
        <v>0.48614000000000002</v>
      </c>
      <c r="J114">
        <v>0.10398</v>
      </c>
      <c r="K114">
        <v>7.7950000000000005E-2</v>
      </c>
    </row>
    <row r="115" spans="1:11" x14ac:dyDescent="0.25">
      <c r="A115">
        <v>2016</v>
      </c>
      <c r="B115" t="s">
        <v>146</v>
      </c>
      <c r="C115" t="s">
        <v>83</v>
      </c>
      <c r="D115">
        <v>114</v>
      </c>
      <c r="E115">
        <v>4.5129999999999999</v>
      </c>
      <c r="F115">
        <v>0.52497000000000005</v>
      </c>
      <c r="G115">
        <v>0.62541999999999998</v>
      </c>
      <c r="H115">
        <v>0.12698000000000001</v>
      </c>
      <c r="I115">
        <v>0.42736000000000002</v>
      </c>
      <c r="J115">
        <v>6.1260000000000002E-2</v>
      </c>
      <c r="K115">
        <v>0.2268</v>
      </c>
    </row>
    <row r="116" spans="1:11" x14ac:dyDescent="0.25">
      <c r="A116">
        <v>2016</v>
      </c>
      <c r="B116" t="s">
        <v>135</v>
      </c>
      <c r="C116" t="s">
        <v>83</v>
      </c>
      <c r="D116">
        <v>115</v>
      </c>
      <c r="E116">
        <v>4.508</v>
      </c>
      <c r="F116">
        <v>0.29282999999999998</v>
      </c>
      <c r="G116">
        <v>0.37931999999999999</v>
      </c>
      <c r="H116">
        <v>0.34577999999999998</v>
      </c>
      <c r="I116">
        <v>0.36703000000000002</v>
      </c>
      <c r="J116">
        <v>0.17169999999999999</v>
      </c>
      <c r="K116">
        <v>0.29521999999999998</v>
      </c>
    </row>
    <row r="117" spans="1:11" x14ac:dyDescent="0.25">
      <c r="A117">
        <v>2016</v>
      </c>
      <c r="B117" t="s">
        <v>126</v>
      </c>
      <c r="C117" t="s">
        <v>83</v>
      </c>
      <c r="D117">
        <v>116</v>
      </c>
      <c r="E117">
        <v>4.4589999999999996</v>
      </c>
      <c r="F117">
        <v>1.02416</v>
      </c>
      <c r="G117">
        <v>0.96052999999999999</v>
      </c>
      <c r="H117">
        <v>0.18611</v>
      </c>
      <c r="I117">
        <v>0.42482999999999999</v>
      </c>
      <c r="J117">
        <v>8.4150000000000003E-2</v>
      </c>
      <c r="K117">
        <v>0.13655999999999999</v>
      </c>
    </row>
    <row r="118" spans="1:11" x14ac:dyDescent="0.25">
      <c r="A118">
        <v>2016</v>
      </c>
      <c r="B118" t="s">
        <v>145</v>
      </c>
      <c r="C118" t="s">
        <v>92</v>
      </c>
      <c r="D118">
        <v>117</v>
      </c>
      <c r="E118">
        <v>4.415</v>
      </c>
      <c r="F118">
        <v>0.97318000000000005</v>
      </c>
      <c r="G118">
        <v>0.84782999999999997</v>
      </c>
      <c r="H118">
        <v>0.62007000000000001</v>
      </c>
      <c r="I118">
        <v>0.50817000000000001</v>
      </c>
      <c r="J118">
        <v>7.9640000000000002E-2</v>
      </c>
      <c r="K118">
        <v>0.46977999999999998</v>
      </c>
    </row>
    <row r="119" spans="1:11" x14ac:dyDescent="0.25">
      <c r="A119">
        <v>2016</v>
      </c>
      <c r="B119" t="s">
        <v>130</v>
      </c>
      <c r="C119" t="s">
        <v>92</v>
      </c>
      <c r="D119">
        <v>118</v>
      </c>
      <c r="E119">
        <v>4.4039999999999999</v>
      </c>
      <c r="F119">
        <v>0.74036000000000002</v>
      </c>
      <c r="G119">
        <v>0.29247000000000001</v>
      </c>
      <c r="H119">
        <v>0.45090999999999998</v>
      </c>
      <c r="I119">
        <v>0.40284999999999999</v>
      </c>
      <c r="J119">
        <v>8.7220000000000006E-2</v>
      </c>
      <c r="K119">
        <v>0.25028</v>
      </c>
    </row>
    <row r="120" spans="1:11" x14ac:dyDescent="0.25">
      <c r="A120">
        <v>2016</v>
      </c>
      <c r="B120" t="s">
        <v>142</v>
      </c>
      <c r="C120" t="s">
        <v>33</v>
      </c>
      <c r="D120">
        <v>119</v>
      </c>
      <c r="E120">
        <v>4.3949999999999996</v>
      </c>
      <c r="F120">
        <v>0.34111999999999998</v>
      </c>
      <c r="G120">
        <v>0.69981000000000004</v>
      </c>
      <c r="H120">
        <v>0.39879999999999999</v>
      </c>
      <c r="I120">
        <v>0.42692000000000002</v>
      </c>
      <c r="J120">
        <v>0.20243</v>
      </c>
      <c r="K120">
        <v>0.81971000000000005</v>
      </c>
    </row>
    <row r="121" spans="1:11" x14ac:dyDescent="0.25">
      <c r="A121">
        <v>2016</v>
      </c>
      <c r="B121" t="s">
        <v>148</v>
      </c>
      <c r="C121" t="s">
        <v>18</v>
      </c>
      <c r="D121">
        <v>120</v>
      </c>
      <c r="E121">
        <v>4.3620000000000001</v>
      </c>
      <c r="F121">
        <v>0.95394999999999996</v>
      </c>
      <c r="G121">
        <v>0.49813000000000002</v>
      </c>
      <c r="H121">
        <v>0.52115999999999996</v>
      </c>
      <c r="I121">
        <v>0.18847</v>
      </c>
      <c r="J121">
        <v>0.10392999999999999</v>
      </c>
      <c r="K121">
        <v>0.12706000000000001</v>
      </c>
    </row>
    <row r="122" spans="1:11" x14ac:dyDescent="0.25">
      <c r="A122">
        <v>2016</v>
      </c>
      <c r="B122" t="s">
        <v>140</v>
      </c>
      <c r="C122" t="s">
        <v>41</v>
      </c>
      <c r="D122">
        <v>121</v>
      </c>
      <c r="E122">
        <v>4.3600000000000003</v>
      </c>
      <c r="F122">
        <v>0.86085999999999996</v>
      </c>
      <c r="G122">
        <v>0.62477000000000005</v>
      </c>
      <c r="H122">
        <v>0.64083000000000001</v>
      </c>
      <c r="I122">
        <v>0.14036999999999999</v>
      </c>
      <c r="J122">
        <v>3.6159999999999998E-2</v>
      </c>
      <c r="K122">
        <v>7.7929999999999999E-2</v>
      </c>
    </row>
    <row r="123" spans="1:11" x14ac:dyDescent="0.25">
      <c r="A123">
        <v>2016</v>
      </c>
      <c r="B123" t="s">
        <v>138</v>
      </c>
      <c r="C123" t="s">
        <v>83</v>
      </c>
      <c r="D123">
        <v>122</v>
      </c>
      <c r="E123">
        <v>4.3559999999999999</v>
      </c>
      <c r="F123">
        <v>0.52266999999999997</v>
      </c>
      <c r="G123">
        <v>0.76239999999999997</v>
      </c>
      <c r="H123">
        <v>0.30147000000000002</v>
      </c>
      <c r="I123">
        <v>0.40576000000000001</v>
      </c>
      <c r="J123">
        <v>6.6860000000000003E-2</v>
      </c>
      <c r="K123">
        <v>0.41327999999999998</v>
      </c>
    </row>
    <row r="124" spans="1:11" x14ac:dyDescent="0.25">
      <c r="A124">
        <v>2016</v>
      </c>
      <c r="B124" t="s">
        <v>124</v>
      </c>
      <c r="C124" t="s">
        <v>41</v>
      </c>
      <c r="D124">
        <v>123</v>
      </c>
      <c r="E124">
        <v>4.3239999999999998</v>
      </c>
      <c r="F124">
        <v>0.87287000000000003</v>
      </c>
      <c r="G124">
        <v>1.01413</v>
      </c>
      <c r="H124">
        <v>0.58628000000000002</v>
      </c>
      <c r="I124">
        <v>0.12859000000000001</v>
      </c>
      <c r="J124">
        <v>1.8290000000000001E-2</v>
      </c>
      <c r="K124">
        <v>0.20363000000000001</v>
      </c>
    </row>
    <row r="125" spans="1:11" x14ac:dyDescent="0.25">
      <c r="A125">
        <v>2016</v>
      </c>
      <c r="B125" t="s">
        <v>127</v>
      </c>
      <c r="C125" t="s">
        <v>83</v>
      </c>
      <c r="D125">
        <v>124</v>
      </c>
      <c r="E125">
        <v>4.2759999999999998</v>
      </c>
      <c r="F125">
        <v>0.63107000000000002</v>
      </c>
      <c r="G125">
        <v>0.49353000000000002</v>
      </c>
      <c r="H125">
        <v>0.29681000000000002</v>
      </c>
      <c r="I125">
        <v>0.40972999999999998</v>
      </c>
      <c r="J125">
        <v>3.2599999999999997E-2</v>
      </c>
      <c r="K125">
        <v>0.21203</v>
      </c>
    </row>
    <row r="126" spans="1:11" x14ac:dyDescent="0.25">
      <c r="A126">
        <v>2016</v>
      </c>
      <c r="B126" t="s">
        <v>133</v>
      </c>
      <c r="C126" t="s">
        <v>83</v>
      </c>
      <c r="D126">
        <v>125</v>
      </c>
      <c r="E126">
        <v>4.2720000000000002</v>
      </c>
      <c r="F126">
        <v>5.6610000000000001E-2</v>
      </c>
      <c r="G126">
        <v>0.80676000000000003</v>
      </c>
      <c r="H126">
        <v>0.188</v>
      </c>
      <c r="I126">
        <v>0.15601999999999999</v>
      </c>
      <c r="J126">
        <v>6.0749999999999998E-2</v>
      </c>
      <c r="K126">
        <v>0.25457999999999997</v>
      </c>
    </row>
    <row r="127" spans="1:11" x14ac:dyDescent="0.25">
      <c r="A127">
        <v>2016</v>
      </c>
      <c r="B127" t="s">
        <v>143</v>
      </c>
      <c r="C127" t="s">
        <v>41</v>
      </c>
      <c r="D127">
        <v>126</v>
      </c>
      <c r="E127">
        <v>4.2519999999999998</v>
      </c>
      <c r="F127">
        <v>0.83792</v>
      </c>
      <c r="G127">
        <v>0.19248999999999999</v>
      </c>
      <c r="H127">
        <v>0.64034999999999997</v>
      </c>
      <c r="I127">
        <v>0.32461000000000001</v>
      </c>
      <c r="J127">
        <v>0.31879999999999997</v>
      </c>
      <c r="K127">
        <v>6.7860000000000004E-2</v>
      </c>
    </row>
    <row r="128" spans="1:11" x14ac:dyDescent="0.25">
      <c r="A128">
        <v>2016</v>
      </c>
      <c r="B128" t="s">
        <v>152</v>
      </c>
      <c r="C128" t="s">
        <v>83</v>
      </c>
      <c r="D128">
        <v>127</v>
      </c>
      <c r="E128">
        <v>4.2359999999999998</v>
      </c>
      <c r="F128">
        <v>0.77109000000000005</v>
      </c>
      <c r="G128">
        <v>0.47799000000000003</v>
      </c>
      <c r="H128">
        <v>0.28211999999999998</v>
      </c>
      <c r="I128">
        <v>0.37938</v>
      </c>
      <c r="J128">
        <v>9.7530000000000006E-2</v>
      </c>
      <c r="K128">
        <v>0.12077</v>
      </c>
    </row>
    <row r="129" spans="1:11" x14ac:dyDescent="0.25">
      <c r="A129">
        <v>2016</v>
      </c>
      <c r="B129" t="s">
        <v>155</v>
      </c>
      <c r="C129" t="s">
        <v>83</v>
      </c>
      <c r="D129">
        <v>128</v>
      </c>
      <c r="E129">
        <v>4.2190000000000003</v>
      </c>
      <c r="F129">
        <v>0.44313999999999998</v>
      </c>
      <c r="G129">
        <v>0.77415999999999996</v>
      </c>
      <c r="H129">
        <v>0.40456999999999999</v>
      </c>
      <c r="I129">
        <v>0.31056</v>
      </c>
      <c r="J129">
        <v>0.11681</v>
      </c>
      <c r="K129">
        <v>0.19103000000000001</v>
      </c>
    </row>
    <row r="130" spans="1:11" x14ac:dyDescent="0.25">
      <c r="A130">
        <v>2016</v>
      </c>
      <c r="B130" t="s">
        <v>147</v>
      </c>
      <c r="C130" t="s">
        <v>41</v>
      </c>
      <c r="D130">
        <v>129</v>
      </c>
      <c r="E130">
        <v>4.2169999999999996</v>
      </c>
      <c r="F130">
        <v>1.1130599999999999</v>
      </c>
      <c r="G130">
        <v>0.92542000000000002</v>
      </c>
      <c r="H130">
        <v>0.67806</v>
      </c>
      <c r="I130">
        <v>0.21218999999999999</v>
      </c>
      <c r="J130">
        <v>6.1500000000000001E-3</v>
      </c>
      <c r="K130">
        <v>0.12792999999999999</v>
      </c>
    </row>
    <row r="131" spans="1:11" x14ac:dyDescent="0.25">
      <c r="A131">
        <v>2016</v>
      </c>
      <c r="B131" t="s">
        <v>137</v>
      </c>
      <c r="C131" t="s">
        <v>83</v>
      </c>
      <c r="D131">
        <v>130</v>
      </c>
      <c r="E131">
        <v>4.2009999999999996</v>
      </c>
      <c r="F131">
        <v>0.61390999999999996</v>
      </c>
      <c r="G131">
        <v>0.84141999999999995</v>
      </c>
      <c r="H131">
        <v>0.28638999999999998</v>
      </c>
      <c r="I131">
        <v>0.1268</v>
      </c>
      <c r="J131">
        <v>0.17954999999999999</v>
      </c>
      <c r="K131">
        <v>0.22686000000000001</v>
      </c>
    </row>
    <row r="132" spans="1:11" x14ac:dyDescent="0.25">
      <c r="A132">
        <v>2016</v>
      </c>
      <c r="B132" t="s">
        <v>128</v>
      </c>
      <c r="C132" t="s">
        <v>83</v>
      </c>
      <c r="D132">
        <v>131</v>
      </c>
      <c r="E132">
        <v>4.1929999999999996</v>
      </c>
      <c r="F132">
        <v>0.35041</v>
      </c>
      <c r="G132">
        <v>0.71477999999999997</v>
      </c>
      <c r="H132">
        <v>0.1595</v>
      </c>
      <c r="I132">
        <v>0.25429000000000002</v>
      </c>
      <c r="J132">
        <v>8.5819999999999994E-2</v>
      </c>
      <c r="K132">
        <v>0.18503</v>
      </c>
    </row>
    <row r="133" spans="1:11" x14ac:dyDescent="0.25">
      <c r="A133">
        <v>2016</v>
      </c>
      <c r="B133" t="s">
        <v>144</v>
      </c>
      <c r="C133" t="s">
        <v>83</v>
      </c>
      <c r="D133">
        <v>132</v>
      </c>
      <c r="E133">
        <v>4.1559999999999997</v>
      </c>
      <c r="F133">
        <v>8.7090000000000001E-2</v>
      </c>
      <c r="G133">
        <v>0.14699999999999999</v>
      </c>
      <c r="H133">
        <v>0.29364000000000001</v>
      </c>
      <c r="I133">
        <v>0.4143</v>
      </c>
      <c r="J133">
        <v>7.5639999999999999E-2</v>
      </c>
      <c r="K133">
        <v>0.30968000000000001</v>
      </c>
    </row>
    <row r="134" spans="1:11" x14ac:dyDescent="0.25">
      <c r="A134">
        <v>2016</v>
      </c>
      <c r="B134" t="s">
        <v>131</v>
      </c>
      <c r="C134" t="s">
        <v>83</v>
      </c>
      <c r="D134">
        <v>133</v>
      </c>
      <c r="E134">
        <v>4.1390000000000002</v>
      </c>
      <c r="F134">
        <v>0.63068999999999997</v>
      </c>
      <c r="G134">
        <v>0.81928000000000001</v>
      </c>
      <c r="H134">
        <v>0.29759000000000002</v>
      </c>
      <c r="I134">
        <v>0</v>
      </c>
      <c r="J134">
        <v>0.10038999999999999</v>
      </c>
      <c r="K134">
        <v>0.18076999999999999</v>
      </c>
    </row>
    <row r="135" spans="1:11" x14ac:dyDescent="0.25">
      <c r="A135">
        <v>2016</v>
      </c>
      <c r="B135" t="s">
        <v>156</v>
      </c>
      <c r="C135" t="s">
        <v>83</v>
      </c>
      <c r="D135">
        <v>134</v>
      </c>
      <c r="E135">
        <v>4.1210000000000004</v>
      </c>
      <c r="F135">
        <v>1.1585099999999999</v>
      </c>
      <c r="G135">
        <v>0.72367999999999999</v>
      </c>
      <c r="H135">
        <v>0.34939999999999999</v>
      </c>
      <c r="I135">
        <v>0.28098000000000001</v>
      </c>
      <c r="J135">
        <v>9.3140000000000001E-2</v>
      </c>
      <c r="K135">
        <v>6.2440000000000002E-2</v>
      </c>
    </row>
    <row r="136" spans="1:11" x14ac:dyDescent="0.25">
      <c r="A136">
        <v>2016</v>
      </c>
      <c r="B136" t="s">
        <v>151</v>
      </c>
      <c r="C136" t="s">
        <v>83</v>
      </c>
      <c r="D136">
        <v>135</v>
      </c>
      <c r="E136">
        <v>4.0730000000000004</v>
      </c>
      <c r="F136">
        <v>0.31291999999999998</v>
      </c>
      <c r="G136">
        <v>0.86333000000000004</v>
      </c>
      <c r="H136">
        <v>0.16347</v>
      </c>
      <c r="I136">
        <v>0.27544000000000002</v>
      </c>
      <c r="J136">
        <v>0.13647000000000001</v>
      </c>
      <c r="K136">
        <v>0.21063999999999999</v>
      </c>
    </row>
    <row r="137" spans="1:11" x14ac:dyDescent="0.25">
      <c r="A137">
        <v>2016</v>
      </c>
      <c r="B137" t="s">
        <v>132</v>
      </c>
      <c r="C137" t="s">
        <v>20</v>
      </c>
      <c r="D137">
        <v>136</v>
      </c>
      <c r="E137">
        <v>4.0279999999999996</v>
      </c>
      <c r="F137">
        <v>0.34097</v>
      </c>
      <c r="G137">
        <v>0.29560999999999998</v>
      </c>
      <c r="H137">
        <v>0.27494000000000002</v>
      </c>
      <c r="I137">
        <v>0.12071999999999999</v>
      </c>
      <c r="J137">
        <v>0.14476</v>
      </c>
      <c r="K137">
        <v>0.47958000000000001</v>
      </c>
    </row>
    <row r="138" spans="1:11" x14ac:dyDescent="0.25">
      <c r="A138">
        <v>2016</v>
      </c>
      <c r="B138" t="s">
        <v>141</v>
      </c>
      <c r="C138" t="s">
        <v>83</v>
      </c>
      <c r="D138">
        <v>137</v>
      </c>
      <c r="E138">
        <v>3.9740000000000002</v>
      </c>
      <c r="F138">
        <v>1.09426</v>
      </c>
      <c r="G138">
        <v>0.89185999999999999</v>
      </c>
      <c r="H138">
        <v>0.34752</v>
      </c>
      <c r="I138">
        <v>0.44089</v>
      </c>
      <c r="J138">
        <v>0.10768999999999999</v>
      </c>
      <c r="K138">
        <v>0.12425</v>
      </c>
    </row>
    <row r="139" spans="1:11" x14ac:dyDescent="0.25">
      <c r="A139">
        <v>2016</v>
      </c>
      <c r="B139" t="s">
        <v>153</v>
      </c>
      <c r="C139" t="s">
        <v>83</v>
      </c>
      <c r="D139">
        <v>138</v>
      </c>
      <c r="E139">
        <v>3.956</v>
      </c>
      <c r="F139">
        <v>0.27509</v>
      </c>
      <c r="G139">
        <v>0.60323000000000004</v>
      </c>
      <c r="H139">
        <v>0.29981000000000002</v>
      </c>
      <c r="I139">
        <v>0.15412000000000001</v>
      </c>
      <c r="J139">
        <v>0.18437000000000001</v>
      </c>
      <c r="K139">
        <v>0.1827</v>
      </c>
    </row>
    <row r="140" spans="1:11" x14ac:dyDescent="0.25">
      <c r="A140">
        <v>2016</v>
      </c>
      <c r="B140" t="s">
        <v>164</v>
      </c>
      <c r="C140" t="s">
        <v>83</v>
      </c>
      <c r="D140">
        <v>139</v>
      </c>
      <c r="E140">
        <v>3.9159999999999999</v>
      </c>
      <c r="F140">
        <v>0.55506999999999995</v>
      </c>
      <c r="G140">
        <v>0.57576000000000005</v>
      </c>
      <c r="H140">
        <v>4.4760000000000001E-2</v>
      </c>
      <c r="I140">
        <v>0.40662999999999999</v>
      </c>
      <c r="J140">
        <v>0.15529999999999999</v>
      </c>
      <c r="K140">
        <v>0.20338000000000001</v>
      </c>
    </row>
    <row r="141" spans="1:11" x14ac:dyDescent="0.25">
      <c r="A141">
        <v>2016</v>
      </c>
      <c r="B141" t="s">
        <v>158</v>
      </c>
      <c r="C141" t="s">
        <v>33</v>
      </c>
      <c r="D141">
        <v>140</v>
      </c>
      <c r="E141">
        <v>3.907</v>
      </c>
      <c r="F141">
        <v>0.55603999999999998</v>
      </c>
      <c r="G141">
        <v>0.53749999999999998</v>
      </c>
      <c r="H141">
        <v>0.42493999999999998</v>
      </c>
      <c r="I141">
        <v>0.58852000000000004</v>
      </c>
      <c r="J141">
        <v>8.0920000000000006E-2</v>
      </c>
      <c r="K141">
        <v>0.40339000000000003</v>
      </c>
    </row>
    <row r="142" spans="1:11" x14ac:dyDescent="0.25">
      <c r="A142">
        <v>2016</v>
      </c>
      <c r="B142" t="s">
        <v>150</v>
      </c>
      <c r="C142" t="s">
        <v>83</v>
      </c>
      <c r="D142">
        <v>141</v>
      </c>
      <c r="E142">
        <v>3.8660000000000001</v>
      </c>
      <c r="F142">
        <v>0.84731000000000001</v>
      </c>
      <c r="G142">
        <v>0.66366000000000003</v>
      </c>
      <c r="H142">
        <v>4.9910000000000003E-2</v>
      </c>
      <c r="I142">
        <v>5.8900000000000003E-3</v>
      </c>
      <c r="J142">
        <v>8.4339999999999998E-2</v>
      </c>
      <c r="K142">
        <v>0.12071</v>
      </c>
    </row>
    <row r="143" spans="1:11" x14ac:dyDescent="0.25">
      <c r="A143">
        <v>2016</v>
      </c>
      <c r="B143" t="s">
        <v>157</v>
      </c>
      <c r="C143" t="s">
        <v>83</v>
      </c>
      <c r="D143">
        <v>142</v>
      </c>
      <c r="E143">
        <v>3.8559999999999999</v>
      </c>
      <c r="F143">
        <v>0.13270000000000001</v>
      </c>
      <c r="G143">
        <v>0.60529999999999995</v>
      </c>
      <c r="H143">
        <v>0.26162000000000002</v>
      </c>
      <c r="I143">
        <v>0.38041000000000003</v>
      </c>
      <c r="J143">
        <v>0.17176</v>
      </c>
      <c r="K143">
        <v>0.2097</v>
      </c>
    </row>
    <row r="144" spans="1:11" x14ac:dyDescent="0.25">
      <c r="A144">
        <v>2016</v>
      </c>
      <c r="B144" t="s">
        <v>178</v>
      </c>
      <c r="C144" t="s">
        <v>83</v>
      </c>
      <c r="D144">
        <v>143</v>
      </c>
      <c r="E144">
        <v>3.8319999999999999</v>
      </c>
      <c r="F144">
        <v>0.39394000000000001</v>
      </c>
      <c r="G144">
        <v>0.18518999999999999</v>
      </c>
      <c r="H144">
        <v>0.15781000000000001</v>
      </c>
      <c r="I144">
        <v>0.19661999999999999</v>
      </c>
      <c r="J144">
        <v>0.13014999999999999</v>
      </c>
      <c r="K144">
        <v>0.25899</v>
      </c>
    </row>
    <row r="145" spans="1:11" x14ac:dyDescent="0.25">
      <c r="A145">
        <v>2016</v>
      </c>
      <c r="B145" t="s">
        <v>162</v>
      </c>
      <c r="C145" t="s">
        <v>83</v>
      </c>
      <c r="D145">
        <v>144</v>
      </c>
      <c r="E145">
        <v>3.7629999999999999</v>
      </c>
      <c r="F145">
        <v>0.42214000000000002</v>
      </c>
      <c r="G145">
        <v>0.63178000000000001</v>
      </c>
      <c r="H145">
        <v>3.8240000000000003E-2</v>
      </c>
      <c r="I145">
        <v>0.12806999999999999</v>
      </c>
      <c r="J145">
        <v>4.9520000000000002E-2</v>
      </c>
      <c r="K145">
        <v>0.18667</v>
      </c>
    </row>
    <row r="146" spans="1:11" x14ac:dyDescent="0.25">
      <c r="A146">
        <v>2016</v>
      </c>
      <c r="B146" t="s">
        <v>165</v>
      </c>
      <c r="C146" t="s">
        <v>83</v>
      </c>
      <c r="D146">
        <v>145</v>
      </c>
      <c r="E146">
        <v>3.7389999999999999</v>
      </c>
      <c r="F146">
        <v>0.31995000000000001</v>
      </c>
      <c r="G146">
        <v>0.63053999999999999</v>
      </c>
      <c r="H146">
        <v>0.21296999999999999</v>
      </c>
      <c r="I146">
        <v>0.3337</v>
      </c>
      <c r="J146">
        <v>0.12533</v>
      </c>
      <c r="K146">
        <v>0.24353</v>
      </c>
    </row>
    <row r="147" spans="1:11" x14ac:dyDescent="0.25">
      <c r="A147">
        <v>2016</v>
      </c>
      <c r="B147" t="s">
        <v>154</v>
      </c>
      <c r="C147" t="s">
        <v>83</v>
      </c>
      <c r="D147">
        <v>145</v>
      </c>
      <c r="E147">
        <v>3.7389999999999999</v>
      </c>
      <c r="F147">
        <v>0.34719</v>
      </c>
      <c r="G147">
        <v>0.90981000000000001</v>
      </c>
      <c r="H147">
        <v>0.19625000000000001</v>
      </c>
      <c r="I147">
        <v>0.43652999999999997</v>
      </c>
      <c r="J147">
        <v>6.4420000000000005E-2</v>
      </c>
      <c r="K147">
        <v>0.27101999999999998</v>
      </c>
    </row>
    <row r="148" spans="1:11" x14ac:dyDescent="0.25">
      <c r="A148">
        <v>2016</v>
      </c>
      <c r="B148" t="s">
        <v>149</v>
      </c>
      <c r="C148" t="s">
        <v>18</v>
      </c>
      <c r="D148">
        <v>147</v>
      </c>
      <c r="E148">
        <v>3.7240000000000002</v>
      </c>
      <c r="F148">
        <v>0.57938999999999996</v>
      </c>
      <c r="G148">
        <v>0.47493000000000002</v>
      </c>
      <c r="H148">
        <v>0.31047999999999998</v>
      </c>
      <c r="I148">
        <v>0.22869999999999999</v>
      </c>
      <c r="J148">
        <v>5.892E-2</v>
      </c>
      <c r="K148">
        <v>9.8210000000000006E-2</v>
      </c>
    </row>
    <row r="149" spans="1:11" x14ac:dyDescent="0.25">
      <c r="A149">
        <v>2016</v>
      </c>
      <c r="B149" t="s">
        <v>160</v>
      </c>
      <c r="C149" t="s">
        <v>83</v>
      </c>
      <c r="D149">
        <v>148</v>
      </c>
      <c r="E149">
        <v>3.6949999999999998</v>
      </c>
      <c r="F149">
        <v>0.27954000000000001</v>
      </c>
      <c r="G149">
        <v>0.46115</v>
      </c>
      <c r="H149">
        <v>0.37108999999999998</v>
      </c>
      <c r="I149">
        <v>0.13683999999999999</v>
      </c>
      <c r="J149">
        <v>7.5060000000000002E-2</v>
      </c>
      <c r="K149">
        <v>0.22040000000000001</v>
      </c>
    </row>
    <row r="150" spans="1:11" x14ac:dyDescent="0.25">
      <c r="A150">
        <v>2016</v>
      </c>
      <c r="B150" t="s">
        <v>159</v>
      </c>
      <c r="C150" t="s">
        <v>83</v>
      </c>
      <c r="D150">
        <v>149</v>
      </c>
      <c r="E150">
        <v>3.6659999999999999</v>
      </c>
      <c r="F150">
        <v>0.47155000000000002</v>
      </c>
      <c r="G150">
        <v>0.77622999999999998</v>
      </c>
      <c r="H150">
        <v>0.35699999999999998</v>
      </c>
      <c r="I150">
        <v>0.31759999999999999</v>
      </c>
      <c r="J150">
        <v>5.0990000000000001E-2</v>
      </c>
      <c r="K150">
        <v>0.31472</v>
      </c>
    </row>
    <row r="151" spans="1:11" x14ac:dyDescent="0.25">
      <c r="A151">
        <v>2016</v>
      </c>
      <c r="B151" t="s">
        <v>129</v>
      </c>
      <c r="C151" t="s">
        <v>83</v>
      </c>
      <c r="D151">
        <v>150</v>
      </c>
      <c r="E151">
        <v>3.6219999999999999</v>
      </c>
      <c r="F151">
        <v>0.10706</v>
      </c>
      <c r="G151">
        <v>0.50353000000000003</v>
      </c>
      <c r="H151">
        <v>0.23164999999999999</v>
      </c>
      <c r="I151">
        <v>0.25747999999999999</v>
      </c>
      <c r="J151">
        <v>4.8520000000000001E-2</v>
      </c>
      <c r="K151">
        <v>0.24063000000000001</v>
      </c>
    </row>
    <row r="152" spans="1:11" x14ac:dyDescent="0.25">
      <c r="A152">
        <v>2016</v>
      </c>
      <c r="B152" t="s">
        <v>163</v>
      </c>
      <c r="C152" t="s">
        <v>83</v>
      </c>
      <c r="D152">
        <v>151</v>
      </c>
      <c r="E152">
        <v>3.6070000000000002</v>
      </c>
      <c r="F152">
        <v>0.22414999999999999</v>
      </c>
      <c r="G152">
        <v>0.31090000000000001</v>
      </c>
      <c r="H152">
        <v>0.18829000000000001</v>
      </c>
      <c r="I152">
        <v>0.30953000000000003</v>
      </c>
      <c r="J152">
        <v>0.1192</v>
      </c>
      <c r="K152">
        <v>0.29914000000000002</v>
      </c>
    </row>
    <row r="153" spans="1:11" x14ac:dyDescent="0.25">
      <c r="A153">
        <v>2016</v>
      </c>
      <c r="B153" t="s">
        <v>167</v>
      </c>
      <c r="C153" t="s">
        <v>83</v>
      </c>
      <c r="D153">
        <v>152</v>
      </c>
      <c r="E153">
        <v>3.5150000000000001</v>
      </c>
      <c r="F153">
        <v>0.32845999999999997</v>
      </c>
      <c r="G153">
        <v>0.61585999999999996</v>
      </c>
      <c r="H153">
        <v>0.31864999999999999</v>
      </c>
      <c r="I153">
        <v>0.54320000000000002</v>
      </c>
      <c r="J153">
        <v>0.50521000000000005</v>
      </c>
      <c r="K153">
        <v>0.23552000000000001</v>
      </c>
    </row>
    <row r="154" spans="1:11" x14ac:dyDescent="0.25">
      <c r="A154">
        <v>2016</v>
      </c>
      <c r="B154" t="s">
        <v>168</v>
      </c>
      <c r="C154" t="s">
        <v>83</v>
      </c>
      <c r="D154">
        <v>153</v>
      </c>
      <c r="E154">
        <v>3.484</v>
      </c>
      <c r="F154">
        <v>0.39499000000000001</v>
      </c>
      <c r="G154">
        <v>0.10419</v>
      </c>
      <c r="H154">
        <v>0.21027999999999999</v>
      </c>
      <c r="I154">
        <v>0.39746999999999999</v>
      </c>
      <c r="J154">
        <v>6.6809999999999994E-2</v>
      </c>
      <c r="K154">
        <v>0.20180000000000001</v>
      </c>
    </row>
    <row r="155" spans="1:11" x14ac:dyDescent="0.25">
      <c r="A155">
        <v>2016</v>
      </c>
      <c r="B155" t="s">
        <v>166</v>
      </c>
      <c r="C155" t="s">
        <v>92</v>
      </c>
      <c r="D155">
        <v>154</v>
      </c>
      <c r="E155">
        <v>3.36</v>
      </c>
      <c r="F155">
        <v>0.38227</v>
      </c>
      <c r="G155">
        <v>0.11037</v>
      </c>
      <c r="H155">
        <v>0.17344000000000001</v>
      </c>
      <c r="I155">
        <v>0.1643</v>
      </c>
      <c r="J155">
        <v>7.1120000000000003E-2</v>
      </c>
      <c r="K155">
        <v>0.31268000000000001</v>
      </c>
    </row>
    <row r="156" spans="1:11" x14ac:dyDescent="0.25">
      <c r="A156">
        <v>2016</v>
      </c>
      <c r="B156" t="s">
        <v>171</v>
      </c>
      <c r="C156" t="s">
        <v>83</v>
      </c>
      <c r="D156">
        <v>155</v>
      </c>
      <c r="E156">
        <v>3.3029999999999999</v>
      </c>
      <c r="F156">
        <v>0.28122999999999998</v>
      </c>
      <c r="G156">
        <v>0</v>
      </c>
      <c r="H156">
        <v>0.24811</v>
      </c>
      <c r="I156">
        <v>0.34677999999999998</v>
      </c>
      <c r="J156">
        <v>0.11587</v>
      </c>
      <c r="K156">
        <v>0.17516999999999999</v>
      </c>
    </row>
    <row r="157" spans="1:11" x14ac:dyDescent="0.25">
      <c r="A157">
        <v>2016</v>
      </c>
      <c r="B157" t="s">
        <v>169</v>
      </c>
      <c r="C157" t="s">
        <v>18</v>
      </c>
      <c r="D157">
        <v>156</v>
      </c>
      <c r="E157">
        <v>3.069</v>
      </c>
      <c r="F157">
        <v>0.74719000000000002</v>
      </c>
      <c r="G157">
        <v>0.14865999999999999</v>
      </c>
      <c r="H157">
        <v>0.62994000000000006</v>
      </c>
      <c r="I157">
        <v>6.9120000000000001E-2</v>
      </c>
      <c r="J157">
        <v>0.17233000000000001</v>
      </c>
      <c r="K157">
        <v>0.48397000000000001</v>
      </c>
    </row>
    <row r="158" spans="1:11" x14ac:dyDescent="0.25">
      <c r="A158">
        <v>2016</v>
      </c>
      <c r="B158" t="s">
        <v>170</v>
      </c>
      <c r="C158" t="s">
        <v>83</v>
      </c>
      <c r="D158">
        <v>157</v>
      </c>
      <c r="E158">
        <v>2.9049999999999998</v>
      </c>
      <c r="F158">
        <v>6.8309999999999996E-2</v>
      </c>
      <c r="G158">
        <v>0.23441999999999999</v>
      </c>
      <c r="H158">
        <v>0.15747</v>
      </c>
      <c r="I158">
        <v>4.3200000000000002E-2</v>
      </c>
      <c r="J158">
        <v>9.4189999999999996E-2</v>
      </c>
      <c r="K158">
        <v>0.2029</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FE18-6C70-4ACE-A434-9931288F3FC3}">
  <dimension ref="A1:J156"/>
  <sheetViews>
    <sheetView workbookViewId="0">
      <selection activeCell="H5" sqref="H5"/>
    </sheetView>
  </sheetViews>
  <sheetFormatPr defaultRowHeight="15" x14ac:dyDescent="0.25"/>
  <cols>
    <col min="1" max="1" width="7.28515625" bestFit="1" customWidth="1"/>
    <col min="2" max="2" width="23.5703125" bestFit="1" customWidth="1"/>
    <col min="3" max="3" width="17.85546875" bestFit="1" customWidth="1"/>
    <col min="4" max="4" width="18.42578125" bestFit="1" customWidth="1"/>
    <col min="5" max="5" width="27.140625" bestFit="1" customWidth="1"/>
    <col min="6" max="6" width="12" bestFit="1" customWidth="1"/>
    <col min="7" max="7" width="24.7109375" bestFit="1" customWidth="1"/>
    <col min="8" max="8" width="12" bestFit="1" customWidth="1"/>
    <col min="9" max="9" width="13.140625" bestFit="1" customWidth="1"/>
    <col min="10" max="10" width="31.140625" bestFit="1" customWidth="1"/>
    <col min="11" max="11" width="14.5703125" bestFit="1" customWidth="1"/>
    <col min="12" max="12" width="27" bestFit="1" customWidth="1"/>
    <col min="13" max="13" width="12" bestFit="1" customWidth="1"/>
    <col min="14" max="14" width="25" bestFit="1" customWidth="1"/>
    <col min="15" max="15" width="12" bestFit="1" customWidth="1"/>
    <col min="16" max="16" width="13.140625" bestFit="1" customWidth="1"/>
    <col min="17" max="17" width="31.42578125" bestFit="1" customWidth="1"/>
    <col min="18" max="18" width="19.28515625" bestFit="1" customWidth="1"/>
  </cols>
  <sheetData>
    <row r="1" spans="1:10" x14ac:dyDescent="0.25">
      <c r="A1" t="s">
        <v>296</v>
      </c>
      <c r="B1" t="s">
        <v>0</v>
      </c>
      <c r="C1" t="s">
        <v>297</v>
      </c>
      <c r="D1" t="s">
        <v>298</v>
      </c>
      <c r="E1" t="s">
        <v>299</v>
      </c>
      <c r="F1" t="s">
        <v>2</v>
      </c>
      <c r="G1" t="s">
        <v>300</v>
      </c>
      <c r="H1" t="s">
        <v>3</v>
      </c>
      <c r="I1" t="s">
        <v>172</v>
      </c>
      <c r="J1" t="s">
        <v>301</v>
      </c>
    </row>
    <row r="2" spans="1:10" x14ac:dyDescent="0.25">
      <c r="A2">
        <v>2017</v>
      </c>
      <c r="B2" t="s">
        <v>8</v>
      </c>
      <c r="C2">
        <v>1</v>
      </c>
      <c r="D2">
        <v>7.5370001792907697</v>
      </c>
      <c r="E2">
        <v>1.6164631843566899</v>
      </c>
      <c r="F2">
        <v>1.5335235595703101</v>
      </c>
      <c r="G2">
        <v>0.79666650295257602</v>
      </c>
      <c r="H2">
        <v>0.63542258739471402</v>
      </c>
      <c r="I2">
        <v>0.36201223731040999</v>
      </c>
      <c r="J2">
        <v>0.315963834524155</v>
      </c>
    </row>
    <row r="3" spans="1:10" x14ac:dyDescent="0.25">
      <c r="A3">
        <v>2017</v>
      </c>
      <c r="B3" t="s">
        <v>7</v>
      </c>
      <c r="C3">
        <v>2</v>
      </c>
      <c r="D3">
        <v>7.5219998359680202</v>
      </c>
      <c r="E3">
        <v>1.48238301277161</v>
      </c>
      <c r="F3">
        <v>1.5511215925216699</v>
      </c>
      <c r="G3">
        <v>0.79256552457809404</v>
      </c>
      <c r="H3">
        <v>0.62600672245025601</v>
      </c>
      <c r="I3">
        <v>0.35528048872947698</v>
      </c>
      <c r="J3">
        <v>0.40077006816864003</v>
      </c>
    </row>
    <row r="4" spans="1:10" x14ac:dyDescent="0.25">
      <c r="A4">
        <v>2017</v>
      </c>
      <c r="B4" t="s">
        <v>6</v>
      </c>
      <c r="C4">
        <v>3</v>
      </c>
      <c r="D4">
        <v>7.5040001869201696</v>
      </c>
      <c r="E4">
        <v>1.4806330204010001</v>
      </c>
      <c r="F4">
        <v>1.6105740070343</v>
      </c>
      <c r="G4">
        <v>0.83355212211608898</v>
      </c>
      <c r="H4">
        <v>0.62716263532638505</v>
      </c>
      <c r="I4">
        <v>0.475540220737457</v>
      </c>
      <c r="J4">
        <v>0.15352655947208399</v>
      </c>
    </row>
    <row r="5" spans="1:10" x14ac:dyDescent="0.25">
      <c r="A5">
        <v>2017</v>
      </c>
      <c r="B5" t="s">
        <v>4</v>
      </c>
      <c r="C5">
        <v>4</v>
      </c>
      <c r="D5">
        <v>7.4939999580383301</v>
      </c>
      <c r="E5">
        <v>1.56497955322266</v>
      </c>
      <c r="F5">
        <v>1.51691174507141</v>
      </c>
      <c r="G5">
        <v>0.85813128948211703</v>
      </c>
      <c r="H5">
        <v>0.62007057666778598</v>
      </c>
      <c r="I5">
        <v>0.29054927825927701</v>
      </c>
      <c r="J5">
        <v>0.367007285356522</v>
      </c>
    </row>
    <row r="6" spans="1:10" x14ac:dyDescent="0.25">
      <c r="A6">
        <v>2017</v>
      </c>
      <c r="B6" t="s">
        <v>11</v>
      </c>
      <c r="C6">
        <v>5</v>
      </c>
      <c r="D6">
        <v>7.4689998626709002</v>
      </c>
      <c r="E6">
        <v>1.4435719251632699</v>
      </c>
      <c r="F6">
        <v>1.5402467250823999</v>
      </c>
      <c r="G6">
        <v>0.80915766954421997</v>
      </c>
      <c r="H6">
        <v>0.61795085668563798</v>
      </c>
      <c r="I6">
        <v>0.24548277258873</v>
      </c>
      <c r="J6">
        <v>0.38261154294013999</v>
      </c>
    </row>
    <row r="7" spans="1:10" x14ac:dyDescent="0.25">
      <c r="A7">
        <v>2017</v>
      </c>
      <c r="B7" t="s">
        <v>12</v>
      </c>
      <c r="C7">
        <v>6</v>
      </c>
      <c r="D7">
        <v>7.3769998550415004</v>
      </c>
      <c r="E7">
        <v>1.50394463539124</v>
      </c>
      <c r="F7">
        <v>1.42893922328949</v>
      </c>
      <c r="G7">
        <v>0.81069612503051802</v>
      </c>
      <c r="H7">
        <v>0.58538448810577404</v>
      </c>
      <c r="I7">
        <v>0.47048982977867099</v>
      </c>
      <c r="J7">
        <v>0.28266182541847201</v>
      </c>
    </row>
    <row r="8" spans="1:10" x14ac:dyDescent="0.25">
      <c r="A8">
        <v>2017</v>
      </c>
      <c r="B8" t="s">
        <v>9</v>
      </c>
      <c r="C8">
        <v>7</v>
      </c>
      <c r="D8">
        <v>7.31599998474121</v>
      </c>
      <c r="E8">
        <v>1.47920441627502</v>
      </c>
      <c r="F8">
        <v>1.4813489913940401</v>
      </c>
      <c r="G8">
        <v>0.83455765247345004</v>
      </c>
      <c r="H8">
        <v>0.61110091209411599</v>
      </c>
      <c r="I8">
        <v>0.43553972244262701</v>
      </c>
      <c r="J8">
        <v>0.287371516227722</v>
      </c>
    </row>
    <row r="9" spans="1:10" x14ac:dyDescent="0.25">
      <c r="A9">
        <v>2017</v>
      </c>
      <c r="B9" t="s">
        <v>14</v>
      </c>
      <c r="C9">
        <v>8</v>
      </c>
      <c r="D9">
        <v>7.3140001296997097</v>
      </c>
      <c r="E9">
        <v>1.40570604801178</v>
      </c>
      <c r="F9">
        <v>1.54819512367249</v>
      </c>
      <c r="G9">
        <v>0.81675970554351796</v>
      </c>
      <c r="H9">
        <v>0.61406213045120195</v>
      </c>
      <c r="I9">
        <v>0.50000512599945102</v>
      </c>
      <c r="J9">
        <v>0.382816702127457</v>
      </c>
    </row>
    <row r="10" spans="1:10" x14ac:dyDescent="0.25">
      <c r="A10">
        <v>2017</v>
      </c>
      <c r="B10" t="s">
        <v>13</v>
      </c>
      <c r="C10">
        <v>9</v>
      </c>
      <c r="D10">
        <v>7.2839999198913601</v>
      </c>
      <c r="E10">
        <v>1.4943872690200799</v>
      </c>
      <c r="F10">
        <v>1.4781621694564799</v>
      </c>
      <c r="G10">
        <v>0.83087515830993697</v>
      </c>
      <c r="H10">
        <v>0.61292409896850597</v>
      </c>
      <c r="I10">
        <v>0.38539925217628501</v>
      </c>
      <c r="J10">
        <v>0.38439872860908503</v>
      </c>
    </row>
    <row r="11" spans="1:10" x14ac:dyDescent="0.25">
      <c r="A11">
        <v>2017</v>
      </c>
      <c r="B11" t="s">
        <v>16</v>
      </c>
      <c r="C11">
        <v>10</v>
      </c>
      <c r="D11">
        <v>7.2839999198913601</v>
      </c>
      <c r="E11">
        <v>1.484414935112</v>
      </c>
      <c r="F11">
        <v>1.51004195213318</v>
      </c>
      <c r="G11">
        <v>0.84388679265975997</v>
      </c>
      <c r="H11">
        <v>0.60160738229751598</v>
      </c>
      <c r="I11">
        <v>0.47769924998283397</v>
      </c>
      <c r="J11">
        <v>0.30118373036384599</v>
      </c>
    </row>
    <row r="12" spans="1:10" x14ac:dyDescent="0.25">
      <c r="A12">
        <v>2017</v>
      </c>
      <c r="B12" t="s">
        <v>17</v>
      </c>
      <c r="C12">
        <v>11</v>
      </c>
      <c r="D12">
        <v>7.2129998207092303</v>
      </c>
      <c r="E12">
        <v>1.37538242340088</v>
      </c>
      <c r="F12">
        <v>1.3762899637222299</v>
      </c>
      <c r="G12">
        <v>0.83840399980545</v>
      </c>
      <c r="H12">
        <v>0.40598860383033802</v>
      </c>
      <c r="I12">
        <v>0.33008265495300299</v>
      </c>
      <c r="J12">
        <v>8.5242100059986101E-2</v>
      </c>
    </row>
    <row r="13" spans="1:10" x14ac:dyDescent="0.25">
      <c r="A13">
        <v>2017</v>
      </c>
      <c r="B13" t="s">
        <v>19</v>
      </c>
      <c r="C13">
        <v>12</v>
      </c>
      <c r="D13">
        <v>7.0789999961853001</v>
      </c>
      <c r="E13">
        <v>1.1097062826156601</v>
      </c>
      <c r="F13">
        <v>1.41640365123749</v>
      </c>
      <c r="G13">
        <v>0.75950926542282104</v>
      </c>
      <c r="H13">
        <v>0.58013164997100797</v>
      </c>
      <c r="I13">
        <v>0.21461322903633101</v>
      </c>
      <c r="J13">
        <v>0.100106589496136</v>
      </c>
    </row>
    <row r="14" spans="1:10" x14ac:dyDescent="0.25">
      <c r="A14">
        <v>2017</v>
      </c>
      <c r="B14" t="s">
        <v>21</v>
      </c>
      <c r="C14">
        <v>13</v>
      </c>
      <c r="D14">
        <v>7.0060000419616699</v>
      </c>
      <c r="E14">
        <v>1.4870972633361801</v>
      </c>
      <c r="F14">
        <v>1.4599449634552</v>
      </c>
      <c r="G14">
        <v>0.81532841920852706</v>
      </c>
      <c r="H14">
        <v>0.56776618957519498</v>
      </c>
      <c r="I14">
        <v>0.31647232174873402</v>
      </c>
      <c r="J14">
        <v>0.221060365438461</v>
      </c>
    </row>
    <row r="15" spans="1:10" x14ac:dyDescent="0.25">
      <c r="A15">
        <v>2017</v>
      </c>
      <c r="B15" t="s">
        <v>23</v>
      </c>
      <c r="C15">
        <v>14</v>
      </c>
      <c r="D15">
        <v>6.9930000305175799</v>
      </c>
      <c r="E15">
        <v>1.54625928401947</v>
      </c>
      <c r="F15">
        <v>1.4199205636978101</v>
      </c>
      <c r="G15">
        <v>0.77428662776946999</v>
      </c>
      <c r="H15">
        <v>0.50574052333831798</v>
      </c>
      <c r="I15">
        <v>0.39257878065109297</v>
      </c>
      <c r="J15">
        <v>0.135638788342476</v>
      </c>
    </row>
    <row r="16" spans="1:10" x14ac:dyDescent="0.25">
      <c r="A16">
        <v>2017</v>
      </c>
      <c r="B16" t="s">
        <v>26</v>
      </c>
      <c r="C16">
        <v>15</v>
      </c>
      <c r="D16">
        <v>6.9770002365112296</v>
      </c>
      <c r="E16">
        <v>1.53570663928986</v>
      </c>
      <c r="F16">
        <v>1.5582311153411901</v>
      </c>
      <c r="G16">
        <v>0.80978262424469005</v>
      </c>
      <c r="H16">
        <v>0.57311034202575695</v>
      </c>
      <c r="I16">
        <v>0.42785832285880998</v>
      </c>
      <c r="J16">
        <v>0.29838815331459001</v>
      </c>
    </row>
    <row r="17" spans="1:10" x14ac:dyDescent="0.25">
      <c r="A17">
        <v>2017</v>
      </c>
      <c r="B17" t="s">
        <v>35</v>
      </c>
      <c r="C17">
        <v>16</v>
      </c>
      <c r="D17">
        <v>6.9510002136230504</v>
      </c>
      <c r="E17">
        <v>1.4879233837127701</v>
      </c>
      <c r="F17">
        <v>1.4725203514099101</v>
      </c>
      <c r="G17">
        <v>0.79895073175430298</v>
      </c>
      <c r="H17">
        <v>0.56251138448715199</v>
      </c>
      <c r="I17">
        <v>0.33626917004585299</v>
      </c>
      <c r="J17">
        <v>0.276731938123703</v>
      </c>
    </row>
    <row r="18" spans="1:10" x14ac:dyDescent="0.25">
      <c r="A18">
        <v>2017</v>
      </c>
      <c r="B18" t="s">
        <v>27</v>
      </c>
      <c r="C18">
        <v>17</v>
      </c>
      <c r="D18">
        <v>6.8909997940063503</v>
      </c>
      <c r="E18">
        <v>1.4637807607650799</v>
      </c>
      <c r="F18">
        <v>1.46231269836426</v>
      </c>
      <c r="G18">
        <v>0.81809186935424805</v>
      </c>
      <c r="H18">
        <v>0.53977072238922097</v>
      </c>
      <c r="I18">
        <v>0.23150333762168901</v>
      </c>
      <c r="J18">
        <v>0.25134313106536899</v>
      </c>
    </row>
    <row r="19" spans="1:10" x14ac:dyDescent="0.25">
      <c r="A19">
        <v>2017</v>
      </c>
      <c r="B19" t="s">
        <v>25</v>
      </c>
      <c r="C19">
        <v>18</v>
      </c>
      <c r="D19">
        <v>6.8629999160766602</v>
      </c>
      <c r="E19">
        <v>1.74194359779358</v>
      </c>
      <c r="F19">
        <v>1.4575836658477801</v>
      </c>
      <c r="G19">
        <v>0.84508949518203702</v>
      </c>
      <c r="H19">
        <v>0.59662789106368996</v>
      </c>
      <c r="I19">
        <v>0.283180981874466</v>
      </c>
      <c r="J19">
        <v>0.31883442401885997</v>
      </c>
    </row>
    <row r="20" spans="1:10" x14ac:dyDescent="0.25">
      <c r="A20">
        <v>2017</v>
      </c>
      <c r="B20" t="s">
        <v>29</v>
      </c>
      <c r="C20">
        <v>19</v>
      </c>
      <c r="D20">
        <v>6.7140002250671396</v>
      </c>
      <c r="E20">
        <v>1.44163393974304</v>
      </c>
      <c r="F20">
        <v>1.49646008014679</v>
      </c>
      <c r="G20">
        <v>0.80533593893051103</v>
      </c>
      <c r="H20">
        <v>0.50819003582000699</v>
      </c>
      <c r="I20">
        <v>0.492774158716202</v>
      </c>
      <c r="J20">
        <v>0.265428066253662</v>
      </c>
    </row>
    <row r="21" spans="1:10" x14ac:dyDescent="0.25">
      <c r="A21">
        <v>2017</v>
      </c>
      <c r="B21" t="s">
        <v>36</v>
      </c>
      <c r="C21">
        <v>20</v>
      </c>
      <c r="D21">
        <v>6.65199995040894</v>
      </c>
      <c r="E21">
        <v>1.25278460979462</v>
      </c>
      <c r="F21">
        <v>1.28402495384216</v>
      </c>
      <c r="G21">
        <v>0.81947970390319802</v>
      </c>
      <c r="H21">
        <v>0.37689527869224498</v>
      </c>
      <c r="I21">
        <v>0.32666242122650102</v>
      </c>
      <c r="J21">
        <v>8.2287982106208801E-2</v>
      </c>
    </row>
    <row r="22" spans="1:10" x14ac:dyDescent="0.25">
      <c r="A22">
        <v>2017</v>
      </c>
      <c r="B22" t="s">
        <v>28</v>
      </c>
      <c r="C22">
        <v>21</v>
      </c>
      <c r="D22">
        <v>6.6479997634887704</v>
      </c>
      <c r="E22">
        <v>1.62634336948395</v>
      </c>
      <c r="F22">
        <v>1.2664102315902701</v>
      </c>
      <c r="G22">
        <v>0.726798236370087</v>
      </c>
      <c r="H22">
        <v>0.60834527015686002</v>
      </c>
      <c r="I22">
        <v>0.36094194650650002</v>
      </c>
      <c r="J22">
        <v>0.32448956370353699</v>
      </c>
    </row>
    <row r="23" spans="1:10" x14ac:dyDescent="0.25">
      <c r="A23">
        <v>2017</v>
      </c>
      <c r="B23" t="s">
        <v>24</v>
      </c>
      <c r="C23">
        <v>22</v>
      </c>
      <c r="D23">
        <v>6.6350002288818404</v>
      </c>
      <c r="E23">
        <v>1.1073532104492201</v>
      </c>
      <c r="F23">
        <v>1.4313060045242301</v>
      </c>
      <c r="G23">
        <v>0.61655235290527299</v>
      </c>
      <c r="H23">
        <v>0.43745374679565402</v>
      </c>
      <c r="I23">
        <v>0.16234989464283001</v>
      </c>
      <c r="J23">
        <v>0.111092761158943</v>
      </c>
    </row>
    <row r="24" spans="1:10" x14ac:dyDescent="0.25">
      <c r="A24">
        <v>2017</v>
      </c>
      <c r="B24" t="s">
        <v>40</v>
      </c>
      <c r="C24">
        <v>23</v>
      </c>
      <c r="D24">
        <v>6.6090002059936497</v>
      </c>
      <c r="E24">
        <v>1.35268235206604</v>
      </c>
      <c r="F24">
        <v>1.4338852167129501</v>
      </c>
      <c r="G24">
        <v>0.75444400310516402</v>
      </c>
      <c r="H24">
        <v>0.49094617366790799</v>
      </c>
      <c r="I24">
        <v>8.8106758892536205E-2</v>
      </c>
      <c r="J24">
        <v>3.6872927099466303E-2</v>
      </c>
    </row>
    <row r="25" spans="1:10" x14ac:dyDescent="0.25">
      <c r="A25">
        <v>2017</v>
      </c>
      <c r="B25" t="s">
        <v>39</v>
      </c>
      <c r="C25">
        <v>24</v>
      </c>
      <c r="D25">
        <v>6.59899997711182</v>
      </c>
      <c r="E25">
        <v>1.1852954626083401</v>
      </c>
      <c r="F25">
        <v>1.44045114517212</v>
      </c>
      <c r="G25">
        <v>0.69513708353042603</v>
      </c>
      <c r="H25">
        <v>0.494519203901291</v>
      </c>
      <c r="I25">
        <v>0.109457060694695</v>
      </c>
      <c r="J25">
        <v>5.9739887714386E-2</v>
      </c>
    </row>
    <row r="26" spans="1:10" x14ac:dyDescent="0.25">
      <c r="A26">
        <v>2017</v>
      </c>
      <c r="B26" t="s">
        <v>22</v>
      </c>
      <c r="C26">
        <v>25</v>
      </c>
      <c r="D26">
        <v>6.5780000686645499</v>
      </c>
      <c r="E26">
        <v>1.1531838178634599</v>
      </c>
      <c r="F26">
        <v>1.2108621597289999</v>
      </c>
      <c r="G26">
        <v>0.70997899770736705</v>
      </c>
      <c r="H26">
        <v>0.41273000836372398</v>
      </c>
      <c r="I26">
        <v>0.120990432798862</v>
      </c>
      <c r="J26">
        <v>0.13277411460876501</v>
      </c>
    </row>
    <row r="27" spans="1:10" x14ac:dyDescent="0.25">
      <c r="A27">
        <v>2017</v>
      </c>
      <c r="B27" t="s">
        <v>32</v>
      </c>
      <c r="C27">
        <v>26</v>
      </c>
      <c r="D27">
        <v>6.57200002670288</v>
      </c>
      <c r="E27">
        <v>1.69227766990662</v>
      </c>
      <c r="F27">
        <v>1.35381436347961</v>
      </c>
      <c r="G27">
        <v>0.94949239492416404</v>
      </c>
      <c r="H27">
        <v>0.54984056949615501</v>
      </c>
      <c r="I27">
        <v>0.34596598148345897</v>
      </c>
      <c r="J27">
        <v>0.46430778503418002</v>
      </c>
    </row>
    <row r="28" spans="1:10" x14ac:dyDescent="0.25">
      <c r="A28">
        <v>2017</v>
      </c>
      <c r="B28" t="s">
        <v>47</v>
      </c>
      <c r="C28">
        <v>27</v>
      </c>
      <c r="D28">
        <v>6.52699995040894</v>
      </c>
      <c r="E28">
        <v>1.3432798385620099</v>
      </c>
      <c r="F28">
        <v>1.4884116649627701</v>
      </c>
      <c r="G28">
        <v>0.82194423675537098</v>
      </c>
      <c r="H28">
        <v>0.58876705169677701</v>
      </c>
      <c r="I28">
        <v>0.57473057508468595</v>
      </c>
      <c r="J28">
        <v>0.15306606888771099</v>
      </c>
    </row>
    <row r="29" spans="1:10" x14ac:dyDescent="0.25">
      <c r="A29">
        <v>2017</v>
      </c>
      <c r="B29" t="s">
        <v>42</v>
      </c>
      <c r="C29">
        <v>28</v>
      </c>
      <c r="D29">
        <v>6.4539999961853001</v>
      </c>
      <c r="E29">
        <v>1.2175596952438399</v>
      </c>
      <c r="F29">
        <v>1.4122278690338099</v>
      </c>
      <c r="G29">
        <v>0.71921682357788097</v>
      </c>
      <c r="H29">
        <v>0.57939225435257002</v>
      </c>
      <c r="I29">
        <v>0.17509692907333399</v>
      </c>
      <c r="J29">
        <v>0.178061872720718</v>
      </c>
    </row>
    <row r="30" spans="1:10" x14ac:dyDescent="0.25">
      <c r="A30">
        <v>2017</v>
      </c>
      <c r="B30" t="s">
        <v>54</v>
      </c>
      <c r="C30">
        <v>29</v>
      </c>
      <c r="D30">
        <v>6.4539999961853001</v>
      </c>
      <c r="E30">
        <v>0.87200194597244296</v>
      </c>
      <c r="F30">
        <v>1.2555851936340301</v>
      </c>
      <c r="G30">
        <v>0.54023998975753795</v>
      </c>
      <c r="H30">
        <v>0.53131061792373702</v>
      </c>
      <c r="I30">
        <v>0.28348839282989502</v>
      </c>
      <c r="J30">
        <v>7.72232785820961E-2</v>
      </c>
    </row>
    <row r="31" spans="1:10" x14ac:dyDescent="0.25">
      <c r="A31">
        <v>2017</v>
      </c>
      <c r="B31" t="s">
        <v>34</v>
      </c>
      <c r="C31">
        <v>30</v>
      </c>
      <c r="D31">
        <v>6.4520001411437997</v>
      </c>
      <c r="E31">
        <v>1.23374843597412</v>
      </c>
      <c r="F31">
        <v>1.3731925487518299</v>
      </c>
      <c r="G31">
        <v>0.70615613460540805</v>
      </c>
      <c r="H31">
        <v>0.55002683401107799</v>
      </c>
      <c r="I31">
        <v>0.21055693924426999</v>
      </c>
      <c r="J31">
        <v>7.0983923971652998E-2</v>
      </c>
    </row>
    <row r="32" spans="1:10" x14ac:dyDescent="0.25">
      <c r="A32">
        <v>2017</v>
      </c>
      <c r="B32" t="s">
        <v>38</v>
      </c>
      <c r="C32">
        <v>31</v>
      </c>
      <c r="D32">
        <v>6.4419999122619602</v>
      </c>
      <c r="E32">
        <v>1.4309234619140601</v>
      </c>
      <c r="F32">
        <v>1.3877768516540501</v>
      </c>
      <c r="G32">
        <v>0.844465851783752</v>
      </c>
      <c r="H32">
        <v>0.47022211551666299</v>
      </c>
      <c r="I32">
        <v>0.12976230680942499</v>
      </c>
      <c r="J32">
        <v>0.17250242829322801</v>
      </c>
    </row>
    <row r="33" spans="1:10" x14ac:dyDescent="0.25">
      <c r="A33">
        <v>2017</v>
      </c>
      <c r="B33" t="s">
        <v>44</v>
      </c>
      <c r="C33">
        <v>32</v>
      </c>
      <c r="D33">
        <v>6.4239997863769496</v>
      </c>
      <c r="E33">
        <v>1.12786877155304</v>
      </c>
      <c r="F33">
        <v>1.42579245567322</v>
      </c>
      <c r="G33">
        <v>0.647239029407501</v>
      </c>
      <c r="H33">
        <v>0.58020073175430298</v>
      </c>
      <c r="I33">
        <v>0.57212311029434204</v>
      </c>
      <c r="J33">
        <v>3.16127352416515E-2</v>
      </c>
    </row>
    <row r="34" spans="1:10" x14ac:dyDescent="0.25">
      <c r="A34">
        <v>2017</v>
      </c>
      <c r="B34" t="s">
        <v>179</v>
      </c>
      <c r="C34">
        <v>33</v>
      </c>
      <c r="D34">
        <v>6.4219999313354501</v>
      </c>
      <c r="E34">
        <v>1.43362653255463</v>
      </c>
      <c r="F34">
        <v>1.38456535339355</v>
      </c>
      <c r="G34">
        <v>0.793984234333038</v>
      </c>
      <c r="H34">
        <v>0.36146658658981301</v>
      </c>
      <c r="I34">
        <v>0.258360475301743</v>
      </c>
      <c r="J34">
        <v>6.3829235732555403E-2</v>
      </c>
    </row>
    <row r="35" spans="1:10" x14ac:dyDescent="0.25">
      <c r="A35">
        <v>2017</v>
      </c>
      <c r="B35" t="s">
        <v>46</v>
      </c>
      <c r="C35">
        <v>34</v>
      </c>
      <c r="D35">
        <v>6.4029998779296902</v>
      </c>
      <c r="E35">
        <v>1.3843978643417401</v>
      </c>
      <c r="F35">
        <v>1.5320909023284901</v>
      </c>
      <c r="G35">
        <v>0.88896059989929199</v>
      </c>
      <c r="H35">
        <v>0.40878123044967701</v>
      </c>
      <c r="I35">
        <v>0.190133571624756</v>
      </c>
      <c r="J35">
        <v>7.0914097130298601E-2</v>
      </c>
    </row>
    <row r="36" spans="1:10" x14ac:dyDescent="0.25">
      <c r="A36">
        <v>2017</v>
      </c>
      <c r="B36" t="s">
        <v>37</v>
      </c>
      <c r="C36">
        <v>35</v>
      </c>
      <c r="D36">
        <v>6.375</v>
      </c>
      <c r="E36">
        <v>1.87076568603516</v>
      </c>
      <c r="F36">
        <v>1.27429687976837</v>
      </c>
      <c r="G36">
        <v>0.71009808778762795</v>
      </c>
      <c r="H36">
        <v>0.60413098335266102</v>
      </c>
      <c r="I36">
        <v>0.33047387003898598</v>
      </c>
      <c r="J36">
        <v>0.439299255609512</v>
      </c>
    </row>
    <row r="37" spans="1:10" x14ac:dyDescent="0.25">
      <c r="A37">
        <v>2017</v>
      </c>
      <c r="B37" t="s">
        <v>43</v>
      </c>
      <c r="C37">
        <v>36</v>
      </c>
      <c r="D37">
        <v>6.3569998741149902</v>
      </c>
      <c r="E37">
        <v>1.07062232494354</v>
      </c>
      <c r="F37">
        <v>1.4021829366684</v>
      </c>
      <c r="G37">
        <v>0.59502792358398404</v>
      </c>
      <c r="H37">
        <v>0.47748741507530201</v>
      </c>
      <c r="I37">
        <v>0.149014472961426</v>
      </c>
      <c r="J37">
        <v>4.6668741852045101E-2</v>
      </c>
    </row>
    <row r="38" spans="1:10" x14ac:dyDescent="0.25">
      <c r="A38">
        <v>2017</v>
      </c>
      <c r="B38" t="s">
        <v>45</v>
      </c>
      <c r="C38">
        <v>37</v>
      </c>
      <c r="D38">
        <v>6.3439998626709002</v>
      </c>
      <c r="E38">
        <v>1.53062355518341</v>
      </c>
      <c r="F38">
        <v>1.28667759895325</v>
      </c>
      <c r="G38">
        <v>0.59014832973480202</v>
      </c>
      <c r="H38">
        <v>0.44975057244300798</v>
      </c>
      <c r="I38">
        <v>0.14761601388454401</v>
      </c>
      <c r="J38">
        <v>0.27343225479125999</v>
      </c>
    </row>
    <row r="39" spans="1:10" x14ac:dyDescent="0.25">
      <c r="A39">
        <v>2017</v>
      </c>
      <c r="B39" t="s">
        <v>52</v>
      </c>
      <c r="C39">
        <v>38</v>
      </c>
      <c r="D39">
        <v>6.1680002212524396</v>
      </c>
      <c r="E39">
        <v>1.36135590076447</v>
      </c>
      <c r="F39">
        <v>1.3802285194396999</v>
      </c>
      <c r="G39">
        <v>0.51998329162597701</v>
      </c>
      <c r="H39">
        <v>0.51863074302673295</v>
      </c>
      <c r="I39">
        <v>0.325296461582184</v>
      </c>
      <c r="J39">
        <v>8.9648161083459906E-3</v>
      </c>
    </row>
    <row r="40" spans="1:10" x14ac:dyDescent="0.25">
      <c r="A40">
        <v>2017</v>
      </c>
      <c r="B40" t="s">
        <v>50</v>
      </c>
      <c r="C40">
        <v>39</v>
      </c>
      <c r="D40">
        <v>6.1050000190734899</v>
      </c>
      <c r="E40">
        <v>1.63295245170593</v>
      </c>
      <c r="F40">
        <v>1.25969874858856</v>
      </c>
      <c r="G40">
        <v>0.63210570812225297</v>
      </c>
      <c r="H40">
        <v>0.49633759260177601</v>
      </c>
      <c r="I40">
        <v>0.22828979790210699</v>
      </c>
      <c r="J40">
        <v>0.21515955030918099</v>
      </c>
    </row>
    <row r="41" spans="1:10" x14ac:dyDescent="0.25">
      <c r="A41">
        <v>2017</v>
      </c>
      <c r="B41" t="s">
        <v>56</v>
      </c>
      <c r="C41">
        <v>40</v>
      </c>
      <c r="D41">
        <v>6.09800004959106</v>
      </c>
      <c r="E41">
        <v>1.3253935575485201</v>
      </c>
      <c r="F41">
        <v>1.50505924224854</v>
      </c>
      <c r="G41">
        <v>0.71273291110992398</v>
      </c>
      <c r="H41">
        <v>0.29581746459007302</v>
      </c>
      <c r="I41">
        <v>0.13654448091983801</v>
      </c>
      <c r="J41">
        <v>2.4210851639509201E-2</v>
      </c>
    </row>
    <row r="42" spans="1:10" x14ac:dyDescent="0.25">
      <c r="A42">
        <v>2017</v>
      </c>
      <c r="B42" t="s">
        <v>60</v>
      </c>
      <c r="C42">
        <v>41</v>
      </c>
      <c r="D42">
        <v>6.0869998931884801</v>
      </c>
      <c r="E42">
        <v>1.4884122610092201</v>
      </c>
      <c r="F42">
        <v>1.3231104612350499</v>
      </c>
      <c r="G42">
        <v>0.65313303470611594</v>
      </c>
      <c r="H42">
        <v>0.53674691915512096</v>
      </c>
      <c r="I42">
        <v>0.172668486833572</v>
      </c>
      <c r="J42">
        <v>0.25704216957092302</v>
      </c>
    </row>
    <row r="43" spans="1:10" x14ac:dyDescent="0.25">
      <c r="A43">
        <v>2017</v>
      </c>
      <c r="B43" t="s">
        <v>72</v>
      </c>
      <c r="C43">
        <v>42</v>
      </c>
      <c r="D43">
        <v>6.0840001106262198</v>
      </c>
      <c r="E43">
        <v>1.29121541976929</v>
      </c>
      <c r="F43">
        <v>1.28464603424072</v>
      </c>
      <c r="G43">
        <v>0.61878442764282204</v>
      </c>
      <c r="H43">
        <v>0.40226498246192899</v>
      </c>
      <c r="I43">
        <v>0.41660892963409402</v>
      </c>
      <c r="J43">
        <v>6.5600708127021803E-2</v>
      </c>
    </row>
    <row r="44" spans="1:10" x14ac:dyDescent="0.25">
      <c r="A44">
        <v>2017</v>
      </c>
      <c r="B44" t="s">
        <v>68</v>
      </c>
      <c r="C44">
        <v>43</v>
      </c>
      <c r="D44">
        <v>6.0710000991821298</v>
      </c>
      <c r="E44">
        <v>0.737299203872681</v>
      </c>
      <c r="F44">
        <v>1.28721570968628</v>
      </c>
      <c r="G44">
        <v>0.65309596061706499</v>
      </c>
      <c r="H44">
        <v>0.44755184650421098</v>
      </c>
      <c r="I44">
        <v>0.30167421698570301</v>
      </c>
      <c r="J44">
        <v>0.130687981843948</v>
      </c>
    </row>
    <row r="45" spans="1:10" x14ac:dyDescent="0.25">
      <c r="A45">
        <v>2017</v>
      </c>
      <c r="B45" t="s">
        <v>59</v>
      </c>
      <c r="C45">
        <v>44</v>
      </c>
      <c r="D45">
        <v>6.0079998970031703</v>
      </c>
      <c r="E45">
        <v>1.00082039833069</v>
      </c>
      <c r="F45">
        <v>1.2861688137054399</v>
      </c>
      <c r="G45">
        <v>0.68563622236251798</v>
      </c>
      <c r="H45">
        <v>0.45519819855690002</v>
      </c>
      <c r="I45">
        <v>0.150112465023994</v>
      </c>
      <c r="J45">
        <v>0.140134647488594</v>
      </c>
    </row>
    <row r="46" spans="1:10" x14ac:dyDescent="0.25">
      <c r="A46">
        <v>2017</v>
      </c>
      <c r="B46" t="s">
        <v>53</v>
      </c>
      <c r="C46">
        <v>45</v>
      </c>
      <c r="D46">
        <v>6.0029997825622603</v>
      </c>
      <c r="E46">
        <v>0.909784495830536</v>
      </c>
      <c r="F46">
        <v>1.1821250915527299</v>
      </c>
      <c r="G46">
        <v>0.59601855278015103</v>
      </c>
      <c r="H46">
        <v>0.43245252966880798</v>
      </c>
      <c r="I46">
        <v>7.8257985413074493E-2</v>
      </c>
      <c r="J46">
        <v>8.9980959892272894E-2</v>
      </c>
    </row>
    <row r="47" spans="1:10" x14ac:dyDescent="0.25">
      <c r="A47">
        <v>2017</v>
      </c>
      <c r="B47" t="s">
        <v>71</v>
      </c>
      <c r="C47">
        <v>46</v>
      </c>
      <c r="D47">
        <v>5.97300004959106</v>
      </c>
      <c r="E47">
        <v>1.29178786277771</v>
      </c>
      <c r="F47">
        <v>1.44571197032928</v>
      </c>
      <c r="G47">
        <v>0.69947534799575795</v>
      </c>
      <c r="H47">
        <v>0.52034211158752397</v>
      </c>
      <c r="I47">
        <v>0.158465966582298</v>
      </c>
      <c r="J47">
        <v>5.9307806193828597E-2</v>
      </c>
    </row>
    <row r="48" spans="1:10" x14ac:dyDescent="0.25">
      <c r="A48">
        <v>2017</v>
      </c>
      <c r="B48" t="s">
        <v>55</v>
      </c>
      <c r="C48">
        <v>47</v>
      </c>
      <c r="D48">
        <v>5.9710001945495597</v>
      </c>
      <c r="E48">
        <v>0.78644108772277799</v>
      </c>
      <c r="F48">
        <v>1.5489691495895399</v>
      </c>
      <c r="G48">
        <v>0.49827262759208701</v>
      </c>
      <c r="H48">
        <v>0.65824866294860795</v>
      </c>
      <c r="I48">
        <v>0.415983647108078</v>
      </c>
      <c r="J48">
        <v>0.24652822315692899</v>
      </c>
    </row>
    <row r="49" spans="1:10" x14ac:dyDescent="0.25">
      <c r="A49">
        <v>2017</v>
      </c>
      <c r="B49" t="s">
        <v>61</v>
      </c>
      <c r="C49">
        <v>48</v>
      </c>
      <c r="D49">
        <v>5.9640002250671396</v>
      </c>
      <c r="E49">
        <v>1.3950666189193699</v>
      </c>
      <c r="F49">
        <v>1.44492328166962</v>
      </c>
      <c r="G49">
        <v>0.85314434766769398</v>
      </c>
      <c r="H49">
        <v>0.25645071268081698</v>
      </c>
      <c r="I49">
        <v>0.17278964817524001</v>
      </c>
      <c r="J49">
        <v>2.8028091415762901E-2</v>
      </c>
    </row>
    <row r="50" spans="1:10" x14ac:dyDescent="0.25">
      <c r="A50">
        <v>2017</v>
      </c>
      <c r="B50" t="s">
        <v>75</v>
      </c>
      <c r="C50">
        <v>49</v>
      </c>
      <c r="D50">
        <v>5.9629998207092303</v>
      </c>
      <c r="E50">
        <v>1.28177809715271</v>
      </c>
      <c r="F50">
        <v>1.46928238868713</v>
      </c>
      <c r="G50">
        <v>0.547349333763123</v>
      </c>
      <c r="H50">
        <v>0.37378311157226601</v>
      </c>
      <c r="I50">
        <v>5.2263822406530401E-2</v>
      </c>
      <c r="J50">
        <v>3.2962881028652198E-2</v>
      </c>
    </row>
    <row r="51" spans="1:10" x14ac:dyDescent="0.25">
      <c r="A51">
        <v>2017</v>
      </c>
      <c r="B51" t="s">
        <v>174</v>
      </c>
      <c r="C51">
        <v>50</v>
      </c>
      <c r="D51">
        <v>5.9559998512268102</v>
      </c>
      <c r="E51">
        <v>0.90797531604766801</v>
      </c>
      <c r="F51">
        <v>1.0814177989959699</v>
      </c>
      <c r="G51">
        <v>0.45019176602363598</v>
      </c>
      <c r="H51">
        <v>0.54750937223434404</v>
      </c>
      <c r="I51">
        <v>0.24001564085483601</v>
      </c>
      <c r="J51">
        <v>9.6581071615219102E-2</v>
      </c>
    </row>
    <row r="52" spans="1:10" x14ac:dyDescent="0.25">
      <c r="A52">
        <v>2017</v>
      </c>
      <c r="B52" t="s">
        <v>57</v>
      </c>
      <c r="C52">
        <v>51</v>
      </c>
      <c r="D52">
        <v>5.9200000762939498</v>
      </c>
      <c r="E52">
        <v>1.41691517829895</v>
      </c>
      <c r="F52">
        <v>1.4363378286361701</v>
      </c>
      <c r="G52">
        <v>0.91347587108612105</v>
      </c>
      <c r="H52">
        <v>0.50562554597854603</v>
      </c>
      <c r="I52">
        <v>0.12057276815176</v>
      </c>
      <c r="J52">
        <v>0.163760736584663</v>
      </c>
    </row>
    <row r="53" spans="1:10" x14ac:dyDescent="0.25">
      <c r="A53">
        <v>2017</v>
      </c>
      <c r="B53" t="s">
        <v>67</v>
      </c>
      <c r="C53">
        <v>52</v>
      </c>
      <c r="D53">
        <v>5.90199995040894</v>
      </c>
      <c r="E53">
        <v>1.3145823478698699</v>
      </c>
      <c r="F53">
        <v>1.47351610660553</v>
      </c>
      <c r="G53">
        <v>0.62894994020462003</v>
      </c>
      <c r="H53">
        <v>0.23423178493976601</v>
      </c>
      <c r="I53">
        <v>1.0164656676352E-2</v>
      </c>
      <c r="J53">
        <v>1.18656428530812E-2</v>
      </c>
    </row>
    <row r="54" spans="1:10" x14ac:dyDescent="0.25">
      <c r="A54">
        <v>2017</v>
      </c>
      <c r="B54" t="s">
        <v>79</v>
      </c>
      <c r="C54">
        <v>53</v>
      </c>
      <c r="D54">
        <v>5.8720002174377397</v>
      </c>
      <c r="E54">
        <v>1.09186446666718</v>
      </c>
      <c r="F54">
        <v>1.1462174654007</v>
      </c>
      <c r="G54">
        <v>0.61758464574813798</v>
      </c>
      <c r="H54">
        <v>0.23333580791950201</v>
      </c>
      <c r="I54">
        <v>6.9436646997928606E-2</v>
      </c>
      <c r="J54">
        <v>0.14609611034393299</v>
      </c>
    </row>
    <row r="55" spans="1:10" x14ac:dyDescent="0.25">
      <c r="A55">
        <v>2017</v>
      </c>
      <c r="B55" t="s">
        <v>102</v>
      </c>
      <c r="C55">
        <v>54</v>
      </c>
      <c r="D55">
        <v>5.8499999046325701</v>
      </c>
      <c r="E55">
        <v>1.26074862480164</v>
      </c>
      <c r="F55">
        <v>1.4047149419784499</v>
      </c>
      <c r="G55">
        <v>0.63856697082519498</v>
      </c>
      <c r="H55">
        <v>0.32570791244506803</v>
      </c>
      <c r="I55">
        <v>0.153074786067009</v>
      </c>
      <c r="J55">
        <v>7.3842726647853907E-2</v>
      </c>
    </row>
    <row r="56" spans="1:10" x14ac:dyDescent="0.25">
      <c r="A56">
        <v>2017</v>
      </c>
      <c r="B56" t="s">
        <v>58</v>
      </c>
      <c r="C56">
        <v>55</v>
      </c>
      <c r="D56">
        <v>5.8379998207092303</v>
      </c>
      <c r="E56">
        <v>1.40167844295502</v>
      </c>
      <c r="F56">
        <v>1.12827444076538</v>
      </c>
      <c r="G56">
        <v>0.90021407604217496</v>
      </c>
      <c r="H56">
        <v>0.25792166590690602</v>
      </c>
      <c r="I56">
        <v>0.20667436718940699</v>
      </c>
      <c r="J56">
        <v>6.3282668590545696E-2</v>
      </c>
    </row>
    <row r="57" spans="1:10" x14ac:dyDescent="0.25">
      <c r="A57">
        <v>2017</v>
      </c>
      <c r="B57" t="s">
        <v>63</v>
      </c>
      <c r="C57">
        <v>56</v>
      </c>
      <c r="D57">
        <v>5.8379998207092303</v>
      </c>
      <c r="E57">
        <v>0.728870630264282</v>
      </c>
      <c r="F57">
        <v>1.25182557106018</v>
      </c>
      <c r="G57">
        <v>0.58946520090103105</v>
      </c>
      <c r="H57">
        <v>0.24072904884815199</v>
      </c>
      <c r="I57">
        <v>0.208779126405716</v>
      </c>
      <c r="J57">
        <v>1.00912861526012E-2</v>
      </c>
    </row>
    <row r="58" spans="1:10" x14ac:dyDescent="0.25">
      <c r="A58">
        <v>2017</v>
      </c>
      <c r="B58" t="s">
        <v>99</v>
      </c>
      <c r="C58">
        <v>57</v>
      </c>
      <c r="D58">
        <v>5.8249998092651403</v>
      </c>
      <c r="E58">
        <v>1.21768391132355</v>
      </c>
      <c r="F58">
        <v>1.15009129047394</v>
      </c>
      <c r="G58">
        <v>0.68515831232070901</v>
      </c>
      <c r="H58">
        <v>0.45700374245643599</v>
      </c>
      <c r="I58">
        <v>0.133519917726517</v>
      </c>
      <c r="J58">
        <v>4.3879006989300303E-3</v>
      </c>
    </row>
    <row r="59" spans="1:10" x14ac:dyDescent="0.25">
      <c r="A59">
        <v>2017</v>
      </c>
      <c r="B59" t="s">
        <v>62</v>
      </c>
      <c r="C59">
        <v>58</v>
      </c>
      <c r="D59">
        <v>5.8229999542236301</v>
      </c>
      <c r="E59">
        <v>0.83375656604766801</v>
      </c>
      <c r="F59">
        <v>1.2276190519332899</v>
      </c>
      <c r="G59">
        <v>0.47363024950027499</v>
      </c>
      <c r="H59">
        <v>0.55873292684555098</v>
      </c>
      <c r="I59">
        <v>0.22556072473526001</v>
      </c>
      <c r="J59">
        <v>6.0477726161479901E-2</v>
      </c>
    </row>
    <row r="60" spans="1:10" x14ac:dyDescent="0.25">
      <c r="A60">
        <v>2017</v>
      </c>
      <c r="B60" t="s">
        <v>81</v>
      </c>
      <c r="C60">
        <v>59</v>
      </c>
      <c r="D60">
        <v>5.82200002670288</v>
      </c>
      <c r="E60">
        <v>1.13077676296234</v>
      </c>
      <c r="F60">
        <v>1.4931491613388099</v>
      </c>
      <c r="G60">
        <v>0.437726080417633</v>
      </c>
      <c r="H60">
        <v>0.41827192902565002</v>
      </c>
      <c r="I60">
        <v>0.24992498755455</v>
      </c>
      <c r="J60">
        <v>0.259270340204239</v>
      </c>
    </row>
    <row r="61" spans="1:10" x14ac:dyDescent="0.25">
      <c r="A61">
        <v>2017</v>
      </c>
      <c r="B61" t="s">
        <v>65</v>
      </c>
      <c r="C61">
        <v>60</v>
      </c>
      <c r="D61">
        <v>5.8189997673034703</v>
      </c>
      <c r="E61">
        <v>1.28455626964569</v>
      </c>
      <c r="F61">
        <v>1.3843690156936601</v>
      </c>
      <c r="G61">
        <v>0.60604155063629195</v>
      </c>
      <c r="H61">
        <v>0.437454283237457</v>
      </c>
      <c r="I61">
        <v>0.20196442306041701</v>
      </c>
      <c r="J61">
        <v>0.119282886385918</v>
      </c>
    </row>
    <row r="62" spans="1:10" x14ac:dyDescent="0.25">
      <c r="A62">
        <v>2017</v>
      </c>
      <c r="B62" t="s">
        <v>77</v>
      </c>
      <c r="C62">
        <v>61</v>
      </c>
      <c r="D62">
        <v>5.8099999427795401</v>
      </c>
      <c r="E62">
        <v>1.3469113111496001</v>
      </c>
      <c r="F62">
        <v>1.1863033771514899</v>
      </c>
      <c r="G62">
        <v>0.83464723825454701</v>
      </c>
      <c r="H62">
        <v>0.47120362520217901</v>
      </c>
      <c r="I62">
        <v>0.266845703125</v>
      </c>
      <c r="J62">
        <v>0.15535335242748299</v>
      </c>
    </row>
    <row r="63" spans="1:10" x14ac:dyDescent="0.25">
      <c r="A63">
        <v>2017</v>
      </c>
      <c r="B63" t="s">
        <v>66</v>
      </c>
      <c r="C63">
        <v>62</v>
      </c>
      <c r="D63">
        <v>5.7579998970031703</v>
      </c>
      <c r="E63">
        <v>1.3412059545517001</v>
      </c>
      <c r="F63">
        <v>1.4525188207626301</v>
      </c>
      <c r="G63">
        <v>0.79082822799682595</v>
      </c>
      <c r="H63">
        <v>0.57257580757141102</v>
      </c>
      <c r="I63">
        <v>0.24264909327030201</v>
      </c>
      <c r="J63">
        <v>4.5128978788852699E-2</v>
      </c>
    </row>
    <row r="64" spans="1:10" x14ac:dyDescent="0.25">
      <c r="A64">
        <v>2017</v>
      </c>
      <c r="B64" t="s">
        <v>69</v>
      </c>
      <c r="C64">
        <v>63</v>
      </c>
      <c r="D64">
        <v>5.7150001525878897</v>
      </c>
      <c r="E64">
        <v>1.0352252721786499</v>
      </c>
      <c r="F64">
        <v>1.2187703847885101</v>
      </c>
      <c r="G64">
        <v>0.63016611337661699</v>
      </c>
      <c r="H64">
        <v>0.45000287890434298</v>
      </c>
      <c r="I64">
        <v>0.12681971490383101</v>
      </c>
      <c r="J64">
        <v>4.7049086540937403E-2</v>
      </c>
    </row>
    <row r="65" spans="1:10" x14ac:dyDescent="0.25">
      <c r="A65">
        <v>2017</v>
      </c>
      <c r="B65" t="s">
        <v>82</v>
      </c>
      <c r="C65">
        <v>64</v>
      </c>
      <c r="D65">
        <v>5.6290001869201696</v>
      </c>
      <c r="E65">
        <v>1.1893955469131501</v>
      </c>
      <c r="F65">
        <v>1.20956099033356</v>
      </c>
      <c r="G65">
        <v>0.63800746202468905</v>
      </c>
      <c r="H65">
        <v>0.49124732613563499</v>
      </c>
      <c r="I65">
        <v>0.36093375086784402</v>
      </c>
      <c r="J65">
        <v>4.2181555181741701E-2</v>
      </c>
    </row>
    <row r="66" spans="1:10" x14ac:dyDescent="0.25">
      <c r="A66">
        <v>2017</v>
      </c>
      <c r="B66" t="s">
        <v>78</v>
      </c>
      <c r="C66">
        <v>65</v>
      </c>
      <c r="D66">
        <v>5.6209998130798304</v>
      </c>
      <c r="E66">
        <v>1.3559380769729601</v>
      </c>
      <c r="F66">
        <v>1.13136327266693</v>
      </c>
      <c r="G66">
        <v>0.84471470117569003</v>
      </c>
      <c r="H66">
        <v>0.35511153936386097</v>
      </c>
      <c r="I66">
        <v>0.27125430107116699</v>
      </c>
      <c r="J66">
        <v>4.1237976402044303E-2</v>
      </c>
    </row>
    <row r="67" spans="1:10" x14ac:dyDescent="0.25">
      <c r="A67">
        <v>2017</v>
      </c>
      <c r="B67" t="s">
        <v>85</v>
      </c>
      <c r="C67">
        <v>66</v>
      </c>
      <c r="D67">
        <v>5.6110000610351598</v>
      </c>
      <c r="E67">
        <v>1.32087934017181</v>
      </c>
      <c r="F67">
        <v>1.4766710996627801</v>
      </c>
      <c r="G67">
        <v>0.695168316364288</v>
      </c>
      <c r="H67">
        <v>0.479131430387497</v>
      </c>
      <c r="I67">
        <v>9.8890811204910306E-2</v>
      </c>
      <c r="J67">
        <v>0.183248922228813</v>
      </c>
    </row>
    <row r="68" spans="1:10" x14ac:dyDescent="0.25">
      <c r="A68">
        <v>2017</v>
      </c>
      <c r="B68" t="s">
        <v>70</v>
      </c>
      <c r="C68">
        <v>67</v>
      </c>
      <c r="D68">
        <v>5.5689997673034703</v>
      </c>
      <c r="E68">
        <v>1.1565575599670399</v>
      </c>
      <c r="F68">
        <v>1.44494521617889</v>
      </c>
      <c r="G68">
        <v>0.63771426677703902</v>
      </c>
      <c r="H68">
        <v>0.29540026187896701</v>
      </c>
      <c r="I68">
        <v>0.15513750910759</v>
      </c>
      <c r="J68">
        <v>0.156313821673393</v>
      </c>
    </row>
    <row r="69" spans="1:10" x14ac:dyDescent="0.25">
      <c r="A69">
        <v>2017</v>
      </c>
      <c r="B69" t="s">
        <v>74</v>
      </c>
      <c r="C69">
        <v>68</v>
      </c>
      <c r="D69">
        <v>5.5250000953674299</v>
      </c>
      <c r="E69">
        <v>1.1018030643463099</v>
      </c>
      <c r="F69">
        <v>1.3575643301010101</v>
      </c>
      <c r="G69">
        <v>0.52016901969909701</v>
      </c>
      <c r="H69">
        <v>0.46573323011398299</v>
      </c>
      <c r="I69">
        <v>0.15207366645336201</v>
      </c>
      <c r="J69">
        <v>9.2610210180282607E-2</v>
      </c>
    </row>
    <row r="70" spans="1:10" x14ac:dyDescent="0.25">
      <c r="A70">
        <v>2017</v>
      </c>
      <c r="B70" t="s">
        <v>88</v>
      </c>
      <c r="C70">
        <v>69</v>
      </c>
      <c r="D70">
        <v>5.5</v>
      </c>
      <c r="E70">
        <v>1.19827437400818</v>
      </c>
      <c r="F70">
        <v>1.3377531766891499</v>
      </c>
      <c r="G70">
        <v>0.63760560750961304</v>
      </c>
      <c r="H70">
        <v>0.30074059963226302</v>
      </c>
      <c r="I70">
        <v>4.6693041920661899E-2</v>
      </c>
      <c r="J70">
        <v>9.9671579897403703E-2</v>
      </c>
    </row>
    <row r="71" spans="1:10" x14ac:dyDescent="0.25">
      <c r="A71">
        <v>2017</v>
      </c>
      <c r="B71" t="s">
        <v>64</v>
      </c>
      <c r="C71">
        <v>70</v>
      </c>
      <c r="D71">
        <v>5.4930000305175799</v>
      </c>
      <c r="E71">
        <v>0.93253731727600098</v>
      </c>
      <c r="F71">
        <v>1.50728487968445</v>
      </c>
      <c r="G71">
        <v>0.57925069332122803</v>
      </c>
      <c r="H71">
        <v>0.47350779175758401</v>
      </c>
      <c r="I71">
        <v>0.22415065765380901</v>
      </c>
      <c r="J71">
        <v>9.1065913438796997E-2</v>
      </c>
    </row>
    <row r="72" spans="1:10" x14ac:dyDescent="0.25">
      <c r="A72">
        <v>2017</v>
      </c>
      <c r="B72" t="s">
        <v>180</v>
      </c>
      <c r="C72">
        <v>71</v>
      </c>
      <c r="D72">
        <v>5.4720001220703098</v>
      </c>
      <c r="E72">
        <v>1.55167484283447</v>
      </c>
      <c r="F72">
        <v>1.2627909183502199</v>
      </c>
      <c r="G72">
        <v>0.943062424659729</v>
      </c>
      <c r="H72">
        <v>0.49096864461898798</v>
      </c>
      <c r="I72">
        <v>0.37446579337120101</v>
      </c>
      <c r="J72">
        <v>0.29393374919891402</v>
      </c>
    </row>
    <row r="73" spans="1:10" x14ac:dyDescent="0.25">
      <c r="A73">
        <v>2017</v>
      </c>
      <c r="B73" t="s">
        <v>103</v>
      </c>
      <c r="C73">
        <v>72</v>
      </c>
      <c r="D73">
        <v>5.4299998283386204</v>
      </c>
      <c r="E73">
        <v>0.85769921541214</v>
      </c>
      <c r="F73">
        <v>1.25391757488251</v>
      </c>
      <c r="G73">
        <v>0.46800905466079701</v>
      </c>
      <c r="H73">
        <v>0.58521467447280895</v>
      </c>
      <c r="I73">
        <v>0.193513423204422</v>
      </c>
      <c r="J73">
        <v>9.9331893026828794E-2</v>
      </c>
    </row>
    <row r="74" spans="1:10" x14ac:dyDescent="0.25">
      <c r="A74">
        <v>2017</v>
      </c>
      <c r="B74" t="s">
        <v>100</v>
      </c>
      <c r="C74">
        <v>73</v>
      </c>
      <c r="D74">
        <v>5.3949999809265101</v>
      </c>
      <c r="E74">
        <v>1.0693175792694101</v>
      </c>
      <c r="F74">
        <v>1.25818979740143</v>
      </c>
      <c r="G74">
        <v>0.65078467130661</v>
      </c>
      <c r="H74">
        <v>0.20871552824974099</v>
      </c>
      <c r="I74">
        <v>0.22012588381767301</v>
      </c>
      <c r="J74">
        <v>4.0903780609369299E-2</v>
      </c>
    </row>
    <row r="75" spans="1:10" x14ac:dyDescent="0.25">
      <c r="A75">
        <v>2017</v>
      </c>
      <c r="B75" t="s">
        <v>95</v>
      </c>
      <c r="C75">
        <v>74</v>
      </c>
      <c r="D75">
        <v>5.3359999656677202</v>
      </c>
      <c r="E75">
        <v>0.99101239442825295</v>
      </c>
      <c r="F75">
        <v>1.2390888929367101</v>
      </c>
      <c r="G75">
        <v>0.60459005832672097</v>
      </c>
      <c r="H75">
        <v>0.41842114925384499</v>
      </c>
      <c r="I75">
        <v>0.172170460224152</v>
      </c>
      <c r="J75">
        <v>0.11980327218771</v>
      </c>
    </row>
    <row r="76" spans="1:10" x14ac:dyDescent="0.25">
      <c r="A76">
        <v>2017</v>
      </c>
      <c r="B76" t="s">
        <v>117</v>
      </c>
      <c r="C76">
        <v>75</v>
      </c>
      <c r="D76">
        <v>5.3239998817443803</v>
      </c>
      <c r="E76">
        <v>1.2860119342803999</v>
      </c>
      <c r="F76">
        <v>1.34313309192657</v>
      </c>
      <c r="G76">
        <v>0.687763452529907</v>
      </c>
      <c r="H76">
        <v>0.17586351931095101</v>
      </c>
      <c r="I76">
        <v>7.84016624093056E-2</v>
      </c>
      <c r="J76">
        <v>3.66369374096394E-2</v>
      </c>
    </row>
    <row r="77" spans="1:10" x14ac:dyDescent="0.25">
      <c r="A77">
        <v>2017</v>
      </c>
      <c r="B77" t="s">
        <v>76</v>
      </c>
      <c r="C77">
        <v>76</v>
      </c>
      <c r="D77">
        <v>5.3109998703002903</v>
      </c>
      <c r="E77">
        <v>0.92557930946350098</v>
      </c>
      <c r="F77">
        <v>1.3682180643081701</v>
      </c>
      <c r="G77">
        <v>0.64102238416671797</v>
      </c>
      <c r="H77">
        <v>0.47430723905563399</v>
      </c>
      <c r="I77">
        <v>0.23381833732128099</v>
      </c>
      <c r="J77">
        <v>5.5267781019210802E-2</v>
      </c>
    </row>
    <row r="78" spans="1:10" x14ac:dyDescent="0.25">
      <c r="A78">
        <v>2017</v>
      </c>
      <c r="B78" t="s">
        <v>73</v>
      </c>
      <c r="C78">
        <v>77</v>
      </c>
      <c r="D78">
        <v>5.2930002212524396</v>
      </c>
      <c r="E78">
        <v>1.22255623340607</v>
      </c>
      <c r="F78">
        <v>0.96798300743103005</v>
      </c>
      <c r="G78">
        <v>0.701288521289825</v>
      </c>
      <c r="H78">
        <v>0.25577229261398299</v>
      </c>
      <c r="I78">
        <v>0.24800297617912301</v>
      </c>
      <c r="J78">
        <v>4.3103110045194598E-2</v>
      </c>
    </row>
    <row r="79" spans="1:10" x14ac:dyDescent="0.25">
      <c r="A79">
        <v>2017</v>
      </c>
      <c r="B79" t="s">
        <v>80</v>
      </c>
      <c r="C79">
        <v>78</v>
      </c>
      <c r="D79">
        <v>5.2789998054504403</v>
      </c>
      <c r="E79">
        <v>0.95148438215255704</v>
      </c>
      <c r="F79">
        <v>1.1378535032272299</v>
      </c>
      <c r="G79">
        <v>0.54145205020904497</v>
      </c>
      <c r="H79">
        <v>0.26028794050216703</v>
      </c>
      <c r="I79">
        <v>0.31993144750595098</v>
      </c>
      <c r="J79">
        <v>5.7471618056297302E-2</v>
      </c>
    </row>
    <row r="80" spans="1:10" x14ac:dyDescent="0.25">
      <c r="A80">
        <v>2017</v>
      </c>
      <c r="B80" t="s">
        <v>97</v>
      </c>
      <c r="C80">
        <v>79</v>
      </c>
      <c r="D80">
        <v>5.2729997634887704</v>
      </c>
      <c r="E80">
        <v>1.08116579055786</v>
      </c>
      <c r="F80">
        <v>1.1608374118804901</v>
      </c>
      <c r="G80">
        <v>0.74141550064086903</v>
      </c>
      <c r="H80">
        <v>0.47278770804405201</v>
      </c>
      <c r="I80">
        <v>2.8806841000914601E-2</v>
      </c>
      <c r="J80">
        <v>2.2794274613261199E-2</v>
      </c>
    </row>
    <row r="81" spans="1:10" x14ac:dyDescent="0.25">
      <c r="A81">
        <v>2017</v>
      </c>
      <c r="B81" t="s">
        <v>94</v>
      </c>
      <c r="C81">
        <v>80</v>
      </c>
      <c r="D81">
        <v>5.2690000534057599</v>
      </c>
      <c r="E81">
        <v>0.72688353061676003</v>
      </c>
      <c r="F81">
        <v>0.672690689563751</v>
      </c>
      <c r="G81">
        <v>0.40204778313636802</v>
      </c>
      <c r="H81">
        <v>0.23521526157855999</v>
      </c>
      <c r="I81">
        <v>0.31544601917266801</v>
      </c>
      <c r="J81">
        <v>0.124348066747189</v>
      </c>
    </row>
    <row r="82" spans="1:10" x14ac:dyDescent="0.25">
      <c r="A82">
        <v>2017</v>
      </c>
      <c r="B82" t="s">
        <v>86</v>
      </c>
      <c r="C82">
        <v>81</v>
      </c>
      <c r="D82">
        <v>5.2620000839233398</v>
      </c>
      <c r="E82">
        <v>0.99553859233856201</v>
      </c>
      <c r="F82">
        <v>1.2744446992874101</v>
      </c>
      <c r="G82">
        <v>0.492345720529556</v>
      </c>
      <c r="H82">
        <v>0.44332346320152299</v>
      </c>
      <c r="I82">
        <v>0.61170458793640103</v>
      </c>
      <c r="J82">
        <v>1.5317135490477101E-2</v>
      </c>
    </row>
    <row r="83" spans="1:10" x14ac:dyDescent="0.25">
      <c r="A83">
        <v>2017</v>
      </c>
      <c r="B83" t="s">
        <v>31</v>
      </c>
      <c r="C83">
        <v>82</v>
      </c>
      <c r="D83">
        <v>5.25</v>
      </c>
      <c r="E83">
        <v>1.1284312009811399</v>
      </c>
      <c r="F83">
        <v>1.4313375949859599</v>
      </c>
      <c r="G83">
        <v>0.61714422702789296</v>
      </c>
      <c r="H83">
        <v>0.153997123241425</v>
      </c>
      <c r="I83">
        <v>6.5019629895687103E-2</v>
      </c>
      <c r="J83">
        <v>6.4491122961044298E-2</v>
      </c>
    </row>
    <row r="84" spans="1:10" x14ac:dyDescent="0.25">
      <c r="A84">
        <v>2017</v>
      </c>
      <c r="B84" t="s">
        <v>96</v>
      </c>
      <c r="C84">
        <v>83</v>
      </c>
      <c r="D84">
        <v>5.23699998855591</v>
      </c>
      <c r="E84">
        <v>1.1211290359497099</v>
      </c>
      <c r="F84">
        <v>1.23837649822235</v>
      </c>
      <c r="G84">
        <v>0.66746467351913497</v>
      </c>
      <c r="H84">
        <v>0.19498905539512601</v>
      </c>
      <c r="I84">
        <v>0.19791102409362801</v>
      </c>
      <c r="J84">
        <v>8.8174194097518893E-2</v>
      </c>
    </row>
    <row r="85" spans="1:10" x14ac:dyDescent="0.25">
      <c r="A85">
        <v>2017</v>
      </c>
      <c r="B85" t="s">
        <v>105</v>
      </c>
      <c r="C85">
        <v>84</v>
      </c>
      <c r="D85">
        <v>5.2350001335143999</v>
      </c>
      <c r="E85">
        <v>0.87811458110809304</v>
      </c>
      <c r="F85">
        <v>0.77486443519592296</v>
      </c>
      <c r="G85">
        <v>0.59771066904068004</v>
      </c>
      <c r="H85">
        <v>0.40815833210945102</v>
      </c>
      <c r="I85">
        <v>3.2209955155849498E-2</v>
      </c>
      <c r="J85">
        <v>8.7763182818889604E-2</v>
      </c>
    </row>
    <row r="86" spans="1:10" x14ac:dyDescent="0.25">
      <c r="A86">
        <v>2017</v>
      </c>
      <c r="B86" t="s">
        <v>93</v>
      </c>
      <c r="C86">
        <v>85</v>
      </c>
      <c r="D86">
        <v>5.2340002059936497</v>
      </c>
      <c r="E86">
        <v>1.1536017656326301</v>
      </c>
      <c r="F86">
        <v>1.15240025520325</v>
      </c>
      <c r="G86">
        <v>0.54077577590942405</v>
      </c>
      <c r="H86">
        <v>0.398155838251114</v>
      </c>
      <c r="I86">
        <v>4.5269340276718098E-2</v>
      </c>
      <c r="J86">
        <v>0.18098750710487399</v>
      </c>
    </row>
    <row r="87" spans="1:10" x14ac:dyDescent="0.25">
      <c r="A87">
        <v>2017</v>
      </c>
      <c r="B87" t="s">
        <v>111</v>
      </c>
      <c r="C87">
        <v>86</v>
      </c>
      <c r="D87">
        <v>5.2300000190734899</v>
      </c>
      <c r="E87">
        <v>1.07937383651733</v>
      </c>
      <c r="F87">
        <v>1.40241670608521</v>
      </c>
      <c r="G87">
        <v>0.57487374544143699</v>
      </c>
      <c r="H87">
        <v>0.55258983373642001</v>
      </c>
      <c r="I87">
        <v>0.18696784973144501</v>
      </c>
      <c r="J87">
        <v>0.113945253193378</v>
      </c>
    </row>
    <row r="88" spans="1:10" x14ac:dyDescent="0.25">
      <c r="A88">
        <v>2017</v>
      </c>
      <c r="B88" t="s">
        <v>115</v>
      </c>
      <c r="C88">
        <v>87</v>
      </c>
      <c r="D88">
        <v>5.2270002365112296</v>
      </c>
      <c r="E88">
        <v>1.2894874811172501</v>
      </c>
      <c r="F88">
        <v>1.2394145727157599</v>
      </c>
      <c r="G88">
        <v>0.81019890308380105</v>
      </c>
      <c r="H88">
        <v>9.5731250941753401E-2</v>
      </c>
      <c r="I88">
        <v>0</v>
      </c>
      <c r="J88">
        <v>4.3289776891469997E-2</v>
      </c>
    </row>
    <row r="89" spans="1:10" x14ac:dyDescent="0.25">
      <c r="A89">
        <v>2017</v>
      </c>
      <c r="B89" t="s">
        <v>116</v>
      </c>
      <c r="C89">
        <v>88</v>
      </c>
      <c r="D89">
        <v>5.2249999046325701</v>
      </c>
      <c r="E89">
        <v>1.0749875307083101</v>
      </c>
      <c r="F89">
        <v>1.1296242475509599</v>
      </c>
      <c r="G89">
        <v>0.73508107662200906</v>
      </c>
      <c r="H89">
        <v>0.288515985012054</v>
      </c>
      <c r="I89">
        <v>0.26445075869560197</v>
      </c>
      <c r="J89">
        <v>3.7513829767704003E-2</v>
      </c>
    </row>
    <row r="90" spans="1:10" x14ac:dyDescent="0.25">
      <c r="A90">
        <v>2017</v>
      </c>
      <c r="B90" t="s">
        <v>101</v>
      </c>
      <c r="C90">
        <v>89</v>
      </c>
      <c r="D90">
        <v>5.1950001716613796</v>
      </c>
      <c r="E90">
        <v>1.3151752948761</v>
      </c>
      <c r="F90">
        <v>1.36704301834106</v>
      </c>
      <c r="G90">
        <v>0.79584354162216198</v>
      </c>
      <c r="H90">
        <v>0.49846529960632302</v>
      </c>
      <c r="I90">
        <v>9.5102712512016296E-2</v>
      </c>
      <c r="J90">
        <v>1.5869451686739901E-2</v>
      </c>
    </row>
    <row r="91" spans="1:10" x14ac:dyDescent="0.25">
      <c r="A91">
        <v>2017</v>
      </c>
      <c r="B91" t="s">
        <v>109</v>
      </c>
      <c r="C91">
        <v>90</v>
      </c>
      <c r="D91">
        <v>5.1820001602172896</v>
      </c>
      <c r="E91">
        <v>0.98240941762924205</v>
      </c>
      <c r="F91">
        <v>1.0693359375</v>
      </c>
      <c r="G91">
        <v>0.705186307430267</v>
      </c>
      <c r="H91">
        <v>0.204403176903725</v>
      </c>
      <c r="I91">
        <v>0.32886749505996699</v>
      </c>
      <c r="J91">
        <v>0</v>
      </c>
    </row>
    <row r="92" spans="1:10" x14ac:dyDescent="0.25">
      <c r="A92">
        <v>2017</v>
      </c>
      <c r="B92" t="s">
        <v>118</v>
      </c>
      <c r="C92">
        <v>91</v>
      </c>
      <c r="D92">
        <v>5.1810002326965297</v>
      </c>
      <c r="E92">
        <v>0.73057311773300204</v>
      </c>
      <c r="F92">
        <v>1.1439449787139899</v>
      </c>
      <c r="G92">
        <v>0.582569479942322</v>
      </c>
      <c r="H92">
        <v>0.34807986021041898</v>
      </c>
      <c r="I92">
        <v>0.23618887364864299</v>
      </c>
      <c r="J92">
        <v>7.3345452547073406E-2</v>
      </c>
    </row>
    <row r="93" spans="1:10" x14ac:dyDescent="0.25">
      <c r="A93">
        <v>2017</v>
      </c>
      <c r="B93" t="s">
        <v>106</v>
      </c>
      <c r="C93">
        <v>92</v>
      </c>
      <c r="D93">
        <v>5.1750001907348597</v>
      </c>
      <c r="E93">
        <v>1.0645779371261599</v>
      </c>
      <c r="F93">
        <v>1.2078930139541599</v>
      </c>
      <c r="G93">
        <v>0.64494818449020397</v>
      </c>
      <c r="H93">
        <v>0.32590597867965698</v>
      </c>
      <c r="I93">
        <v>0.25376096367835999</v>
      </c>
      <c r="J93">
        <v>6.0277793556451797E-2</v>
      </c>
    </row>
    <row r="94" spans="1:10" x14ac:dyDescent="0.25">
      <c r="A94">
        <v>2017</v>
      </c>
      <c r="B94" t="s">
        <v>175</v>
      </c>
      <c r="C94">
        <v>93</v>
      </c>
      <c r="D94">
        <v>5.15100002288818</v>
      </c>
      <c r="E94">
        <v>2.2643184289336201E-2</v>
      </c>
      <c r="F94">
        <v>0.72115135192871105</v>
      </c>
      <c r="G94">
        <v>0.113989137113094</v>
      </c>
      <c r="H94">
        <v>0.60212695598602295</v>
      </c>
      <c r="I94">
        <v>0.29163131117820701</v>
      </c>
      <c r="J94">
        <v>0.28241032361984297</v>
      </c>
    </row>
    <row r="95" spans="1:10" x14ac:dyDescent="0.25">
      <c r="A95">
        <v>2017</v>
      </c>
      <c r="B95" t="s">
        <v>87</v>
      </c>
      <c r="C95">
        <v>94</v>
      </c>
      <c r="D95">
        <v>5.0739998817443803</v>
      </c>
      <c r="E95">
        <v>0.78854757547378496</v>
      </c>
      <c r="F95">
        <v>1.2774913311004601</v>
      </c>
      <c r="G95">
        <v>0.652168989181519</v>
      </c>
      <c r="H95">
        <v>0.57105559110641502</v>
      </c>
      <c r="I95">
        <v>0.234968051314354</v>
      </c>
      <c r="J95">
        <v>8.7633237242698697E-2</v>
      </c>
    </row>
    <row r="96" spans="1:10" x14ac:dyDescent="0.25">
      <c r="A96">
        <v>2017</v>
      </c>
      <c r="B96" t="s">
        <v>90</v>
      </c>
      <c r="C96">
        <v>95</v>
      </c>
      <c r="D96">
        <v>5.0739998817443803</v>
      </c>
      <c r="E96">
        <v>0.78375625610351596</v>
      </c>
      <c r="F96">
        <v>1.21577048301697</v>
      </c>
      <c r="G96">
        <v>5.6915730237960802E-2</v>
      </c>
      <c r="H96">
        <v>0.39495256543159502</v>
      </c>
      <c r="I96">
        <v>0.23094719648361201</v>
      </c>
      <c r="J96">
        <v>2.61215660721064E-2</v>
      </c>
    </row>
    <row r="97" spans="1:10" x14ac:dyDescent="0.25">
      <c r="A97">
        <v>2017</v>
      </c>
      <c r="B97" t="s">
        <v>119</v>
      </c>
      <c r="C97">
        <v>96</v>
      </c>
      <c r="D97">
        <v>5.0409998893737802</v>
      </c>
      <c r="E97">
        <v>0.524713635444641</v>
      </c>
      <c r="F97">
        <v>1.27146327495575</v>
      </c>
      <c r="G97">
        <v>0.52923512458801303</v>
      </c>
      <c r="H97">
        <v>0.47156670689582803</v>
      </c>
      <c r="I97">
        <v>0.24899764358997301</v>
      </c>
      <c r="J97">
        <v>0.14637714624404899</v>
      </c>
    </row>
    <row r="98" spans="1:10" x14ac:dyDescent="0.25">
      <c r="A98">
        <v>2017</v>
      </c>
      <c r="B98" t="s">
        <v>91</v>
      </c>
      <c r="C98">
        <v>97</v>
      </c>
      <c r="D98">
        <v>5.0110001564025897</v>
      </c>
      <c r="E98">
        <v>0.88541638851165805</v>
      </c>
      <c r="F98">
        <v>1.34012651443481</v>
      </c>
      <c r="G98">
        <v>0.49587929248809798</v>
      </c>
      <c r="H98">
        <v>0.50153768062591597</v>
      </c>
      <c r="I98">
        <v>0.474054545164108</v>
      </c>
      <c r="J98">
        <v>0.17338038980960799</v>
      </c>
    </row>
    <row r="99" spans="1:10" x14ac:dyDescent="0.25">
      <c r="A99">
        <v>2017</v>
      </c>
      <c r="B99" t="s">
        <v>89</v>
      </c>
      <c r="C99">
        <v>98</v>
      </c>
      <c r="D99">
        <v>5.0040001869201696</v>
      </c>
      <c r="E99">
        <v>0.59622007608413696</v>
      </c>
      <c r="F99">
        <v>1.3942385911941499</v>
      </c>
      <c r="G99">
        <v>0.55345779657363903</v>
      </c>
      <c r="H99">
        <v>0.45494338870048501</v>
      </c>
      <c r="I99">
        <v>0.42858037352562001</v>
      </c>
      <c r="J99">
        <v>3.9439179003238699E-2</v>
      </c>
    </row>
    <row r="100" spans="1:10" x14ac:dyDescent="0.25">
      <c r="A100">
        <v>2017</v>
      </c>
      <c r="B100" t="s">
        <v>134</v>
      </c>
      <c r="C100">
        <v>99</v>
      </c>
      <c r="D100">
        <v>4.9619998931884801</v>
      </c>
      <c r="E100">
        <v>0.47982019186019897</v>
      </c>
      <c r="F100">
        <v>1.17928326129913</v>
      </c>
      <c r="G100">
        <v>0.50413078069686901</v>
      </c>
      <c r="H100">
        <v>0.44030594825744601</v>
      </c>
      <c r="I100">
        <v>0.39409616589546198</v>
      </c>
      <c r="J100">
        <v>7.2975546121597304E-2</v>
      </c>
    </row>
    <row r="101" spans="1:10" x14ac:dyDescent="0.25">
      <c r="A101">
        <v>2017</v>
      </c>
      <c r="B101" t="s">
        <v>113</v>
      </c>
      <c r="C101">
        <v>100</v>
      </c>
      <c r="D101">
        <v>4.9549999237060502</v>
      </c>
      <c r="E101">
        <v>1.0272358655929601</v>
      </c>
      <c r="F101">
        <v>1.4930112361907999</v>
      </c>
      <c r="G101">
        <v>0.55778348445892301</v>
      </c>
      <c r="H101">
        <v>0.39414396882057201</v>
      </c>
      <c r="I101">
        <v>0.33846423029899603</v>
      </c>
      <c r="J101">
        <v>3.2902289181947701E-2</v>
      </c>
    </row>
    <row r="102" spans="1:10" x14ac:dyDescent="0.25">
      <c r="A102">
        <v>2017</v>
      </c>
      <c r="B102" t="s">
        <v>126</v>
      </c>
      <c r="C102">
        <v>101</v>
      </c>
      <c r="D102">
        <v>4.8289999961853001</v>
      </c>
      <c r="E102">
        <v>1.05469870567322</v>
      </c>
      <c r="F102">
        <v>1.38478863239288</v>
      </c>
      <c r="G102">
        <v>0.18708007037639601</v>
      </c>
      <c r="H102">
        <v>0.479246735572815</v>
      </c>
      <c r="I102">
        <v>0.13936237990856201</v>
      </c>
      <c r="J102">
        <v>7.2509497404098497E-2</v>
      </c>
    </row>
    <row r="103" spans="1:10" x14ac:dyDescent="0.25">
      <c r="A103">
        <v>2017</v>
      </c>
      <c r="B103" t="s">
        <v>120</v>
      </c>
      <c r="C103">
        <v>102</v>
      </c>
      <c r="D103">
        <v>4.8049998283386204</v>
      </c>
      <c r="E103">
        <v>1.0072658061981199</v>
      </c>
      <c r="F103">
        <v>0.86835145950317405</v>
      </c>
      <c r="G103">
        <v>0.61321204900741599</v>
      </c>
      <c r="H103">
        <v>0.28968068957328802</v>
      </c>
      <c r="I103">
        <v>4.96933571994305E-2</v>
      </c>
      <c r="J103">
        <v>8.6723148822784396E-2</v>
      </c>
    </row>
    <row r="104" spans="1:10" x14ac:dyDescent="0.25">
      <c r="A104">
        <v>2017</v>
      </c>
      <c r="B104" t="s">
        <v>121</v>
      </c>
      <c r="C104">
        <v>103</v>
      </c>
      <c r="D104">
        <v>4.7750000953674299</v>
      </c>
      <c r="E104">
        <v>0.71624922752380404</v>
      </c>
      <c r="F104">
        <v>1.1556471586227399</v>
      </c>
      <c r="G104">
        <v>0.56566697359085105</v>
      </c>
      <c r="H104">
        <v>0.25471106171607999</v>
      </c>
      <c r="I104">
        <v>0.114173173904419</v>
      </c>
      <c r="J104">
        <v>8.9282602071762099E-2</v>
      </c>
    </row>
    <row r="105" spans="1:10" x14ac:dyDescent="0.25">
      <c r="A105">
        <v>2017</v>
      </c>
      <c r="B105" t="s">
        <v>148</v>
      </c>
      <c r="C105">
        <v>104</v>
      </c>
      <c r="D105">
        <v>4.7350001335143999</v>
      </c>
      <c r="E105">
        <v>0.989701807498932</v>
      </c>
      <c r="F105">
        <v>0.99747139215469405</v>
      </c>
      <c r="G105">
        <v>0.52018725872039795</v>
      </c>
      <c r="H105">
        <v>0.282110154628754</v>
      </c>
      <c r="I105">
        <v>0.12863144278526301</v>
      </c>
      <c r="J105">
        <v>0.114381365478039</v>
      </c>
    </row>
    <row r="106" spans="1:10" x14ac:dyDescent="0.25">
      <c r="A106">
        <v>2017</v>
      </c>
      <c r="B106" t="s">
        <v>147</v>
      </c>
      <c r="C106">
        <v>105</v>
      </c>
      <c r="D106">
        <v>4.7140002250671396</v>
      </c>
      <c r="E106">
        <v>1.1614590883255</v>
      </c>
      <c r="F106">
        <v>1.4343794584274301</v>
      </c>
      <c r="G106">
        <v>0.70821768045425404</v>
      </c>
      <c r="H106">
        <v>0.289231717586517</v>
      </c>
      <c r="I106">
        <v>0.11317769438028299</v>
      </c>
      <c r="J106">
        <v>1.1051530949771401E-2</v>
      </c>
    </row>
    <row r="107" spans="1:10" x14ac:dyDescent="0.25">
      <c r="A107">
        <v>2017</v>
      </c>
      <c r="B107" t="s">
        <v>136</v>
      </c>
      <c r="C107">
        <v>106</v>
      </c>
      <c r="D107">
        <v>4.7090001106262198</v>
      </c>
      <c r="E107">
        <v>0.36842092871665999</v>
      </c>
      <c r="F107">
        <v>0.98413604497909501</v>
      </c>
      <c r="G107">
        <v>5.5647538974881198E-3</v>
      </c>
      <c r="H107">
        <v>0.31869769096374501</v>
      </c>
      <c r="I107">
        <v>0.293040901422501</v>
      </c>
      <c r="J107">
        <v>7.1095176041126307E-2</v>
      </c>
    </row>
    <row r="108" spans="1:10" x14ac:dyDescent="0.25">
      <c r="A108">
        <v>2017</v>
      </c>
      <c r="B108" t="s">
        <v>146</v>
      </c>
      <c r="C108">
        <v>107</v>
      </c>
      <c r="D108">
        <v>4.6950001716613796</v>
      </c>
      <c r="E108">
        <v>0.56430536508560203</v>
      </c>
      <c r="F108">
        <v>0.94601821899414096</v>
      </c>
      <c r="G108">
        <v>0.13289211690425901</v>
      </c>
      <c r="H108">
        <v>0.43038874864578203</v>
      </c>
      <c r="I108">
        <v>0.23629845678806299</v>
      </c>
      <c r="J108">
        <v>5.1306631416082403E-2</v>
      </c>
    </row>
    <row r="109" spans="1:10" x14ac:dyDescent="0.25">
      <c r="A109">
        <v>2017</v>
      </c>
      <c r="B109" t="s">
        <v>123</v>
      </c>
      <c r="C109">
        <v>108</v>
      </c>
      <c r="D109">
        <v>4.6919999122619602</v>
      </c>
      <c r="E109">
        <v>1.1568731069564799</v>
      </c>
      <c r="F109">
        <v>0.71155124902725198</v>
      </c>
      <c r="G109">
        <v>0.63933318853378296</v>
      </c>
      <c r="H109">
        <v>0.24932260811328899</v>
      </c>
      <c r="I109">
        <v>0.38724291324615501</v>
      </c>
      <c r="J109">
        <v>4.8761073499917998E-2</v>
      </c>
    </row>
    <row r="110" spans="1:10" x14ac:dyDescent="0.25">
      <c r="A110">
        <v>2017</v>
      </c>
      <c r="B110" t="s">
        <v>108</v>
      </c>
      <c r="C110">
        <v>109</v>
      </c>
      <c r="D110">
        <v>4.6440000534057599</v>
      </c>
      <c r="E110">
        <v>0.99619275331497203</v>
      </c>
      <c r="F110">
        <v>0.80368524789810203</v>
      </c>
      <c r="G110">
        <v>0.73115974664688099</v>
      </c>
      <c r="H110">
        <v>0.38149863481521601</v>
      </c>
      <c r="I110">
        <v>0.20131294429302199</v>
      </c>
      <c r="J110">
        <v>3.9864215999841697E-2</v>
      </c>
    </row>
    <row r="111" spans="1:10" x14ac:dyDescent="0.25">
      <c r="A111">
        <v>2017</v>
      </c>
      <c r="B111" t="s">
        <v>122</v>
      </c>
      <c r="C111">
        <v>110</v>
      </c>
      <c r="D111">
        <v>4.6079998016357404</v>
      </c>
      <c r="E111">
        <v>0.58668297529220603</v>
      </c>
      <c r="F111">
        <v>0.73513174057006803</v>
      </c>
      <c r="G111">
        <v>0.53324103355407704</v>
      </c>
      <c r="H111">
        <v>0.47835665941238398</v>
      </c>
      <c r="I111">
        <v>0.17225535213947299</v>
      </c>
      <c r="J111">
        <v>0.123717859387398</v>
      </c>
    </row>
    <row r="112" spans="1:10" x14ac:dyDescent="0.25">
      <c r="A112">
        <v>2017</v>
      </c>
      <c r="B112" t="s">
        <v>177</v>
      </c>
      <c r="C112">
        <v>111</v>
      </c>
      <c r="D112">
        <v>4.5739998817443803</v>
      </c>
      <c r="E112">
        <v>0.96443432569503795</v>
      </c>
      <c r="F112">
        <v>1.0984708070755</v>
      </c>
      <c r="G112">
        <v>0.33861181139946001</v>
      </c>
      <c r="H112">
        <v>0.52030354738235496</v>
      </c>
      <c r="I112">
        <v>7.7133744955062894E-2</v>
      </c>
      <c r="J112">
        <v>9.3146972358226804E-2</v>
      </c>
    </row>
    <row r="113" spans="1:10" x14ac:dyDescent="0.25">
      <c r="A113">
        <v>2017</v>
      </c>
      <c r="B113" t="s">
        <v>138</v>
      </c>
      <c r="C113">
        <v>112</v>
      </c>
      <c r="D113">
        <v>4.55299997329712</v>
      </c>
      <c r="E113">
        <v>0.56047946214675903</v>
      </c>
      <c r="F113">
        <v>1.0679507255554199</v>
      </c>
      <c r="G113">
        <v>0.30998834967613198</v>
      </c>
      <c r="H113">
        <v>0.45276376605033902</v>
      </c>
      <c r="I113">
        <v>0.444860309362411</v>
      </c>
      <c r="J113">
        <v>6.4641319215297699E-2</v>
      </c>
    </row>
    <row r="114" spans="1:10" x14ac:dyDescent="0.25">
      <c r="A114">
        <v>2017</v>
      </c>
      <c r="B114" t="s">
        <v>107</v>
      </c>
      <c r="C114">
        <v>113</v>
      </c>
      <c r="D114">
        <v>4.5500001907348597</v>
      </c>
      <c r="E114">
        <v>0.234305649995804</v>
      </c>
      <c r="F114">
        <v>0.87070101499557495</v>
      </c>
      <c r="G114">
        <v>0.106654435396194</v>
      </c>
      <c r="H114">
        <v>0.48079109191894498</v>
      </c>
      <c r="I114">
        <v>0.322228103876114</v>
      </c>
      <c r="J114">
        <v>0.179436385631561</v>
      </c>
    </row>
    <row r="115" spans="1:10" x14ac:dyDescent="0.25">
      <c r="A115">
        <v>2017</v>
      </c>
      <c r="B115" t="s">
        <v>142</v>
      </c>
      <c r="C115">
        <v>114</v>
      </c>
      <c r="D115">
        <v>4.5450000762939498</v>
      </c>
      <c r="E115">
        <v>0.36711055040359503</v>
      </c>
      <c r="F115">
        <v>1.12323594093323</v>
      </c>
      <c r="G115">
        <v>0.39752256870269798</v>
      </c>
      <c r="H115">
        <v>0.51449203491210904</v>
      </c>
      <c r="I115">
        <v>0.83807516098022505</v>
      </c>
      <c r="J115">
        <v>0.18881620466709101</v>
      </c>
    </row>
    <row r="116" spans="1:10" x14ac:dyDescent="0.25">
      <c r="A116">
        <v>2017</v>
      </c>
      <c r="B116" t="s">
        <v>155</v>
      </c>
      <c r="C116">
        <v>115</v>
      </c>
      <c r="D116">
        <v>4.5349998474121103</v>
      </c>
      <c r="E116">
        <v>0.479309022426605</v>
      </c>
      <c r="F116">
        <v>1.17969191074371</v>
      </c>
      <c r="G116">
        <v>0.409362852573395</v>
      </c>
      <c r="H116">
        <v>0.37792226672172502</v>
      </c>
      <c r="I116">
        <v>0.183468893170357</v>
      </c>
      <c r="J116">
        <v>0.115460447967052</v>
      </c>
    </row>
    <row r="117" spans="1:10" x14ac:dyDescent="0.25">
      <c r="A117">
        <v>2017</v>
      </c>
      <c r="B117" t="s">
        <v>98</v>
      </c>
      <c r="C117">
        <v>116</v>
      </c>
      <c r="D117">
        <v>4.5139999389648402</v>
      </c>
      <c r="E117">
        <v>0.63640677928924605</v>
      </c>
      <c r="F117">
        <v>1.0031872987747199</v>
      </c>
      <c r="G117">
        <v>0.25783589482307401</v>
      </c>
      <c r="H117">
        <v>0.46160349249839799</v>
      </c>
      <c r="I117">
        <v>0.24958014488220201</v>
      </c>
      <c r="J117">
        <v>7.8213550150394398E-2</v>
      </c>
    </row>
    <row r="118" spans="1:10" x14ac:dyDescent="0.25">
      <c r="A118">
        <v>2017</v>
      </c>
      <c r="B118" t="s">
        <v>125</v>
      </c>
      <c r="C118">
        <v>117</v>
      </c>
      <c r="D118">
        <v>4.4970002174377397</v>
      </c>
      <c r="E118">
        <v>1.10271048545837</v>
      </c>
      <c r="F118">
        <v>0.97861319780349698</v>
      </c>
      <c r="G118">
        <v>0.50118046998977706</v>
      </c>
      <c r="H118">
        <v>0.28855553269386303</v>
      </c>
      <c r="I118">
        <v>0.19963726401328999</v>
      </c>
      <c r="J118">
        <v>0.10721575468778601</v>
      </c>
    </row>
    <row r="119" spans="1:10" x14ac:dyDescent="0.25">
      <c r="A119">
        <v>2017</v>
      </c>
      <c r="B119" t="s">
        <v>156</v>
      </c>
      <c r="C119">
        <v>118</v>
      </c>
      <c r="D119">
        <v>4.4650001525878897</v>
      </c>
      <c r="E119">
        <v>1.1982102394103999</v>
      </c>
      <c r="F119">
        <v>1.1556202173232999</v>
      </c>
      <c r="G119">
        <v>0.356578588485718</v>
      </c>
      <c r="H119">
        <v>0.31232857704162598</v>
      </c>
      <c r="I119">
        <v>4.3785378336906398E-2</v>
      </c>
      <c r="J119">
        <v>7.6046787202358204E-2</v>
      </c>
    </row>
    <row r="120" spans="1:10" x14ac:dyDescent="0.25">
      <c r="A120">
        <v>2017</v>
      </c>
      <c r="B120" t="s">
        <v>135</v>
      </c>
      <c r="C120">
        <v>119</v>
      </c>
      <c r="D120">
        <v>4.46000003814697</v>
      </c>
      <c r="E120">
        <v>0.33923384547233598</v>
      </c>
      <c r="F120">
        <v>0.86466920375823997</v>
      </c>
      <c r="G120">
        <v>0.35340970754623402</v>
      </c>
      <c r="H120">
        <v>0.40884274244308499</v>
      </c>
      <c r="I120">
        <v>0.31265074014663702</v>
      </c>
      <c r="J120">
        <v>0.16545571386814101</v>
      </c>
    </row>
    <row r="121" spans="1:10" x14ac:dyDescent="0.25">
      <c r="A121">
        <v>2017</v>
      </c>
      <c r="B121" t="s">
        <v>145</v>
      </c>
      <c r="C121">
        <v>120</v>
      </c>
      <c r="D121">
        <v>4.4400000572204599</v>
      </c>
      <c r="E121">
        <v>1.0098501443862899</v>
      </c>
      <c r="F121">
        <v>1.25997638702393</v>
      </c>
      <c r="G121">
        <v>0.62513083219528198</v>
      </c>
      <c r="H121">
        <v>0.56121325492858898</v>
      </c>
      <c r="I121">
        <v>0.49086356163024902</v>
      </c>
      <c r="J121">
        <v>7.36539661884308E-2</v>
      </c>
    </row>
    <row r="122" spans="1:10" x14ac:dyDescent="0.25">
      <c r="A122">
        <v>2017</v>
      </c>
      <c r="B122" t="s">
        <v>140</v>
      </c>
      <c r="C122">
        <v>121</v>
      </c>
      <c r="D122">
        <v>4.3759999275207502</v>
      </c>
      <c r="E122">
        <v>0.90059673786163297</v>
      </c>
      <c r="F122">
        <v>1.0074837207794201</v>
      </c>
      <c r="G122">
        <v>0.63752442598342896</v>
      </c>
      <c r="H122">
        <v>0.198303267359734</v>
      </c>
      <c r="I122">
        <v>8.3488091826438904E-2</v>
      </c>
      <c r="J122">
        <v>2.66744215041399E-2</v>
      </c>
    </row>
    <row r="123" spans="1:10" x14ac:dyDescent="0.25">
      <c r="A123">
        <v>2017</v>
      </c>
      <c r="B123" t="s">
        <v>130</v>
      </c>
      <c r="C123">
        <v>122</v>
      </c>
      <c r="D123">
        <v>4.3150000572204599</v>
      </c>
      <c r="E123">
        <v>0.79222124814987205</v>
      </c>
      <c r="F123">
        <v>0.75437259674072299</v>
      </c>
      <c r="G123">
        <v>0.455427616834641</v>
      </c>
      <c r="H123">
        <v>0.46998700499534601</v>
      </c>
      <c r="I123">
        <v>0.23153848946094499</v>
      </c>
      <c r="J123">
        <v>9.22268852591515E-2</v>
      </c>
    </row>
    <row r="124" spans="1:10" x14ac:dyDescent="0.25">
      <c r="A124">
        <v>2017</v>
      </c>
      <c r="B124" t="s">
        <v>137</v>
      </c>
      <c r="C124">
        <v>123</v>
      </c>
      <c r="D124">
        <v>4.2919998168945304</v>
      </c>
      <c r="E124">
        <v>0.64845728874206499</v>
      </c>
      <c r="F124">
        <v>1.2720308303832999</v>
      </c>
      <c r="G124">
        <v>0.28534927964210499</v>
      </c>
      <c r="H124">
        <v>9.6098043024539906E-2</v>
      </c>
      <c r="I124">
        <v>0.20187002420425401</v>
      </c>
      <c r="J124">
        <v>0.13695700466632801</v>
      </c>
    </row>
    <row r="125" spans="1:10" x14ac:dyDescent="0.25">
      <c r="A125">
        <v>2017</v>
      </c>
      <c r="B125" t="s">
        <v>152</v>
      </c>
      <c r="C125">
        <v>124</v>
      </c>
      <c r="D125">
        <v>4.2909998893737802</v>
      </c>
      <c r="E125">
        <v>0.80896425247192405</v>
      </c>
      <c r="F125">
        <v>0.83204436302185103</v>
      </c>
      <c r="G125">
        <v>0.28995743393897999</v>
      </c>
      <c r="H125">
        <v>0.43502587080001798</v>
      </c>
      <c r="I125">
        <v>0.120852127671242</v>
      </c>
      <c r="J125">
        <v>7.9618133604526506E-2</v>
      </c>
    </row>
    <row r="126" spans="1:10" x14ac:dyDescent="0.25">
      <c r="A126">
        <v>2017</v>
      </c>
      <c r="B126" t="s">
        <v>143</v>
      </c>
      <c r="C126">
        <v>125</v>
      </c>
      <c r="D126">
        <v>4.2859997749328604</v>
      </c>
      <c r="E126">
        <v>0.95061266422271695</v>
      </c>
      <c r="F126">
        <v>0.57061493396759</v>
      </c>
      <c r="G126">
        <v>0.64954698085784901</v>
      </c>
      <c r="H126">
        <v>0.30941003561019897</v>
      </c>
      <c r="I126">
        <v>5.4008815437555299E-2</v>
      </c>
      <c r="J126">
        <v>0.25166663527488697</v>
      </c>
    </row>
    <row r="127" spans="1:10" x14ac:dyDescent="0.25">
      <c r="A127">
        <v>2017</v>
      </c>
      <c r="B127" t="s">
        <v>133</v>
      </c>
      <c r="C127">
        <v>126</v>
      </c>
      <c r="D127">
        <v>4.2800002098083496</v>
      </c>
      <c r="E127">
        <v>9.2102348804473905E-2</v>
      </c>
      <c r="F127">
        <v>1.2290234565734901</v>
      </c>
      <c r="G127">
        <v>0.191407024860382</v>
      </c>
      <c r="H127">
        <v>0.23596134781837499</v>
      </c>
      <c r="I127">
        <v>0.246455833315849</v>
      </c>
      <c r="J127">
        <v>6.02413564920425E-2</v>
      </c>
    </row>
    <row r="128" spans="1:10" x14ac:dyDescent="0.25">
      <c r="A128">
        <v>2017</v>
      </c>
      <c r="B128" t="s">
        <v>151</v>
      </c>
      <c r="C128">
        <v>127</v>
      </c>
      <c r="D128">
        <v>4.1900000572204599</v>
      </c>
      <c r="E128">
        <v>0.47618049383163502</v>
      </c>
      <c r="F128">
        <v>1.2814733982086199</v>
      </c>
      <c r="G128">
        <v>0.169365674257278</v>
      </c>
      <c r="H128">
        <v>0.30661374330520602</v>
      </c>
      <c r="I128">
        <v>0.18335419893264801</v>
      </c>
      <c r="J128">
        <v>0.10497024655342101</v>
      </c>
    </row>
    <row r="129" spans="1:10" x14ac:dyDescent="0.25">
      <c r="A129">
        <v>2017</v>
      </c>
      <c r="B129" t="s">
        <v>164</v>
      </c>
      <c r="C129">
        <v>128</v>
      </c>
      <c r="D129">
        <v>4.1799998283386204</v>
      </c>
      <c r="E129">
        <v>0.60304892063140902</v>
      </c>
      <c r="F129">
        <v>0.90478003025054898</v>
      </c>
      <c r="G129">
        <v>4.8642169684171697E-2</v>
      </c>
      <c r="H129">
        <v>0.44770619273185702</v>
      </c>
      <c r="I129">
        <v>0.20123746991157501</v>
      </c>
      <c r="J129">
        <v>0.130061775445938</v>
      </c>
    </row>
    <row r="130" spans="1:10" x14ac:dyDescent="0.25">
      <c r="A130">
        <v>2017</v>
      </c>
      <c r="B130" t="s">
        <v>158</v>
      </c>
      <c r="C130">
        <v>129</v>
      </c>
      <c r="D130">
        <v>4.1680002212524396</v>
      </c>
      <c r="E130">
        <v>0.601765096187592</v>
      </c>
      <c r="F130">
        <v>1.0062383413314799</v>
      </c>
      <c r="G130">
        <v>0.42978340387344399</v>
      </c>
      <c r="H130">
        <v>0.63337582349777199</v>
      </c>
      <c r="I130">
        <v>0.38592296838760398</v>
      </c>
      <c r="J130">
        <v>6.8105950951576205E-2</v>
      </c>
    </row>
    <row r="131" spans="1:10" x14ac:dyDescent="0.25">
      <c r="A131">
        <v>2017</v>
      </c>
      <c r="B131" t="s">
        <v>131</v>
      </c>
      <c r="C131">
        <v>130</v>
      </c>
      <c r="D131">
        <v>4.1389999389648402</v>
      </c>
      <c r="E131">
        <v>0.65951669216155995</v>
      </c>
      <c r="F131">
        <v>1.2140085697174099</v>
      </c>
      <c r="G131">
        <v>0.29092082381248502</v>
      </c>
      <c r="H131">
        <v>1.49958552792668E-2</v>
      </c>
      <c r="I131">
        <v>0.182317450642586</v>
      </c>
      <c r="J131">
        <v>8.9847519993782002E-2</v>
      </c>
    </row>
    <row r="132" spans="1:10" x14ac:dyDescent="0.25">
      <c r="A132">
        <v>2017</v>
      </c>
      <c r="B132" t="s">
        <v>127</v>
      </c>
      <c r="C132">
        <v>131</v>
      </c>
      <c r="D132">
        <v>4.1199998855590803</v>
      </c>
      <c r="E132">
        <v>0.66722482442855802</v>
      </c>
      <c r="F132">
        <v>0.87366473674774203</v>
      </c>
      <c r="G132">
        <v>0.295637726783752</v>
      </c>
      <c r="H132">
        <v>0.423026293516159</v>
      </c>
      <c r="I132">
        <v>0.25692394375801098</v>
      </c>
      <c r="J132">
        <v>2.5336369872093201E-2</v>
      </c>
    </row>
    <row r="133" spans="1:10" x14ac:dyDescent="0.25">
      <c r="A133">
        <v>2017</v>
      </c>
      <c r="B133" t="s">
        <v>124</v>
      </c>
      <c r="C133">
        <v>132</v>
      </c>
      <c r="D133">
        <v>4.0960001945495597</v>
      </c>
      <c r="E133">
        <v>0.89465194940567005</v>
      </c>
      <c r="F133">
        <v>1.39453756809235</v>
      </c>
      <c r="G133">
        <v>0.57590395212173495</v>
      </c>
      <c r="H133">
        <v>0.122974775731564</v>
      </c>
      <c r="I133">
        <v>0.27006146311759899</v>
      </c>
      <c r="J133">
        <v>2.3029470816254598E-2</v>
      </c>
    </row>
    <row r="134" spans="1:10" x14ac:dyDescent="0.25">
      <c r="A134">
        <v>2017</v>
      </c>
      <c r="B134" t="s">
        <v>154</v>
      </c>
      <c r="C134">
        <v>133</v>
      </c>
      <c r="D134">
        <v>4.0809998512268102</v>
      </c>
      <c r="E134">
        <v>0.38143071532249501</v>
      </c>
      <c r="F134">
        <v>1.12982773780823</v>
      </c>
      <c r="G134">
        <v>0.217632606625557</v>
      </c>
      <c r="H134">
        <v>0.443185955286026</v>
      </c>
      <c r="I134">
        <v>0.32576605677604697</v>
      </c>
      <c r="J134">
        <v>5.7069718837738002E-2</v>
      </c>
    </row>
    <row r="135" spans="1:10" x14ac:dyDescent="0.25">
      <c r="A135">
        <v>2017</v>
      </c>
      <c r="B135" t="s">
        <v>165</v>
      </c>
      <c r="C135">
        <v>134</v>
      </c>
      <c r="D135">
        <v>4.03200006484985</v>
      </c>
      <c r="E135">
        <v>0.35022771358490001</v>
      </c>
      <c r="F135">
        <v>1.04328000545502</v>
      </c>
      <c r="G135">
        <v>0.21584425866603901</v>
      </c>
      <c r="H135">
        <v>0.32436785101890597</v>
      </c>
      <c r="I135">
        <v>0.25086468458175698</v>
      </c>
      <c r="J135">
        <v>0.120328105986118</v>
      </c>
    </row>
    <row r="136" spans="1:10" x14ac:dyDescent="0.25">
      <c r="A136">
        <v>2017</v>
      </c>
      <c r="B136" t="s">
        <v>157</v>
      </c>
      <c r="C136">
        <v>135</v>
      </c>
      <c r="D136">
        <v>4.0279998779296902</v>
      </c>
      <c r="E136">
        <v>0.16192533075809501</v>
      </c>
      <c r="F136">
        <v>0.99302500486373901</v>
      </c>
      <c r="G136">
        <v>0.26850500702857999</v>
      </c>
      <c r="H136">
        <v>0.36365869641303999</v>
      </c>
      <c r="I136">
        <v>0.228673845529556</v>
      </c>
      <c r="J136">
        <v>0.13857294619083399</v>
      </c>
    </row>
    <row r="137" spans="1:10" x14ac:dyDescent="0.25">
      <c r="A137">
        <v>2017</v>
      </c>
      <c r="B137" t="s">
        <v>144</v>
      </c>
      <c r="C137">
        <v>136</v>
      </c>
      <c r="D137">
        <v>3.9700000286102299</v>
      </c>
      <c r="E137">
        <v>0.233442038297653</v>
      </c>
      <c r="F137">
        <v>0.51256883144378695</v>
      </c>
      <c r="G137">
        <v>0.31508958339691201</v>
      </c>
      <c r="H137">
        <v>0.46691465377807601</v>
      </c>
      <c r="I137">
        <v>0.287170469760895</v>
      </c>
      <c r="J137">
        <v>7.2711654007434803E-2</v>
      </c>
    </row>
    <row r="138" spans="1:10" x14ac:dyDescent="0.25">
      <c r="A138">
        <v>2017</v>
      </c>
      <c r="B138" t="s">
        <v>162</v>
      </c>
      <c r="C138">
        <v>137</v>
      </c>
      <c r="D138">
        <v>3.9360001087188698</v>
      </c>
      <c r="E138">
        <v>0.43801298737525901</v>
      </c>
      <c r="F138">
        <v>0.95385587215423595</v>
      </c>
      <c r="G138">
        <v>4.1134715080261203E-2</v>
      </c>
      <c r="H138">
        <v>0.16234202682971999</v>
      </c>
      <c r="I138">
        <v>0.21611385047435799</v>
      </c>
      <c r="J138">
        <v>5.3581882268190398E-2</v>
      </c>
    </row>
    <row r="139" spans="1:10" x14ac:dyDescent="0.25">
      <c r="A139">
        <v>2017</v>
      </c>
      <c r="B139" t="s">
        <v>128</v>
      </c>
      <c r="C139">
        <v>138</v>
      </c>
      <c r="D139">
        <v>3.875</v>
      </c>
      <c r="E139">
        <v>0.37584653496742199</v>
      </c>
      <c r="F139">
        <v>1.08309590816498</v>
      </c>
      <c r="G139">
        <v>0.19676375389099099</v>
      </c>
      <c r="H139">
        <v>0.336384207010269</v>
      </c>
      <c r="I139">
        <v>0.18914349377155301</v>
      </c>
      <c r="J139">
        <v>9.5375381410121904E-2</v>
      </c>
    </row>
    <row r="140" spans="1:10" x14ac:dyDescent="0.25">
      <c r="A140">
        <v>2017</v>
      </c>
      <c r="B140" t="s">
        <v>110</v>
      </c>
      <c r="C140">
        <v>139</v>
      </c>
      <c r="D140">
        <v>3.8080000877380402</v>
      </c>
      <c r="E140">
        <v>0.52102124691009499</v>
      </c>
      <c r="F140">
        <v>1.1900951862335201</v>
      </c>
      <c r="G140">
        <v>0</v>
      </c>
      <c r="H140">
        <v>0.39066129922866799</v>
      </c>
      <c r="I140">
        <v>0.15749727189540899</v>
      </c>
      <c r="J140">
        <v>0.11909464001655599</v>
      </c>
    </row>
    <row r="141" spans="1:10" x14ac:dyDescent="0.25">
      <c r="A141">
        <v>2017</v>
      </c>
      <c r="B141" t="s">
        <v>150</v>
      </c>
      <c r="C141">
        <v>140</v>
      </c>
      <c r="D141">
        <v>3.7950000762939502</v>
      </c>
      <c r="E141">
        <v>0.85842818021774303</v>
      </c>
      <c r="F141">
        <v>1.1044119596481301</v>
      </c>
      <c r="G141">
        <v>4.9868665635585799E-2</v>
      </c>
      <c r="H141">
        <v>0</v>
      </c>
      <c r="I141">
        <v>9.7926490008830996E-2</v>
      </c>
      <c r="J141">
        <v>6.9720335304737105E-2</v>
      </c>
    </row>
    <row r="142" spans="1:10" x14ac:dyDescent="0.25">
      <c r="A142">
        <v>2017</v>
      </c>
      <c r="B142" t="s">
        <v>166</v>
      </c>
      <c r="C142">
        <v>141</v>
      </c>
      <c r="D142">
        <v>3.7939999103546098</v>
      </c>
      <c r="E142">
        <v>0.40147721767425498</v>
      </c>
      <c r="F142">
        <v>0.58154332637786899</v>
      </c>
      <c r="G142">
        <v>0.18074677884578699</v>
      </c>
      <c r="H142">
        <v>0.10617952048778501</v>
      </c>
      <c r="I142">
        <v>0.31187093257904103</v>
      </c>
      <c r="J142">
        <v>6.1157830059528399E-2</v>
      </c>
    </row>
    <row r="143" spans="1:10" x14ac:dyDescent="0.25">
      <c r="A143">
        <v>2017</v>
      </c>
      <c r="B143" t="s">
        <v>141</v>
      </c>
      <c r="C143">
        <v>142</v>
      </c>
      <c r="D143">
        <v>3.7660000324249299</v>
      </c>
      <c r="E143">
        <v>1.1220941543579099</v>
      </c>
      <c r="F143">
        <v>1.2215549945831301</v>
      </c>
      <c r="G143">
        <v>0.34175550937652599</v>
      </c>
      <c r="H143">
        <v>0.505196332931519</v>
      </c>
      <c r="I143">
        <v>9.9348448216915103E-2</v>
      </c>
      <c r="J143">
        <v>9.8583199083805098E-2</v>
      </c>
    </row>
    <row r="144" spans="1:10" x14ac:dyDescent="0.25">
      <c r="A144">
        <v>2017</v>
      </c>
      <c r="B144" t="s">
        <v>168</v>
      </c>
      <c r="C144">
        <v>143</v>
      </c>
      <c r="D144">
        <v>3.65700006484985</v>
      </c>
      <c r="E144">
        <v>0.43108540773391701</v>
      </c>
      <c r="F144">
        <v>0.435299843549728</v>
      </c>
      <c r="G144">
        <v>0.20993021130561801</v>
      </c>
      <c r="H144">
        <v>0.42596277594566301</v>
      </c>
      <c r="I144">
        <v>0.20794846117496499</v>
      </c>
      <c r="J144">
        <v>6.0929015278816202E-2</v>
      </c>
    </row>
    <row r="145" spans="1:10" x14ac:dyDescent="0.25">
      <c r="A145">
        <v>2017</v>
      </c>
      <c r="B145" t="s">
        <v>160</v>
      </c>
      <c r="C145">
        <v>144</v>
      </c>
      <c r="D145">
        <v>3.6440000534057599</v>
      </c>
      <c r="E145">
        <v>0.30580869317054699</v>
      </c>
      <c r="F145">
        <v>0.91302037239074696</v>
      </c>
      <c r="G145">
        <v>0.375223308801651</v>
      </c>
      <c r="H145">
        <v>0.18919676542282099</v>
      </c>
      <c r="I145">
        <v>0.208732530474663</v>
      </c>
      <c r="J145">
        <v>6.7231975495815305E-2</v>
      </c>
    </row>
    <row r="146" spans="1:10" x14ac:dyDescent="0.25">
      <c r="A146">
        <v>2017</v>
      </c>
      <c r="B146" t="s">
        <v>132</v>
      </c>
      <c r="C146">
        <v>145</v>
      </c>
      <c r="D146">
        <v>3.6029999256134002</v>
      </c>
      <c r="E146">
        <v>0.36861026287078902</v>
      </c>
      <c r="F146">
        <v>0.64044982194900502</v>
      </c>
      <c r="G146">
        <v>0.27732113003730802</v>
      </c>
      <c r="H146">
        <v>3.0369857326149899E-2</v>
      </c>
      <c r="I146">
        <v>0.489203780889511</v>
      </c>
      <c r="J146">
        <v>9.9872149527072906E-2</v>
      </c>
    </row>
    <row r="147" spans="1:10" x14ac:dyDescent="0.25">
      <c r="A147">
        <v>2017</v>
      </c>
      <c r="B147" t="s">
        <v>149</v>
      </c>
      <c r="C147">
        <v>146</v>
      </c>
      <c r="D147">
        <v>3.59299993515015</v>
      </c>
      <c r="E147">
        <v>0.59168344736099199</v>
      </c>
      <c r="F147">
        <v>0.93538224697113004</v>
      </c>
      <c r="G147">
        <v>0.310080915689468</v>
      </c>
      <c r="H147">
        <v>0.24946372210979501</v>
      </c>
      <c r="I147">
        <v>0.104125209152699</v>
      </c>
      <c r="J147">
        <v>5.67674227058887E-2</v>
      </c>
    </row>
    <row r="148" spans="1:10" x14ac:dyDescent="0.25">
      <c r="A148">
        <v>2017</v>
      </c>
      <c r="B148" t="s">
        <v>178</v>
      </c>
      <c r="C148">
        <v>147</v>
      </c>
      <c r="D148">
        <v>3.5910000801086399</v>
      </c>
      <c r="E148">
        <v>0.39724862575531</v>
      </c>
      <c r="F148">
        <v>0.60132312774658203</v>
      </c>
      <c r="G148">
        <v>0.16348600387573201</v>
      </c>
      <c r="H148">
        <v>0.14706243574619299</v>
      </c>
      <c r="I148">
        <v>0.285670816898346</v>
      </c>
      <c r="J148">
        <v>0.116793513298035</v>
      </c>
    </row>
    <row r="149" spans="1:10" x14ac:dyDescent="0.25">
      <c r="A149">
        <v>2017</v>
      </c>
      <c r="B149" t="s">
        <v>129</v>
      </c>
      <c r="C149">
        <v>148</v>
      </c>
      <c r="D149">
        <v>3.5329999923706099</v>
      </c>
      <c r="E149">
        <v>0.119041793048382</v>
      </c>
      <c r="F149">
        <v>0.87211793661117598</v>
      </c>
      <c r="G149">
        <v>0.22991819679737099</v>
      </c>
      <c r="H149">
        <v>0.33288118243217502</v>
      </c>
      <c r="I149">
        <v>0.26654988527298001</v>
      </c>
      <c r="J149">
        <v>3.8948249071836499E-2</v>
      </c>
    </row>
    <row r="150" spans="1:10" x14ac:dyDescent="0.25">
      <c r="A150">
        <v>2017</v>
      </c>
      <c r="B150" t="s">
        <v>163</v>
      </c>
      <c r="C150">
        <v>149</v>
      </c>
      <c r="D150">
        <v>3.5069999694824201</v>
      </c>
      <c r="E150">
        <v>0.244549930095673</v>
      </c>
      <c r="F150">
        <v>0.79124468564987205</v>
      </c>
      <c r="G150">
        <v>0.194129139184952</v>
      </c>
      <c r="H150">
        <v>0.34858751296997098</v>
      </c>
      <c r="I150">
        <v>0.26481509208679199</v>
      </c>
      <c r="J150">
        <v>0.110937617719173</v>
      </c>
    </row>
    <row r="151" spans="1:10" x14ac:dyDescent="0.25">
      <c r="A151">
        <v>2017</v>
      </c>
      <c r="B151" t="s">
        <v>171</v>
      </c>
      <c r="C151">
        <v>150</v>
      </c>
      <c r="D151">
        <v>3.4949998855590798</v>
      </c>
      <c r="E151">
        <v>0.30544471740722701</v>
      </c>
      <c r="F151">
        <v>0.43188253045082098</v>
      </c>
      <c r="G151">
        <v>0.247105568647385</v>
      </c>
      <c r="H151">
        <v>0.38042613863945002</v>
      </c>
      <c r="I151">
        <v>0.19689615070819899</v>
      </c>
      <c r="J151">
        <v>9.5665015280246707E-2</v>
      </c>
    </row>
    <row r="152" spans="1:10" x14ac:dyDescent="0.25">
      <c r="A152">
        <v>2017</v>
      </c>
      <c r="B152" t="s">
        <v>167</v>
      </c>
      <c r="C152">
        <v>151</v>
      </c>
      <c r="D152">
        <v>3.4709999561309801</v>
      </c>
      <c r="E152">
        <v>0.36874589323997498</v>
      </c>
      <c r="F152">
        <v>0.94570702314376798</v>
      </c>
      <c r="G152">
        <v>0.32642480731010398</v>
      </c>
      <c r="H152">
        <v>0.58184385299682595</v>
      </c>
      <c r="I152">
        <v>0.25275602936744701</v>
      </c>
      <c r="J152">
        <v>0.45522001385688798</v>
      </c>
    </row>
    <row r="153" spans="1:10" x14ac:dyDescent="0.25">
      <c r="A153">
        <v>2017</v>
      </c>
      <c r="B153" t="s">
        <v>169</v>
      </c>
      <c r="C153">
        <v>152</v>
      </c>
      <c r="D153">
        <v>3.4619998931884801</v>
      </c>
      <c r="E153">
        <v>0.77715313434600797</v>
      </c>
      <c r="F153">
        <v>0.39610260725021401</v>
      </c>
      <c r="G153">
        <v>0.50053334236144997</v>
      </c>
      <c r="H153">
        <v>8.1539444625377697E-2</v>
      </c>
      <c r="I153">
        <v>0.49366372823715199</v>
      </c>
      <c r="J153">
        <v>0.151347130537033</v>
      </c>
    </row>
    <row r="154" spans="1:10" x14ac:dyDescent="0.25">
      <c r="A154">
        <v>2017</v>
      </c>
      <c r="B154" t="s">
        <v>159</v>
      </c>
      <c r="C154">
        <v>153</v>
      </c>
      <c r="D154">
        <v>3.34899997711182</v>
      </c>
      <c r="E154">
        <v>0.51113587617874101</v>
      </c>
      <c r="F154">
        <v>1.0419898033142101</v>
      </c>
      <c r="G154">
        <v>0.36450928449630698</v>
      </c>
      <c r="H154">
        <v>0.39001777768135099</v>
      </c>
      <c r="I154">
        <v>0.354256361722946</v>
      </c>
      <c r="J154">
        <v>6.6035106778144795E-2</v>
      </c>
    </row>
    <row r="155" spans="1:10" x14ac:dyDescent="0.25">
      <c r="A155">
        <v>2017</v>
      </c>
      <c r="B155" t="s">
        <v>170</v>
      </c>
      <c r="C155">
        <v>154</v>
      </c>
      <c r="D155">
        <v>2.9049999713897701</v>
      </c>
      <c r="E155">
        <v>9.1622568666934995E-2</v>
      </c>
      <c r="F155">
        <v>0.62979358434677102</v>
      </c>
      <c r="G155">
        <v>0.15161079168319699</v>
      </c>
      <c r="H155">
        <v>5.9900753200054203E-2</v>
      </c>
      <c r="I155">
        <v>0.204435184597969</v>
      </c>
      <c r="J155">
        <v>8.4147945046424893E-2</v>
      </c>
    </row>
    <row r="156" spans="1:10" x14ac:dyDescent="0.25">
      <c r="A156">
        <v>2017</v>
      </c>
      <c r="B156" t="s">
        <v>161</v>
      </c>
      <c r="C156">
        <v>155</v>
      </c>
      <c r="D156">
        <v>2.6930000782012899</v>
      </c>
      <c r="E156">
        <v>0</v>
      </c>
      <c r="F156">
        <v>0</v>
      </c>
      <c r="G156">
        <v>1.8772685900330498E-2</v>
      </c>
      <c r="H156">
        <v>0.270842045545578</v>
      </c>
      <c r="I156">
        <v>0.28087648749351501</v>
      </c>
      <c r="J156">
        <v>5.6565076112747199E-2</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981C1-C50D-4D7A-B8A4-31F67D282F3B}">
  <dimension ref="A1:J157"/>
  <sheetViews>
    <sheetView workbookViewId="0">
      <selection activeCell="B3" sqref="B3"/>
    </sheetView>
  </sheetViews>
  <sheetFormatPr defaultRowHeight="15" x14ac:dyDescent="0.25"/>
  <cols>
    <col min="1" max="1" width="7.28515625" bestFit="1" customWidth="1"/>
    <col min="2" max="2" width="17.85546875" bestFit="1" customWidth="1"/>
    <col min="3" max="3" width="22.7109375" bestFit="1" customWidth="1"/>
    <col min="4" max="4" width="18.42578125" bestFit="1" customWidth="1"/>
    <col min="5" max="5" width="27.140625" bestFit="1" customWidth="1"/>
    <col min="6" max="6" width="9.140625" bestFit="1" customWidth="1"/>
    <col min="7" max="7" width="24.7109375" bestFit="1" customWidth="1"/>
    <col min="8" max="8" width="11.28515625" bestFit="1" customWidth="1"/>
    <col min="9" max="9" width="13.140625" bestFit="1" customWidth="1"/>
    <col min="10" max="10" width="31.140625" bestFit="1" customWidth="1"/>
    <col min="11" max="11" width="22.7109375" bestFit="1" customWidth="1"/>
    <col min="12" max="12" width="8.140625" bestFit="1" customWidth="1"/>
    <col min="13" max="13" width="16.42578125" bestFit="1" customWidth="1"/>
    <col min="14" max="14" width="15.85546875" bestFit="1" customWidth="1"/>
    <col min="15" max="15" width="24.42578125" bestFit="1" customWidth="1"/>
    <col min="16" max="16" width="29.85546875" bestFit="1" customWidth="1"/>
    <col min="17" max="17" width="13.140625" bestFit="1" customWidth="1"/>
    <col min="18" max="18" width="26.28515625" bestFit="1" customWidth="1"/>
  </cols>
  <sheetData>
    <row r="1" spans="1:10" x14ac:dyDescent="0.25">
      <c r="A1" t="s">
        <v>296</v>
      </c>
      <c r="B1" t="s">
        <v>297</v>
      </c>
      <c r="C1" t="s">
        <v>0</v>
      </c>
      <c r="D1" t="s">
        <v>298</v>
      </c>
      <c r="E1" t="s">
        <v>299</v>
      </c>
      <c r="F1" t="s">
        <v>2</v>
      </c>
      <c r="G1" t="s">
        <v>300</v>
      </c>
      <c r="H1" t="s">
        <v>3</v>
      </c>
      <c r="I1" t="s">
        <v>172</v>
      </c>
      <c r="J1" t="s">
        <v>301</v>
      </c>
    </row>
    <row r="2" spans="1:10" x14ac:dyDescent="0.25">
      <c r="A2">
        <v>2018</v>
      </c>
      <c r="B2">
        <v>1</v>
      </c>
      <c r="C2" t="s">
        <v>11</v>
      </c>
      <c r="D2">
        <v>7.6319999999999997</v>
      </c>
      <c r="E2">
        <v>1.3049999999999999</v>
      </c>
      <c r="F2">
        <v>1.5920000000000001</v>
      </c>
      <c r="G2">
        <v>0.874</v>
      </c>
      <c r="H2">
        <v>0.68100000000000005</v>
      </c>
      <c r="I2">
        <v>0.20200000000000001</v>
      </c>
      <c r="J2" t="s">
        <v>181</v>
      </c>
    </row>
    <row r="3" spans="1:10" x14ac:dyDescent="0.25">
      <c r="A3">
        <v>2018</v>
      </c>
      <c r="B3">
        <v>2</v>
      </c>
      <c r="C3" t="s">
        <v>8</v>
      </c>
      <c r="D3">
        <v>7.5940000000000003</v>
      </c>
      <c r="E3">
        <v>1.456</v>
      </c>
      <c r="F3">
        <v>1.5820000000000001</v>
      </c>
      <c r="G3">
        <v>0.86099999999999999</v>
      </c>
      <c r="H3">
        <v>0.68600000000000005</v>
      </c>
      <c r="I3">
        <v>0.28599999999999998</v>
      </c>
      <c r="J3" t="s">
        <v>182</v>
      </c>
    </row>
    <row r="4" spans="1:10" x14ac:dyDescent="0.25">
      <c r="A4">
        <v>2018</v>
      </c>
      <c r="B4">
        <v>3</v>
      </c>
      <c r="C4" t="s">
        <v>7</v>
      </c>
      <c r="D4">
        <v>7.5549999999999997</v>
      </c>
      <c r="E4">
        <v>1.351</v>
      </c>
      <c r="F4">
        <v>1.59</v>
      </c>
      <c r="G4">
        <v>0.86799999999999999</v>
      </c>
      <c r="H4">
        <v>0.68300000000000005</v>
      </c>
      <c r="I4">
        <v>0.28399999999999997</v>
      </c>
      <c r="J4" t="s">
        <v>183</v>
      </c>
    </row>
    <row r="5" spans="1:10" x14ac:dyDescent="0.25">
      <c r="A5">
        <v>2018</v>
      </c>
      <c r="B5">
        <v>4</v>
      </c>
      <c r="C5" t="s">
        <v>6</v>
      </c>
      <c r="D5">
        <v>7.4950000000000001</v>
      </c>
      <c r="E5">
        <v>1.343</v>
      </c>
      <c r="F5">
        <v>1.6439999999999999</v>
      </c>
      <c r="G5">
        <v>0.91400000000000003</v>
      </c>
      <c r="H5">
        <v>0.67700000000000005</v>
      </c>
      <c r="I5">
        <v>0.35299999999999998</v>
      </c>
      <c r="J5" t="s">
        <v>184</v>
      </c>
    </row>
    <row r="6" spans="1:10" x14ac:dyDescent="0.25">
      <c r="A6">
        <v>2018</v>
      </c>
      <c r="B6">
        <v>5</v>
      </c>
      <c r="C6" t="s">
        <v>4</v>
      </c>
      <c r="D6">
        <v>7.4870000000000001</v>
      </c>
      <c r="E6">
        <v>1.42</v>
      </c>
      <c r="F6">
        <v>1.5489999999999999</v>
      </c>
      <c r="G6">
        <v>0.92700000000000005</v>
      </c>
      <c r="H6">
        <v>0.66</v>
      </c>
      <c r="I6">
        <v>0.25600000000000001</v>
      </c>
      <c r="J6" t="s">
        <v>185</v>
      </c>
    </row>
    <row r="7" spans="1:10" x14ac:dyDescent="0.25">
      <c r="A7">
        <v>2018</v>
      </c>
      <c r="B7">
        <v>6</v>
      </c>
      <c r="C7" t="s">
        <v>12</v>
      </c>
      <c r="D7">
        <v>7.4409999999999998</v>
      </c>
      <c r="E7">
        <v>1.361</v>
      </c>
      <c r="F7">
        <v>1.488</v>
      </c>
      <c r="G7">
        <v>0.878</v>
      </c>
      <c r="H7">
        <v>0.63800000000000001</v>
      </c>
      <c r="I7">
        <v>0.33300000000000002</v>
      </c>
      <c r="J7" t="s">
        <v>186</v>
      </c>
    </row>
    <row r="8" spans="1:10" x14ac:dyDescent="0.25">
      <c r="A8">
        <v>2018</v>
      </c>
      <c r="B8">
        <v>7</v>
      </c>
      <c r="C8" t="s">
        <v>9</v>
      </c>
      <c r="D8">
        <v>7.3280000000000003</v>
      </c>
      <c r="E8">
        <v>1.33</v>
      </c>
      <c r="F8">
        <v>1.532</v>
      </c>
      <c r="G8">
        <v>0.89600000000000002</v>
      </c>
      <c r="H8">
        <v>0.65300000000000002</v>
      </c>
      <c r="I8">
        <v>0.32100000000000001</v>
      </c>
      <c r="J8" t="s">
        <v>187</v>
      </c>
    </row>
    <row r="9" spans="1:10" x14ac:dyDescent="0.25">
      <c r="A9">
        <v>2018</v>
      </c>
      <c r="B9">
        <v>8</v>
      </c>
      <c r="C9" t="s">
        <v>14</v>
      </c>
      <c r="D9">
        <v>7.3239999999999998</v>
      </c>
      <c r="E9">
        <v>1.268</v>
      </c>
      <c r="F9">
        <v>1.601</v>
      </c>
      <c r="G9">
        <v>0.876</v>
      </c>
      <c r="H9">
        <v>0.66900000000000004</v>
      </c>
      <c r="I9">
        <v>0.36499999999999999</v>
      </c>
      <c r="J9" t="s">
        <v>188</v>
      </c>
    </row>
    <row r="10" spans="1:10" x14ac:dyDescent="0.25">
      <c r="A10">
        <v>2018</v>
      </c>
      <c r="B10">
        <v>9</v>
      </c>
      <c r="C10" t="s">
        <v>13</v>
      </c>
      <c r="D10">
        <v>7.3140000000000001</v>
      </c>
      <c r="E10">
        <v>1.355</v>
      </c>
      <c r="F10">
        <v>1.5009999999999999</v>
      </c>
      <c r="G10">
        <v>0.91300000000000003</v>
      </c>
      <c r="H10">
        <v>0.65900000000000003</v>
      </c>
      <c r="I10">
        <v>0.28499999999999998</v>
      </c>
      <c r="J10" t="s">
        <v>189</v>
      </c>
    </row>
    <row r="11" spans="1:10" x14ac:dyDescent="0.25">
      <c r="A11">
        <v>2018</v>
      </c>
      <c r="B11">
        <v>10</v>
      </c>
      <c r="C11" t="s">
        <v>16</v>
      </c>
      <c r="D11">
        <v>7.2720000000000002</v>
      </c>
      <c r="E11">
        <v>1.34</v>
      </c>
      <c r="F11">
        <v>1.573</v>
      </c>
      <c r="G11">
        <v>0.91</v>
      </c>
      <c r="H11">
        <v>0.64700000000000002</v>
      </c>
      <c r="I11">
        <v>0.36099999999999999</v>
      </c>
      <c r="J11" t="s">
        <v>190</v>
      </c>
    </row>
    <row r="12" spans="1:10" x14ac:dyDescent="0.25">
      <c r="A12">
        <v>2018</v>
      </c>
      <c r="B12">
        <v>11</v>
      </c>
      <c r="C12" t="s">
        <v>29</v>
      </c>
      <c r="D12">
        <v>7.19</v>
      </c>
      <c r="E12">
        <v>1.244</v>
      </c>
      <c r="F12">
        <v>1.4330000000000001</v>
      </c>
      <c r="G12">
        <v>0.88800000000000001</v>
      </c>
      <c r="H12">
        <v>0.46400000000000002</v>
      </c>
      <c r="I12">
        <v>0.26200000000000001</v>
      </c>
      <c r="J12" t="s">
        <v>191</v>
      </c>
    </row>
    <row r="13" spans="1:10" x14ac:dyDescent="0.25">
      <c r="A13">
        <v>2018</v>
      </c>
      <c r="B13">
        <v>12</v>
      </c>
      <c r="C13" t="s">
        <v>21</v>
      </c>
      <c r="D13">
        <v>7.1390000000000002</v>
      </c>
      <c r="E13">
        <v>1.341</v>
      </c>
      <c r="F13">
        <v>1.504</v>
      </c>
      <c r="G13">
        <v>0.89100000000000001</v>
      </c>
      <c r="H13">
        <v>0.61699999999999999</v>
      </c>
      <c r="I13">
        <v>0.24199999999999999</v>
      </c>
      <c r="J13" t="s">
        <v>192</v>
      </c>
    </row>
    <row r="14" spans="1:10" x14ac:dyDescent="0.25">
      <c r="A14">
        <v>2018</v>
      </c>
      <c r="B14">
        <v>13</v>
      </c>
      <c r="C14" t="s">
        <v>19</v>
      </c>
      <c r="D14">
        <v>7.0720000000000001</v>
      </c>
      <c r="E14">
        <v>1.01</v>
      </c>
      <c r="F14">
        <v>1.4590000000000001</v>
      </c>
      <c r="G14">
        <v>0.81699999999999995</v>
      </c>
      <c r="H14">
        <v>0.63200000000000001</v>
      </c>
      <c r="I14">
        <v>0.14299999999999999</v>
      </c>
      <c r="J14" t="s">
        <v>193</v>
      </c>
    </row>
    <row r="15" spans="1:10" x14ac:dyDescent="0.25">
      <c r="A15">
        <v>2018</v>
      </c>
      <c r="B15">
        <v>14</v>
      </c>
      <c r="C15" t="s">
        <v>26</v>
      </c>
      <c r="D15">
        <v>6.9770000000000003</v>
      </c>
      <c r="E15">
        <v>1.448</v>
      </c>
      <c r="F15">
        <v>1.583</v>
      </c>
      <c r="G15">
        <v>0.876</v>
      </c>
      <c r="H15">
        <v>0.61399999999999999</v>
      </c>
      <c r="I15">
        <v>0.307</v>
      </c>
      <c r="J15" t="s">
        <v>194</v>
      </c>
    </row>
    <row r="16" spans="1:10" x14ac:dyDescent="0.25">
      <c r="A16">
        <v>2018</v>
      </c>
      <c r="B16">
        <v>15</v>
      </c>
      <c r="C16" t="s">
        <v>35</v>
      </c>
      <c r="D16">
        <v>6.9649999999999999</v>
      </c>
      <c r="E16">
        <v>1.34</v>
      </c>
      <c r="F16">
        <v>1.474</v>
      </c>
      <c r="G16">
        <v>0.86099999999999999</v>
      </c>
      <c r="H16">
        <v>0.58599999999999997</v>
      </c>
      <c r="I16">
        <v>0.27300000000000002</v>
      </c>
      <c r="J16" t="s">
        <v>195</v>
      </c>
    </row>
    <row r="17" spans="1:10" x14ac:dyDescent="0.25">
      <c r="A17">
        <v>2018</v>
      </c>
      <c r="B17">
        <v>16</v>
      </c>
      <c r="C17" t="s">
        <v>27</v>
      </c>
      <c r="D17">
        <v>6.9269999999999996</v>
      </c>
      <c r="E17">
        <v>1.3240000000000001</v>
      </c>
      <c r="F17">
        <v>1.4830000000000001</v>
      </c>
      <c r="G17">
        <v>0.89400000000000002</v>
      </c>
      <c r="H17">
        <v>0.58299999999999996</v>
      </c>
      <c r="I17">
        <v>0.188</v>
      </c>
      <c r="J17" t="s">
        <v>196</v>
      </c>
    </row>
    <row r="18" spans="1:10" x14ac:dyDescent="0.25">
      <c r="A18">
        <v>2018</v>
      </c>
      <c r="B18">
        <v>17</v>
      </c>
      <c r="C18" t="s">
        <v>25</v>
      </c>
      <c r="D18">
        <v>6.91</v>
      </c>
      <c r="E18">
        <v>1.5760000000000001</v>
      </c>
      <c r="F18">
        <v>1.52</v>
      </c>
      <c r="G18">
        <v>0.89600000000000002</v>
      </c>
      <c r="H18">
        <v>0.63200000000000001</v>
      </c>
      <c r="I18">
        <v>0.19600000000000001</v>
      </c>
      <c r="J18" t="s">
        <v>197</v>
      </c>
    </row>
    <row r="19" spans="1:10" x14ac:dyDescent="0.25">
      <c r="A19">
        <v>2018</v>
      </c>
      <c r="B19">
        <v>18</v>
      </c>
      <c r="C19" t="s">
        <v>23</v>
      </c>
      <c r="D19">
        <v>6.8860000000000001</v>
      </c>
      <c r="E19">
        <v>1.3979999999999999</v>
      </c>
      <c r="F19">
        <v>1.4710000000000001</v>
      </c>
      <c r="G19">
        <v>0.81899999999999995</v>
      </c>
      <c r="H19">
        <v>0.54700000000000004</v>
      </c>
      <c r="I19">
        <v>0.29099999999999998</v>
      </c>
      <c r="J19" t="s">
        <v>198</v>
      </c>
    </row>
    <row r="20" spans="1:10" x14ac:dyDescent="0.25">
      <c r="A20">
        <v>2018</v>
      </c>
      <c r="B20">
        <v>19</v>
      </c>
      <c r="C20" t="s">
        <v>17</v>
      </c>
      <c r="D20">
        <v>6.8140000000000001</v>
      </c>
      <c r="E20">
        <v>1.3009999999999999</v>
      </c>
      <c r="F20">
        <v>1.5589999999999999</v>
      </c>
      <c r="G20">
        <v>0.88300000000000001</v>
      </c>
      <c r="H20">
        <v>0.53300000000000003</v>
      </c>
      <c r="I20">
        <v>0.35399999999999998</v>
      </c>
      <c r="J20" t="s">
        <v>199</v>
      </c>
    </row>
    <row r="21" spans="1:10" x14ac:dyDescent="0.25">
      <c r="A21">
        <v>2018</v>
      </c>
      <c r="B21">
        <v>20</v>
      </c>
      <c r="C21" t="s">
        <v>28</v>
      </c>
      <c r="D21">
        <v>6.774</v>
      </c>
      <c r="E21">
        <v>2.0960000000000001</v>
      </c>
      <c r="F21">
        <v>0.77600000000000002</v>
      </c>
      <c r="G21">
        <v>0.67</v>
      </c>
      <c r="H21">
        <v>0.28399999999999997</v>
      </c>
      <c r="I21">
        <v>0.186</v>
      </c>
      <c r="J21" t="s">
        <v>200</v>
      </c>
    </row>
    <row r="22" spans="1:10" x14ac:dyDescent="0.25">
      <c r="A22">
        <v>2018</v>
      </c>
      <c r="B22">
        <v>21</v>
      </c>
      <c r="C22" t="s">
        <v>40</v>
      </c>
      <c r="D22">
        <v>6.7110000000000003</v>
      </c>
      <c r="E22">
        <v>1.2330000000000001</v>
      </c>
      <c r="F22">
        <v>1.4890000000000001</v>
      </c>
      <c r="G22">
        <v>0.85399999999999998</v>
      </c>
      <c r="H22">
        <v>0.54300000000000004</v>
      </c>
      <c r="I22">
        <v>6.4000000000000001E-2</v>
      </c>
      <c r="J22" t="s">
        <v>201</v>
      </c>
    </row>
    <row r="23" spans="1:10" x14ac:dyDescent="0.25">
      <c r="A23">
        <v>2018</v>
      </c>
      <c r="B23">
        <v>22</v>
      </c>
      <c r="C23" t="s">
        <v>47</v>
      </c>
      <c r="D23">
        <v>6.6269999999999998</v>
      </c>
      <c r="E23">
        <v>1.27</v>
      </c>
      <c r="F23">
        <v>1.5249999999999999</v>
      </c>
      <c r="G23">
        <v>0.88400000000000001</v>
      </c>
      <c r="H23">
        <v>0.64500000000000002</v>
      </c>
      <c r="I23">
        <v>0.376</v>
      </c>
      <c r="J23" t="s">
        <v>202</v>
      </c>
    </row>
    <row r="24" spans="1:10" x14ac:dyDescent="0.25">
      <c r="A24">
        <v>2018</v>
      </c>
      <c r="B24">
        <v>23</v>
      </c>
      <c r="C24" t="s">
        <v>38</v>
      </c>
      <c r="D24">
        <v>6.4889999999999999</v>
      </c>
      <c r="E24">
        <v>1.2929999999999999</v>
      </c>
      <c r="F24">
        <v>1.466</v>
      </c>
      <c r="G24">
        <v>0.90800000000000003</v>
      </c>
      <c r="H24">
        <v>0.52</v>
      </c>
      <c r="I24">
        <v>9.8000000000000004E-2</v>
      </c>
      <c r="J24" t="s">
        <v>203</v>
      </c>
    </row>
    <row r="25" spans="1:10" x14ac:dyDescent="0.25">
      <c r="A25">
        <v>2018</v>
      </c>
      <c r="B25">
        <v>24</v>
      </c>
      <c r="C25" t="s">
        <v>22</v>
      </c>
      <c r="D25">
        <v>6.4880000000000004</v>
      </c>
      <c r="E25">
        <v>1.038</v>
      </c>
      <c r="F25">
        <v>1.252</v>
      </c>
      <c r="G25">
        <v>0.76100000000000001</v>
      </c>
      <c r="H25">
        <v>0.47899999999999998</v>
      </c>
      <c r="I25">
        <v>6.9000000000000006E-2</v>
      </c>
      <c r="J25" t="s">
        <v>204</v>
      </c>
    </row>
    <row r="26" spans="1:10" x14ac:dyDescent="0.25">
      <c r="A26">
        <v>2018</v>
      </c>
      <c r="B26">
        <v>25</v>
      </c>
      <c r="C26" t="s">
        <v>36</v>
      </c>
      <c r="D26">
        <v>6.476</v>
      </c>
      <c r="E26">
        <v>1.131</v>
      </c>
      <c r="F26">
        <v>1.331</v>
      </c>
      <c r="G26">
        <v>0.80800000000000005</v>
      </c>
      <c r="H26">
        <v>0.43099999999999999</v>
      </c>
      <c r="I26">
        <v>0.19700000000000001</v>
      </c>
      <c r="J26" t="s">
        <v>205</v>
      </c>
    </row>
    <row r="27" spans="1:10" x14ac:dyDescent="0.25">
      <c r="A27">
        <v>2018</v>
      </c>
      <c r="B27">
        <v>26</v>
      </c>
      <c r="C27" t="s">
        <v>48</v>
      </c>
      <c r="D27">
        <v>6.4409999999999998</v>
      </c>
      <c r="E27">
        <v>1.365</v>
      </c>
      <c r="F27">
        <v>1.4359999999999999</v>
      </c>
      <c r="G27">
        <v>0.85699999999999998</v>
      </c>
      <c r="H27">
        <v>0.41799999999999998</v>
      </c>
      <c r="I27">
        <v>0.151</v>
      </c>
      <c r="J27" t="s">
        <v>206</v>
      </c>
    </row>
    <row r="28" spans="1:10" x14ac:dyDescent="0.25">
      <c r="A28">
        <v>2018</v>
      </c>
      <c r="B28">
        <v>27</v>
      </c>
      <c r="C28" t="s">
        <v>34</v>
      </c>
      <c r="D28">
        <v>6.43</v>
      </c>
      <c r="E28">
        <v>1.1120000000000001</v>
      </c>
      <c r="F28">
        <v>1.4379999999999999</v>
      </c>
      <c r="G28">
        <v>0.75900000000000001</v>
      </c>
      <c r="H28">
        <v>0.59699999999999998</v>
      </c>
      <c r="I28">
        <v>0.125</v>
      </c>
      <c r="J28" t="s">
        <v>207</v>
      </c>
    </row>
    <row r="29" spans="1:10" x14ac:dyDescent="0.25">
      <c r="A29">
        <v>2018</v>
      </c>
      <c r="B29">
        <v>28</v>
      </c>
      <c r="C29" t="s">
        <v>24</v>
      </c>
      <c r="D29">
        <v>6.4189999999999996</v>
      </c>
      <c r="E29">
        <v>0.98599999999999999</v>
      </c>
      <c r="F29">
        <v>1.474</v>
      </c>
      <c r="G29">
        <v>0.67500000000000004</v>
      </c>
      <c r="H29">
        <v>0.49299999999999999</v>
      </c>
      <c r="I29">
        <v>0.11</v>
      </c>
      <c r="J29" t="s">
        <v>208</v>
      </c>
    </row>
    <row r="30" spans="1:10" x14ac:dyDescent="0.25">
      <c r="A30">
        <v>2018</v>
      </c>
      <c r="B30">
        <v>29</v>
      </c>
      <c r="C30" t="s">
        <v>39</v>
      </c>
      <c r="D30">
        <v>6.3879999999999999</v>
      </c>
      <c r="E30">
        <v>1.073</v>
      </c>
      <c r="F30">
        <v>1.468</v>
      </c>
      <c r="G30">
        <v>0.74399999999999999</v>
      </c>
      <c r="H30">
        <v>0.56999999999999995</v>
      </c>
      <c r="I30">
        <v>6.2E-2</v>
      </c>
      <c r="J30" t="s">
        <v>209</v>
      </c>
    </row>
    <row r="31" spans="1:10" x14ac:dyDescent="0.25">
      <c r="A31">
        <v>2018</v>
      </c>
      <c r="B31">
        <v>30</v>
      </c>
      <c r="C31" t="s">
        <v>54</v>
      </c>
      <c r="D31">
        <v>6.3819999999999997</v>
      </c>
      <c r="E31">
        <v>0.78100000000000003</v>
      </c>
      <c r="F31">
        <v>1.268</v>
      </c>
      <c r="G31">
        <v>0.60799999999999998</v>
      </c>
      <c r="H31">
        <v>0.60399999999999998</v>
      </c>
      <c r="I31">
        <v>0.17899999999999999</v>
      </c>
      <c r="J31" t="s">
        <v>210</v>
      </c>
    </row>
    <row r="32" spans="1:10" x14ac:dyDescent="0.25">
      <c r="A32">
        <v>2018</v>
      </c>
      <c r="B32">
        <v>31</v>
      </c>
      <c r="C32" t="s">
        <v>42</v>
      </c>
      <c r="D32">
        <v>6.3789999999999996</v>
      </c>
      <c r="E32">
        <v>1.093</v>
      </c>
      <c r="F32">
        <v>1.4590000000000001</v>
      </c>
      <c r="G32">
        <v>0.77100000000000002</v>
      </c>
      <c r="H32">
        <v>0.625</v>
      </c>
      <c r="I32">
        <v>0.13</v>
      </c>
      <c r="J32" t="s">
        <v>211</v>
      </c>
    </row>
    <row r="33" spans="1:10" x14ac:dyDescent="0.25">
      <c r="A33">
        <v>2018</v>
      </c>
      <c r="B33">
        <v>32</v>
      </c>
      <c r="C33" t="s">
        <v>37</v>
      </c>
      <c r="D33">
        <v>6.3739999999999997</v>
      </c>
      <c r="E33">
        <v>1.649</v>
      </c>
      <c r="F33">
        <v>1.3029999999999999</v>
      </c>
      <c r="G33">
        <v>0.748</v>
      </c>
      <c r="H33">
        <v>0.65400000000000003</v>
      </c>
      <c r="I33">
        <v>0.25600000000000001</v>
      </c>
      <c r="J33" t="s">
        <v>212</v>
      </c>
    </row>
    <row r="34" spans="1:10" x14ac:dyDescent="0.25">
      <c r="A34">
        <v>2018</v>
      </c>
      <c r="B34">
        <v>33</v>
      </c>
      <c r="C34" t="s">
        <v>45</v>
      </c>
      <c r="D34">
        <v>6.3710000000000004</v>
      </c>
      <c r="E34">
        <v>1.379</v>
      </c>
      <c r="F34">
        <v>1.331</v>
      </c>
      <c r="G34">
        <v>0.63300000000000001</v>
      </c>
      <c r="H34">
        <v>0.50900000000000001</v>
      </c>
      <c r="I34">
        <v>9.8000000000000004E-2</v>
      </c>
      <c r="J34" t="s">
        <v>213</v>
      </c>
    </row>
    <row r="35" spans="1:10" x14ac:dyDescent="0.25">
      <c r="A35">
        <v>2018</v>
      </c>
      <c r="B35">
        <v>34</v>
      </c>
      <c r="C35" t="s">
        <v>32</v>
      </c>
      <c r="D35">
        <v>6.343</v>
      </c>
      <c r="E35">
        <v>1.5289999999999999</v>
      </c>
      <c r="F35">
        <v>1.4510000000000001</v>
      </c>
      <c r="G35">
        <v>1.008</v>
      </c>
      <c r="H35">
        <v>0.63100000000000001</v>
      </c>
      <c r="I35">
        <v>0.26100000000000001</v>
      </c>
      <c r="J35" t="s">
        <v>214</v>
      </c>
    </row>
    <row r="36" spans="1:10" x14ac:dyDescent="0.25">
      <c r="A36">
        <v>2018</v>
      </c>
      <c r="B36">
        <v>35</v>
      </c>
      <c r="C36" t="s">
        <v>72</v>
      </c>
      <c r="D36">
        <v>6.3220000000000001</v>
      </c>
      <c r="E36">
        <v>1.161</v>
      </c>
      <c r="F36">
        <v>1.258</v>
      </c>
      <c r="G36">
        <v>0.66900000000000004</v>
      </c>
      <c r="H36">
        <v>0.35599999999999998</v>
      </c>
      <c r="I36">
        <v>0.311</v>
      </c>
      <c r="J36" t="s">
        <v>215</v>
      </c>
    </row>
    <row r="37" spans="1:10" x14ac:dyDescent="0.25">
      <c r="A37">
        <v>2018</v>
      </c>
      <c r="B37">
        <v>36</v>
      </c>
      <c r="C37" t="s">
        <v>46</v>
      </c>
      <c r="D37">
        <v>6.31</v>
      </c>
      <c r="E37">
        <v>1.2509999999999999</v>
      </c>
      <c r="F37">
        <v>1.538</v>
      </c>
      <c r="G37">
        <v>0.96499999999999997</v>
      </c>
      <c r="H37">
        <v>0.44900000000000001</v>
      </c>
      <c r="I37">
        <v>0.14199999999999999</v>
      </c>
      <c r="J37" t="s">
        <v>216</v>
      </c>
    </row>
    <row r="38" spans="1:10" x14ac:dyDescent="0.25">
      <c r="A38">
        <v>2018</v>
      </c>
      <c r="B38">
        <v>37</v>
      </c>
      <c r="C38" t="s">
        <v>43</v>
      </c>
      <c r="D38">
        <v>6.26</v>
      </c>
      <c r="E38">
        <v>0.96</v>
      </c>
      <c r="F38">
        <v>1.4390000000000001</v>
      </c>
      <c r="G38">
        <v>0.63500000000000001</v>
      </c>
      <c r="H38">
        <v>0.53100000000000003</v>
      </c>
      <c r="I38">
        <v>9.9000000000000005E-2</v>
      </c>
      <c r="J38" t="s">
        <v>217</v>
      </c>
    </row>
    <row r="39" spans="1:10" x14ac:dyDescent="0.25">
      <c r="A39">
        <v>2018</v>
      </c>
      <c r="B39">
        <v>38</v>
      </c>
      <c r="C39" t="s">
        <v>218</v>
      </c>
      <c r="D39">
        <v>6.1920000000000002</v>
      </c>
      <c r="E39">
        <v>1.2230000000000001</v>
      </c>
      <c r="F39">
        <v>1.492</v>
      </c>
      <c r="G39">
        <v>0.56399999999999995</v>
      </c>
      <c r="H39">
        <v>0.57499999999999996</v>
      </c>
      <c r="I39">
        <v>0.17100000000000001</v>
      </c>
      <c r="J39" t="s">
        <v>219</v>
      </c>
    </row>
    <row r="40" spans="1:10" x14ac:dyDescent="0.25">
      <c r="A40">
        <v>2018</v>
      </c>
      <c r="B40">
        <v>39</v>
      </c>
      <c r="C40" t="s">
        <v>56</v>
      </c>
      <c r="D40">
        <v>6.173</v>
      </c>
      <c r="E40">
        <v>1.21</v>
      </c>
      <c r="F40">
        <v>1.5369999999999999</v>
      </c>
      <c r="G40">
        <v>0.77600000000000002</v>
      </c>
      <c r="H40">
        <v>0.35399999999999998</v>
      </c>
      <c r="I40">
        <v>0.11799999999999999</v>
      </c>
      <c r="J40" t="s">
        <v>220</v>
      </c>
    </row>
    <row r="41" spans="1:10" x14ac:dyDescent="0.25">
      <c r="A41">
        <v>2018</v>
      </c>
      <c r="B41">
        <v>40</v>
      </c>
      <c r="C41" t="s">
        <v>53</v>
      </c>
      <c r="D41">
        <v>6.1669999999999998</v>
      </c>
      <c r="E41">
        <v>0.80600000000000005</v>
      </c>
      <c r="F41">
        <v>1.2310000000000001</v>
      </c>
      <c r="G41">
        <v>0.63900000000000001</v>
      </c>
      <c r="H41">
        <v>0.46100000000000002</v>
      </c>
      <c r="I41">
        <v>6.5000000000000002E-2</v>
      </c>
      <c r="J41" t="s">
        <v>191</v>
      </c>
    </row>
    <row r="42" spans="1:10" x14ac:dyDescent="0.25">
      <c r="A42">
        <v>2018</v>
      </c>
      <c r="B42">
        <v>41</v>
      </c>
      <c r="C42" t="s">
        <v>68</v>
      </c>
      <c r="D42">
        <v>6.141</v>
      </c>
      <c r="E42">
        <v>0.66800000000000004</v>
      </c>
      <c r="F42">
        <v>1.319</v>
      </c>
      <c r="G42">
        <v>0.7</v>
      </c>
      <c r="H42">
        <v>0.52700000000000002</v>
      </c>
      <c r="I42">
        <v>0.20799999999999999</v>
      </c>
      <c r="J42" t="s">
        <v>221</v>
      </c>
    </row>
    <row r="43" spans="1:10" x14ac:dyDescent="0.25">
      <c r="A43">
        <v>2018</v>
      </c>
      <c r="B43">
        <v>42</v>
      </c>
      <c r="C43" t="s">
        <v>71</v>
      </c>
      <c r="D43">
        <v>6.1230000000000002</v>
      </c>
      <c r="E43">
        <v>1.1759999999999999</v>
      </c>
      <c r="F43">
        <v>1.448</v>
      </c>
      <c r="G43">
        <v>0.78100000000000003</v>
      </c>
      <c r="H43">
        <v>0.54600000000000004</v>
      </c>
      <c r="I43">
        <v>0.108</v>
      </c>
      <c r="J43" t="s">
        <v>222</v>
      </c>
    </row>
    <row r="44" spans="1:10" x14ac:dyDescent="0.25">
      <c r="A44">
        <v>2018</v>
      </c>
      <c r="B44">
        <v>43</v>
      </c>
      <c r="C44" t="s">
        <v>60</v>
      </c>
      <c r="D44">
        <v>6.1050000000000004</v>
      </c>
      <c r="E44">
        <v>1.3380000000000001</v>
      </c>
      <c r="F44">
        <v>1.3660000000000001</v>
      </c>
      <c r="G44">
        <v>0.69799999999999995</v>
      </c>
      <c r="H44">
        <v>0.59399999999999997</v>
      </c>
      <c r="I44">
        <v>0.24299999999999999</v>
      </c>
      <c r="J44" t="s">
        <v>223</v>
      </c>
    </row>
    <row r="45" spans="1:10" x14ac:dyDescent="0.25">
      <c r="A45">
        <v>2018</v>
      </c>
      <c r="B45">
        <v>44</v>
      </c>
      <c r="C45" t="s">
        <v>55</v>
      </c>
      <c r="D45">
        <v>6.0960000000000001</v>
      </c>
      <c r="E45">
        <v>0.71899999999999997</v>
      </c>
      <c r="F45">
        <v>1.5840000000000001</v>
      </c>
      <c r="G45">
        <v>0.60499999999999998</v>
      </c>
      <c r="H45">
        <v>0.72399999999999998</v>
      </c>
      <c r="I45">
        <v>0.32800000000000001</v>
      </c>
      <c r="J45" t="s">
        <v>224</v>
      </c>
    </row>
    <row r="46" spans="1:10" x14ac:dyDescent="0.25">
      <c r="A46">
        <v>2018</v>
      </c>
      <c r="B46">
        <v>45</v>
      </c>
      <c r="C46" t="s">
        <v>50</v>
      </c>
      <c r="D46">
        <v>6.0830000000000002</v>
      </c>
      <c r="E46">
        <v>1.474</v>
      </c>
      <c r="F46">
        <v>1.3009999999999999</v>
      </c>
      <c r="G46">
        <v>0.67500000000000004</v>
      </c>
      <c r="H46">
        <v>0.55400000000000005</v>
      </c>
      <c r="I46">
        <v>0.16700000000000001</v>
      </c>
      <c r="J46" t="s">
        <v>225</v>
      </c>
    </row>
    <row r="47" spans="1:10" x14ac:dyDescent="0.25">
      <c r="A47">
        <v>2018</v>
      </c>
      <c r="B47">
        <v>46</v>
      </c>
      <c r="C47" t="s">
        <v>44</v>
      </c>
      <c r="D47">
        <v>6.0720000000000001</v>
      </c>
      <c r="E47">
        <v>1.016</v>
      </c>
      <c r="F47">
        <v>1.417</v>
      </c>
      <c r="G47">
        <v>0.70699999999999996</v>
      </c>
      <c r="H47">
        <v>0.63700000000000001</v>
      </c>
      <c r="I47">
        <v>0.36399999999999999</v>
      </c>
      <c r="J47" t="s">
        <v>226</v>
      </c>
    </row>
    <row r="48" spans="1:10" x14ac:dyDescent="0.25">
      <c r="A48">
        <v>2018</v>
      </c>
      <c r="B48">
        <v>47</v>
      </c>
      <c r="C48" t="s">
        <v>61</v>
      </c>
      <c r="D48">
        <v>6</v>
      </c>
      <c r="E48">
        <v>1.264</v>
      </c>
      <c r="F48">
        <v>1.5009999999999999</v>
      </c>
      <c r="G48">
        <v>0.94599999999999995</v>
      </c>
      <c r="H48">
        <v>0.28100000000000003</v>
      </c>
      <c r="I48">
        <v>0.13700000000000001</v>
      </c>
      <c r="J48" t="s">
        <v>227</v>
      </c>
    </row>
    <row r="49" spans="1:10" x14ac:dyDescent="0.25">
      <c r="A49">
        <v>2018</v>
      </c>
      <c r="B49">
        <v>48</v>
      </c>
      <c r="C49" t="s">
        <v>59</v>
      </c>
      <c r="D49">
        <v>5.9729999999999999</v>
      </c>
      <c r="E49">
        <v>0.88900000000000001</v>
      </c>
      <c r="F49">
        <v>1.33</v>
      </c>
      <c r="G49">
        <v>0.73599999999999999</v>
      </c>
      <c r="H49">
        <v>0.55600000000000005</v>
      </c>
      <c r="I49">
        <v>0.114</v>
      </c>
      <c r="J49" t="s">
        <v>228</v>
      </c>
    </row>
    <row r="50" spans="1:10" x14ac:dyDescent="0.25">
      <c r="A50">
        <v>2018</v>
      </c>
      <c r="B50">
        <v>49</v>
      </c>
      <c r="C50" t="s">
        <v>174</v>
      </c>
      <c r="D50">
        <v>5.9560000000000004</v>
      </c>
      <c r="E50">
        <v>0.80700000000000005</v>
      </c>
      <c r="F50">
        <v>1.101</v>
      </c>
      <c r="G50">
        <v>0.47399999999999998</v>
      </c>
      <c r="H50">
        <v>0.59299999999999997</v>
      </c>
      <c r="I50">
        <v>0.183</v>
      </c>
      <c r="J50" t="s">
        <v>229</v>
      </c>
    </row>
    <row r="51" spans="1:10" x14ac:dyDescent="0.25">
      <c r="A51">
        <v>2018</v>
      </c>
      <c r="B51">
        <v>50</v>
      </c>
      <c r="C51" t="s">
        <v>67</v>
      </c>
      <c r="D51">
        <v>5.952</v>
      </c>
      <c r="E51">
        <v>1.1970000000000001</v>
      </c>
      <c r="F51">
        <v>1.5269999999999999</v>
      </c>
      <c r="G51">
        <v>0.71599999999999997</v>
      </c>
      <c r="H51">
        <v>0.35</v>
      </c>
      <c r="I51">
        <v>2.5999999999999999E-2</v>
      </c>
      <c r="J51" t="s">
        <v>230</v>
      </c>
    </row>
    <row r="52" spans="1:10" x14ac:dyDescent="0.25">
      <c r="A52">
        <v>2018</v>
      </c>
      <c r="B52">
        <v>51</v>
      </c>
      <c r="C52" t="s">
        <v>66</v>
      </c>
      <c r="D52">
        <v>5.9480000000000004</v>
      </c>
      <c r="E52">
        <v>1.2190000000000001</v>
      </c>
      <c r="F52">
        <v>1.506</v>
      </c>
      <c r="G52">
        <v>0.85599999999999998</v>
      </c>
      <c r="H52">
        <v>0.63300000000000001</v>
      </c>
      <c r="I52">
        <v>0.16</v>
      </c>
      <c r="J52" t="s">
        <v>231</v>
      </c>
    </row>
    <row r="53" spans="1:10" x14ac:dyDescent="0.25">
      <c r="A53">
        <v>2018</v>
      </c>
      <c r="B53">
        <v>52</v>
      </c>
      <c r="C53" t="s">
        <v>99</v>
      </c>
      <c r="D53">
        <v>5.9450000000000003</v>
      </c>
      <c r="E53">
        <v>1.1160000000000001</v>
      </c>
      <c r="F53">
        <v>1.2190000000000001</v>
      </c>
      <c r="G53">
        <v>0.72599999999999998</v>
      </c>
      <c r="H53">
        <v>0.52800000000000002</v>
      </c>
      <c r="I53">
        <v>8.7999999999999995E-2</v>
      </c>
      <c r="J53" t="s">
        <v>232</v>
      </c>
    </row>
    <row r="54" spans="1:10" x14ac:dyDescent="0.25">
      <c r="A54">
        <v>2018</v>
      </c>
      <c r="B54">
        <v>53</v>
      </c>
      <c r="C54" t="s">
        <v>102</v>
      </c>
      <c r="D54">
        <v>5.9329999999999998</v>
      </c>
      <c r="E54">
        <v>1.1479999999999999</v>
      </c>
      <c r="F54">
        <v>1.454</v>
      </c>
      <c r="G54">
        <v>0.67100000000000004</v>
      </c>
      <c r="H54">
        <v>0.36299999999999999</v>
      </c>
      <c r="I54">
        <v>9.1999999999999998E-2</v>
      </c>
      <c r="J54" t="s">
        <v>233</v>
      </c>
    </row>
    <row r="55" spans="1:10" x14ac:dyDescent="0.25">
      <c r="A55">
        <v>2018</v>
      </c>
      <c r="B55">
        <v>54</v>
      </c>
      <c r="C55" t="s">
        <v>57</v>
      </c>
      <c r="D55">
        <v>5.915</v>
      </c>
      <c r="E55">
        <v>1.294</v>
      </c>
      <c r="F55">
        <v>1.462</v>
      </c>
      <c r="G55">
        <v>0.98799999999999999</v>
      </c>
      <c r="H55">
        <v>0.55300000000000005</v>
      </c>
      <c r="I55">
        <v>7.9000000000000001E-2</v>
      </c>
      <c r="J55" t="s">
        <v>234</v>
      </c>
    </row>
    <row r="56" spans="1:10" x14ac:dyDescent="0.25">
      <c r="A56">
        <v>2018</v>
      </c>
      <c r="B56">
        <v>55</v>
      </c>
      <c r="C56" t="s">
        <v>82</v>
      </c>
      <c r="D56">
        <v>5.891</v>
      </c>
      <c r="E56">
        <v>1.0900000000000001</v>
      </c>
      <c r="F56">
        <v>1.387</v>
      </c>
      <c r="G56">
        <v>0.68400000000000005</v>
      </c>
      <c r="H56">
        <v>0.58399999999999996</v>
      </c>
      <c r="I56">
        <v>0.245</v>
      </c>
      <c r="J56" t="s">
        <v>235</v>
      </c>
    </row>
    <row r="57" spans="1:10" x14ac:dyDescent="0.25">
      <c r="A57">
        <v>2018</v>
      </c>
      <c r="B57">
        <v>56</v>
      </c>
      <c r="C57" t="s">
        <v>76</v>
      </c>
      <c r="D57">
        <v>5.89</v>
      </c>
      <c r="E57">
        <v>0.81899999999999995</v>
      </c>
      <c r="F57">
        <v>1.4930000000000001</v>
      </c>
      <c r="G57">
        <v>0.69299999999999995</v>
      </c>
      <c r="H57">
        <v>0.57499999999999996</v>
      </c>
      <c r="I57">
        <v>9.6000000000000002E-2</v>
      </c>
      <c r="J57" t="s">
        <v>236</v>
      </c>
    </row>
    <row r="58" spans="1:10" x14ac:dyDescent="0.25">
      <c r="A58">
        <v>2018</v>
      </c>
      <c r="B58">
        <v>57</v>
      </c>
      <c r="C58" t="s">
        <v>58</v>
      </c>
      <c r="D58">
        <v>5.875</v>
      </c>
      <c r="E58">
        <v>1.266</v>
      </c>
      <c r="F58">
        <v>1.204</v>
      </c>
      <c r="G58">
        <v>0.95499999999999996</v>
      </c>
      <c r="H58">
        <v>0.24399999999999999</v>
      </c>
      <c r="I58">
        <v>0.17499999999999999</v>
      </c>
      <c r="J58" t="s">
        <v>231</v>
      </c>
    </row>
    <row r="59" spans="1:10" x14ac:dyDescent="0.25">
      <c r="A59">
        <v>2018</v>
      </c>
      <c r="B59">
        <v>58</v>
      </c>
      <c r="C59" t="s">
        <v>237</v>
      </c>
      <c r="D59">
        <v>5.835</v>
      </c>
      <c r="E59">
        <v>1.2290000000000001</v>
      </c>
      <c r="F59">
        <v>1.2110000000000001</v>
      </c>
      <c r="G59">
        <v>0.90900000000000003</v>
      </c>
      <c r="H59">
        <v>0.495</v>
      </c>
      <c r="I59">
        <v>0.17899999999999999</v>
      </c>
      <c r="J59" t="s">
        <v>238</v>
      </c>
    </row>
    <row r="60" spans="1:10" x14ac:dyDescent="0.25">
      <c r="A60">
        <v>2018</v>
      </c>
      <c r="B60">
        <v>59</v>
      </c>
      <c r="C60" t="s">
        <v>75</v>
      </c>
      <c r="D60">
        <v>5.81</v>
      </c>
      <c r="E60">
        <v>1.151</v>
      </c>
      <c r="F60">
        <v>1.4790000000000001</v>
      </c>
      <c r="G60">
        <v>0.59899999999999998</v>
      </c>
      <c r="H60">
        <v>0.39900000000000002</v>
      </c>
      <c r="I60">
        <v>6.5000000000000002E-2</v>
      </c>
      <c r="J60" t="s">
        <v>239</v>
      </c>
    </row>
    <row r="61" spans="1:10" x14ac:dyDescent="0.25">
      <c r="A61">
        <v>2018</v>
      </c>
      <c r="B61">
        <v>60</v>
      </c>
      <c r="C61" t="s">
        <v>65</v>
      </c>
      <c r="D61">
        <v>5.79</v>
      </c>
      <c r="E61">
        <v>1.143</v>
      </c>
      <c r="F61">
        <v>1.516</v>
      </c>
      <c r="G61">
        <v>0.63100000000000001</v>
      </c>
      <c r="H61">
        <v>0.45400000000000001</v>
      </c>
      <c r="I61">
        <v>0.14799999999999999</v>
      </c>
      <c r="J61" t="s">
        <v>240</v>
      </c>
    </row>
    <row r="62" spans="1:10" x14ac:dyDescent="0.25">
      <c r="A62">
        <v>2018</v>
      </c>
      <c r="B62">
        <v>61</v>
      </c>
      <c r="C62" t="s">
        <v>78</v>
      </c>
      <c r="D62">
        <v>5.7619999999999996</v>
      </c>
      <c r="E62">
        <v>1.2290000000000001</v>
      </c>
      <c r="F62">
        <v>1.1910000000000001</v>
      </c>
      <c r="G62">
        <v>0.90900000000000003</v>
      </c>
      <c r="H62">
        <v>0.42299999999999999</v>
      </c>
      <c r="I62">
        <v>0.20200000000000001</v>
      </c>
      <c r="J62" t="s">
        <v>241</v>
      </c>
    </row>
    <row r="63" spans="1:10" x14ac:dyDescent="0.25">
      <c r="A63">
        <v>2018</v>
      </c>
      <c r="B63">
        <v>62</v>
      </c>
      <c r="C63" t="s">
        <v>62</v>
      </c>
      <c r="D63">
        <v>5.7519999999999998</v>
      </c>
      <c r="E63">
        <v>0.751</v>
      </c>
      <c r="F63">
        <v>1.2230000000000001</v>
      </c>
      <c r="G63">
        <v>0.50800000000000001</v>
      </c>
      <c r="H63">
        <v>0.60599999999999998</v>
      </c>
      <c r="I63">
        <v>0.14099999999999999</v>
      </c>
      <c r="J63" t="s">
        <v>209</v>
      </c>
    </row>
    <row r="64" spans="1:10" x14ac:dyDescent="0.25">
      <c r="A64">
        <v>2018</v>
      </c>
      <c r="B64">
        <v>63</v>
      </c>
      <c r="C64" t="s">
        <v>85</v>
      </c>
      <c r="D64">
        <v>5.7389999999999999</v>
      </c>
      <c r="E64">
        <v>1.2</v>
      </c>
      <c r="F64">
        <v>1.532</v>
      </c>
      <c r="G64">
        <v>0.73699999999999999</v>
      </c>
      <c r="H64">
        <v>0.55300000000000005</v>
      </c>
      <c r="I64">
        <v>8.5999999999999993E-2</v>
      </c>
      <c r="J64" t="s">
        <v>242</v>
      </c>
    </row>
    <row r="65" spans="1:10" x14ac:dyDescent="0.25">
      <c r="A65">
        <v>2018</v>
      </c>
      <c r="B65">
        <v>64</v>
      </c>
      <c r="C65" t="s">
        <v>64</v>
      </c>
      <c r="D65">
        <v>5.681</v>
      </c>
      <c r="E65">
        <v>0.83499999999999996</v>
      </c>
      <c r="F65">
        <v>1.522</v>
      </c>
      <c r="G65">
        <v>0.61499999999999999</v>
      </c>
      <c r="H65">
        <v>0.54100000000000004</v>
      </c>
      <c r="I65">
        <v>0.16200000000000001</v>
      </c>
      <c r="J65" t="s">
        <v>216</v>
      </c>
    </row>
    <row r="66" spans="1:10" x14ac:dyDescent="0.25">
      <c r="A66">
        <v>2018</v>
      </c>
      <c r="B66">
        <v>65</v>
      </c>
      <c r="C66" t="s">
        <v>69</v>
      </c>
      <c r="D66">
        <v>5.6630000000000003</v>
      </c>
      <c r="E66">
        <v>0.93400000000000005</v>
      </c>
      <c r="F66">
        <v>1.2490000000000001</v>
      </c>
      <c r="G66">
        <v>0.67400000000000004</v>
      </c>
      <c r="H66">
        <v>0.53</v>
      </c>
      <c r="I66">
        <v>9.1999999999999998E-2</v>
      </c>
      <c r="J66" t="s">
        <v>201</v>
      </c>
    </row>
    <row r="67" spans="1:10" x14ac:dyDescent="0.25">
      <c r="A67">
        <v>2018</v>
      </c>
      <c r="B67">
        <v>66</v>
      </c>
      <c r="C67" t="s">
        <v>80</v>
      </c>
      <c r="D67">
        <v>5.6619999999999999</v>
      </c>
      <c r="E67">
        <v>0.85499999999999998</v>
      </c>
      <c r="F67">
        <v>1.23</v>
      </c>
      <c r="G67">
        <v>0.57799999999999996</v>
      </c>
      <c r="H67">
        <v>0.44800000000000001</v>
      </c>
      <c r="I67">
        <v>0.27400000000000002</v>
      </c>
      <c r="J67" t="s">
        <v>243</v>
      </c>
    </row>
    <row r="68" spans="1:10" x14ac:dyDescent="0.25">
      <c r="A68">
        <v>2018</v>
      </c>
      <c r="B68">
        <v>67</v>
      </c>
      <c r="C68" t="s">
        <v>63</v>
      </c>
      <c r="D68">
        <v>5.64</v>
      </c>
      <c r="E68">
        <v>0.65700000000000003</v>
      </c>
      <c r="F68">
        <v>1.3009999999999999</v>
      </c>
      <c r="G68">
        <v>0.62</v>
      </c>
      <c r="H68">
        <v>0.23200000000000001</v>
      </c>
      <c r="I68">
        <v>0.17100000000000001</v>
      </c>
      <c r="J68" t="s">
        <v>244</v>
      </c>
    </row>
    <row r="69" spans="1:10" x14ac:dyDescent="0.25">
      <c r="A69">
        <v>2018</v>
      </c>
      <c r="B69">
        <v>68</v>
      </c>
      <c r="C69" t="s">
        <v>81</v>
      </c>
      <c r="D69">
        <v>5.6360000000000001</v>
      </c>
      <c r="E69">
        <v>1.016</v>
      </c>
      <c r="F69">
        <v>1.5329999999999999</v>
      </c>
      <c r="G69">
        <v>0.51700000000000002</v>
      </c>
      <c r="H69">
        <v>0.41699999999999998</v>
      </c>
      <c r="I69">
        <v>0.19900000000000001</v>
      </c>
      <c r="J69" t="s">
        <v>245</v>
      </c>
    </row>
    <row r="70" spans="1:10" x14ac:dyDescent="0.25">
      <c r="A70">
        <v>2018</v>
      </c>
      <c r="B70">
        <v>69</v>
      </c>
      <c r="C70" t="s">
        <v>117</v>
      </c>
      <c r="D70">
        <v>5.62</v>
      </c>
      <c r="E70">
        <v>1.171</v>
      </c>
      <c r="F70">
        <v>1.401</v>
      </c>
      <c r="G70">
        <v>0.73199999999999998</v>
      </c>
      <c r="H70">
        <v>0.25900000000000001</v>
      </c>
      <c r="I70">
        <v>6.0999999999999999E-2</v>
      </c>
      <c r="J70" t="s">
        <v>246</v>
      </c>
    </row>
    <row r="71" spans="1:10" x14ac:dyDescent="0.25">
      <c r="A71">
        <v>2018</v>
      </c>
      <c r="B71">
        <v>70</v>
      </c>
      <c r="C71" t="s">
        <v>74</v>
      </c>
      <c r="D71">
        <v>5.5659999999999998</v>
      </c>
      <c r="E71">
        <v>0.98499999999999999</v>
      </c>
      <c r="F71">
        <v>1.35</v>
      </c>
      <c r="G71">
        <v>0.55300000000000005</v>
      </c>
      <c r="H71">
        <v>0.496</v>
      </c>
      <c r="I71">
        <v>0.11600000000000001</v>
      </c>
      <c r="J71" t="s">
        <v>247</v>
      </c>
    </row>
    <row r="72" spans="1:10" x14ac:dyDescent="0.25">
      <c r="A72">
        <v>2018</v>
      </c>
      <c r="B72">
        <v>71</v>
      </c>
      <c r="C72" t="s">
        <v>103</v>
      </c>
      <c r="D72">
        <v>5.524</v>
      </c>
      <c r="E72">
        <v>0.77500000000000002</v>
      </c>
      <c r="F72">
        <v>1.3120000000000001</v>
      </c>
      <c r="G72">
        <v>0.51300000000000001</v>
      </c>
      <c r="H72">
        <v>0.64300000000000002</v>
      </c>
      <c r="I72">
        <v>0.12</v>
      </c>
      <c r="J72" t="s">
        <v>248</v>
      </c>
    </row>
    <row r="73" spans="1:10" x14ac:dyDescent="0.25">
      <c r="A73">
        <v>2018</v>
      </c>
      <c r="B73">
        <v>72</v>
      </c>
      <c r="C73" t="s">
        <v>118</v>
      </c>
      <c r="D73">
        <v>5.5039999999999996</v>
      </c>
      <c r="E73">
        <v>0.62</v>
      </c>
      <c r="F73">
        <v>1.2050000000000001</v>
      </c>
      <c r="G73">
        <v>0.622</v>
      </c>
      <c r="H73">
        <v>0.45900000000000002</v>
      </c>
      <c r="I73">
        <v>0.19700000000000001</v>
      </c>
      <c r="J73" t="s">
        <v>216</v>
      </c>
    </row>
    <row r="74" spans="1:10" x14ac:dyDescent="0.25">
      <c r="A74">
        <v>2018</v>
      </c>
      <c r="B74">
        <v>73</v>
      </c>
      <c r="C74" t="s">
        <v>70</v>
      </c>
      <c r="D74">
        <v>5.4829999999999997</v>
      </c>
      <c r="E74">
        <v>1.0389999999999999</v>
      </c>
      <c r="F74">
        <v>1.498</v>
      </c>
      <c r="G74">
        <v>0.7</v>
      </c>
      <c r="H74">
        <v>0.307</v>
      </c>
      <c r="I74">
        <v>0.10100000000000001</v>
      </c>
      <c r="J74" t="s">
        <v>238</v>
      </c>
    </row>
    <row r="75" spans="1:10" x14ac:dyDescent="0.25">
      <c r="A75">
        <v>2018</v>
      </c>
      <c r="B75">
        <v>74</v>
      </c>
      <c r="C75" t="s">
        <v>88</v>
      </c>
      <c r="D75">
        <v>5.4829999999999997</v>
      </c>
      <c r="E75">
        <v>1.1479999999999999</v>
      </c>
      <c r="F75">
        <v>1.38</v>
      </c>
      <c r="G75">
        <v>0.68600000000000005</v>
      </c>
      <c r="H75">
        <v>0.32400000000000001</v>
      </c>
      <c r="I75">
        <v>0.106</v>
      </c>
      <c r="J75" t="s">
        <v>249</v>
      </c>
    </row>
    <row r="76" spans="1:10" x14ac:dyDescent="0.25">
      <c r="A76">
        <v>2018</v>
      </c>
      <c r="B76">
        <v>75</v>
      </c>
      <c r="C76" t="s">
        <v>94</v>
      </c>
      <c r="D76">
        <v>5.4720000000000004</v>
      </c>
      <c r="E76">
        <v>0.65200000000000002</v>
      </c>
      <c r="F76">
        <v>0.81</v>
      </c>
      <c r="G76">
        <v>0.42399999999999999</v>
      </c>
      <c r="H76">
        <v>0.33400000000000002</v>
      </c>
      <c r="I76">
        <v>0.216</v>
      </c>
      <c r="J76" t="s">
        <v>250</v>
      </c>
    </row>
    <row r="77" spans="1:10" x14ac:dyDescent="0.25">
      <c r="A77">
        <v>2018</v>
      </c>
      <c r="B77">
        <v>76</v>
      </c>
      <c r="C77" t="s">
        <v>84</v>
      </c>
      <c r="D77">
        <v>5.43</v>
      </c>
      <c r="E77">
        <v>1.405</v>
      </c>
      <c r="F77">
        <v>1.29</v>
      </c>
      <c r="G77">
        <v>1.03</v>
      </c>
      <c r="H77">
        <v>0.52400000000000002</v>
      </c>
      <c r="I77">
        <v>0.246</v>
      </c>
      <c r="J77" t="s">
        <v>187</v>
      </c>
    </row>
    <row r="78" spans="1:10" x14ac:dyDescent="0.25">
      <c r="A78">
        <v>2018</v>
      </c>
      <c r="B78">
        <v>77</v>
      </c>
      <c r="C78" t="s">
        <v>101</v>
      </c>
      <c r="D78">
        <v>5.41</v>
      </c>
      <c r="E78">
        <v>1.1879999999999999</v>
      </c>
      <c r="F78">
        <v>1.429</v>
      </c>
      <c r="G78">
        <v>0.88400000000000001</v>
      </c>
      <c r="H78">
        <v>0.56200000000000006</v>
      </c>
      <c r="I78">
        <v>5.5E-2</v>
      </c>
      <c r="J78" t="s">
        <v>251</v>
      </c>
    </row>
    <row r="79" spans="1:10" x14ac:dyDescent="0.25">
      <c r="A79">
        <v>2018</v>
      </c>
      <c r="B79">
        <v>78</v>
      </c>
      <c r="C79" t="s">
        <v>100</v>
      </c>
      <c r="D79">
        <v>5.3979999999999997</v>
      </c>
      <c r="E79">
        <v>0.97499999999999998</v>
      </c>
      <c r="F79">
        <v>1.369</v>
      </c>
      <c r="G79">
        <v>0.68500000000000005</v>
      </c>
      <c r="H79">
        <v>0.28799999999999998</v>
      </c>
      <c r="I79">
        <v>0.13400000000000001</v>
      </c>
      <c r="J79" t="s">
        <v>252</v>
      </c>
    </row>
    <row r="80" spans="1:10" x14ac:dyDescent="0.25">
      <c r="A80">
        <v>2018</v>
      </c>
      <c r="B80">
        <v>79</v>
      </c>
      <c r="C80" t="s">
        <v>115</v>
      </c>
      <c r="D80">
        <v>5.3579999999999997</v>
      </c>
      <c r="E80">
        <v>1.1539999999999999</v>
      </c>
      <c r="F80">
        <v>1.202</v>
      </c>
      <c r="G80">
        <v>0.879</v>
      </c>
      <c r="H80">
        <v>0.13100000000000001</v>
      </c>
      <c r="I80">
        <v>0</v>
      </c>
      <c r="J80" t="s">
        <v>253</v>
      </c>
    </row>
    <row r="81" spans="1:10" x14ac:dyDescent="0.25">
      <c r="A81">
        <v>2018</v>
      </c>
      <c r="B81">
        <v>80</v>
      </c>
      <c r="C81" t="s">
        <v>116</v>
      </c>
      <c r="D81">
        <v>5.3579999999999997</v>
      </c>
      <c r="E81">
        <v>0.96499999999999997</v>
      </c>
      <c r="F81">
        <v>1.179</v>
      </c>
      <c r="G81">
        <v>0.78500000000000003</v>
      </c>
      <c r="H81">
        <v>0.503</v>
      </c>
      <c r="I81">
        <v>0.214</v>
      </c>
      <c r="J81" t="s">
        <v>254</v>
      </c>
    </row>
    <row r="82" spans="1:10" x14ac:dyDescent="0.25">
      <c r="A82">
        <v>2018</v>
      </c>
      <c r="B82">
        <v>81</v>
      </c>
      <c r="C82" t="s">
        <v>96</v>
      </c>
      <c r="D82">
        <v>5.3470000000000004</v>
      </c>
      <c r="E82">
        <v>1.0169999999999999</v>
      </c>
      <c r="F82">
        <v>1.2789999999999999</v>
      </c>
      <c r="G82">
        <v>0.72899999999999998</v>
      </c>
      <c r="H82">
        <v>0.25900000000000001</v>
      </c>
      <c r="I82">
        <v>0.111</v>
      </c>
      <c r="J82" t="s">
        <v>255</v>
      </c>
    </row>
    <row r="83" spans="1:10" x14ac:dyDescent="0.25">
      <c r="A83">
        <v>2018</v>
      </c>
      <c r="B83">
        <v>82</v>
      </c>
      <c r="C83" t="s">
        <v>73</v>
      </c>
      <c r="D83">
        <v>5.3209999999999997</v>
      </c>
      <c r="E83">
        <v>1.115</v>
      </c>
      <c r="F83">
        <v>1.161</v>
      </c>
      <c r="G83">
        <v>0.73699999999999999</v>
      </c>
      <c r="H83">
        <v>0.38</v>
      </c>
      <c r="I83">
        <v>0.12</v>
      </c>
      <c r="J83" t="s">
        <v>217</v>
      </c>
    </row>
    <row r="84" spans="1:10" x14ac:dyDescent="0.25">
      <c r="A84">
        <v>2018</v>
      </c>
      <c r="B84">
        <v>83</v>
      </c>
      <c r="C84" t="s">
        <v>111</v>
      </c>
      <c r="D84">
        <v>5.3019999999999996</v>
      </c>
      <c r="E84">
        <v>0.98199999999999998</v>
      </c>
      <c r="F84">
        <v>1.4410000000000001</v>
      </c>
      <c r="G84">
        <v>0.61399999999999999</v>
      </c>
      <c r="H84">
        <v>0.57799999999999996</v>
      </c>
      <c r="I84">
        <v>0.12</v>
      </c>
      <c r="J84" t="s">
        <v>225</v>
      </c>
    </row>
    <row r="85" spans="1:10" x14ac:dyDescent="0.25">
      <c r="A85">
        <v>2018</v>
      </c>
      <c r="B85">
        <v>84</v>
      </c>
      <c r="C85" t="s">
        <v>79</v>
      </c>
      <c r="D85">
        <v>5.2949999999999999</v>
      </c>
      <c r="E85">
        <v>0.97899999999999998</v>
      </c>
      <c r="F85">
        <v>1.1539999999999999</v>
      </c>
      <c r="G85">
        <v>0.68700000000000006</v>
      </c>
      <c r="H85">
        <v>7.6999999999999999E-2</v>
      </c>
      <c r="I85">
        <v>5.5E-2</v>
      </c>
      <c r="J85" t="s">
        <v>256</v>
      </c>
    </row>
    <row r="86" spans="1:10" x14ac:dyDescent="0.25">
      <c r="A86">
        <v>2018</v>
      </c>
      <c r="B86">
        <v>85</v>
      </c>
      <c r="C86" t="s">
        <v>105</v>
      </c>
      <c r="D86">
        <v>5.2539999999999996</v>
      </c>
      <c r="E86">
        <v>0.77900000000000003</v>
      </c>
      <c r="F86">
        <v>0.79700000000000004</v>
      </c>
      <c r="G86">
        <v>0.66900000000000004</v>
      </c>
      <c r="H86">
        <v>0.46</v>
      </c>
      <c r="I86">
        <v>2.5999999999999999E-2</v>
      </c>
      <c r="J86" t="s">
        <v>216</v>
      </c>
    </row>
    <row r="87" spans="1:10" x14ac:dyDescent="0.25">
      <c r="A87">
        <v>2018</v>
      </c>
      <c r="B87">
        <v>86</v>
      </c>
      <c r="C87" t="s">
        <v>97</v>
      </c>
      <c r="D87">
        <v>5.2460000000000004</v>
      </c>
      <c r="E87">
        <v>0.98899999999999999</v>
      </c>
      <c r="F87">
        <v>1.1419999999999999</v>
      </c>
      <c r="G87">
        <v>0.79900000000000004</v>
      </c>
      <c r="H87">
        <v>0.59699999999999998</v>
      </c>
      <c r="I87">
        <v>2.9000000000000001E-2</v>
      </c>
      <c r="J87" t="s">
        <v>257</v>
      </c>
    </row>
    <row r="88" spans="1:10" x14ac:dyDescent="0.25">
      <c r="A88">
        <v>2018</v>
      </c>
      <c r="B88">
        <v>87</v>
      </c>
      <c r="C88" t="s">
        <v>93</v>
      </c>
      <c r="D88">
        <v>5.2009999999999996</v>
      </c>
      <c r="E88">
        <v>1.024</v>
      </c>
      <c r="F88">
        <v>1.161</v>
      </c>
      <c r="G88">
        <v>0.60299999999999998</v>
      </c>
      <c r="H88">
        <v>0.43</v>
      </c>
      <c r="I88">
        <v>3.1E-2</v>
      </c>
      <c r="J88" t="s">
        <v>203</v>
      </c>
    </row>
    <row r="89" spans="1:10" x14ac:dyDescent="0.25">
      <c r="A89">
        <v>2018</v>
      </c>
      <c r="B89">
        <v>88</v>
      </c>
      <c r="C89" t="s">
        <v>119</v>
      </c>
      <c r="D89">
        <v>5.1989999999999998</v>
      </c>
      <c r="E89">
        <v>0.47399999999999998</v>
      </c>
      <c r="F89">
        <v>1.1659999999999999</v>
      </c>
      <c r="G89">
        <v>0.59799999999999998</v>
      </c>
      <c r="H89">
        <v>0.29199999999999998</v>
      </c>
      <c r="I89">
        <v>0.187</v>
      </c>
      <c r="J89" t="s">
        <v>201</v>
      </c>
    </row>
    <row r="90" spans="1:10" x14ac:dyDescent="0.25">
      <c r="A90">
        <v>2018</v>
      </c>
      <c r="B90">
        <v>89</v>
      </c>
      <c r="C90" t="s">
        <v>106</v>
      </c>
      <c r="D90">
        <v>5.1849999999999996</v>
      </c>
      <c r="E90">
        <v>0.95899999999999996</v>
      </c>
      <c r="F90">
        <v>1.2390000000000001</v>
      </c>
      <c r="G90">
        <v>0.69099999999999995</v>
      </c>
      <c r="H90">
        <v>0.39400000000000002</v>
      </c>
      <c r="I90">
        <v>0.17299999999999999</v>
      </c>
      <c r="J90" t="s">
        <v>258</v>
      </c>
    </row>
    <row r="91" spans="1:10" x14ac:dyDescent="0.25">
      <c r="A91">
        <v>2018</v>
      </c>
      <c r="B91">
        <v>90</v>
      </c>
      <c r="C91" t="s">
        <v>95</v>
      </c>
      <c r="D91">
        <v>5.1609999999999996</v>
      </c>
      <c r="E91">
        <v>0.82199999999999995</v>
      </c>
      <c r="F91">
        <v>1.2649999999999999</v>
      </c>
      <c r="G91">
        <v>0.64500000000000002</v>
      </c>
      <c r="H91">
        <v>0.46800000000000003</v>
      </c>
      <c r="I91">
        <v>0.13</v>
      </c>
      <c r="J91" t="s">
        <v>259</v>
      </c>
    </row>
    <row r="92" spans="1:10" x14ac:dyDescent="0.25">
      <c r="A92">
        <v>2018</v>
      </c>
      <c r="B92">
        <v>91</v>
      </c>
      <c r="C92" t="s">
        <v>90</v>
      </c>
      <c r="D92">
        <v>5.1550000000000002</v>
      </c>
      <c r="E92">
        <v>0.68899999999999995</v>
      </c>
      <c r="F92">
        <v>1.1719999999999999</v>
      </c>
      <c r="G92">
        <v>4.8000000000000001E-2</v>
      </c>
      <c r="H92">
        <v>0.46200000000000002</v>
      </c>
      <c r="I92">
        <v>0.20100000000000001</v>
      </c>
      <c r="J92" t="s">
        <v>260</v>
      </c>
    </row>
    <row r="93" spans="1:10" x14ac:dyDescent="0.25">
      <c r="A93">
        <v>2018</v>
      </c>
      <c r="B93">
        <v>92</v>
      </c>
      <c r="C93" t="s">
        <v>89</v>
      </c>
      <c r="D93">
        <v>5.1310000000000002</v>
      </c>
      <c r="E93">
        <v>0.53</v>
      </c>
      <c r="F93">
        <v>1.4159999999999999</v>
      </c>
      <c r="G93">
        <v>0.59399999999999997</v>
      </c>
      <c r="H93">
        <v>0.54</v>
      </c>
      <c r="I93">
        <v>0.28100000000000003</v>
      </c>
      <c r="J93" t="s">
        <v>241</v>
      </c>
    </row>
    <row r="94" spans="1:10" x14ac:dyDescent="0.25">
      <c r="A94">
        <v>2018</v>
      </c>
      <c r="B94">
        <v>93</v>
      </c>
      <c r="C94" t="s">
        <v>109</v>
      </c>
      <c r="D94">
        <v>5.1289999999999996</v>
      </c>
      <c r="E94">
        <v>0.91500000000000004</v>
      </c>
      <c r="F94">
        <v>1.0780000000000001</v>
      </c>
      <c r="G94">
        <v>0.75800000000000001</v>
      </c>
      <c r="H94">
        <v>0.28000000000000003</v>
      </c>
      <c r="I94">
        <v>0.216</v>
      </c>
      <c r="J94" t="s">
        <v>244</v>
      </c>
    </row>
    <row r="95" spans="1:10" x14ac:dyDescent="0.25">
      <c r="A95">
        <v>2018</v>
      </c>
      <c r="B95">
        <v>94</v>
      </c>
      <c r="C95" t="s">
        <v>113</v>
      </c>
      <c r="D95">
        <v>5.125</v>
      </c>
      <c r="E95">
        <v>0.91400000000000003</v>
      </c>
      <c r="F95">
        <v>1.5169999999999999</v>
      </c>
      <c r="G95">
        <v>0.57499999999999996</v>
      </c>
      <c r="H95">
        <v>0.39500000000000002</v>
      </c>
      <c r="I95">
        <v>0.253</v>
      </c>
      <c r="J95" t="s">
        <v>260</v>
      </c>
    </row>
    <row r="96" spans="1:10" x14ac:dyDescent="0.25">
      <c r="A96">
        <v>2018</v>
      </c>
      <c r="B96">
        <v>95</v>
      </c>
      <c r="C96" t="s">
        <v>87</v>
      </c>
      <c r="D96">
        <v>5.1029999999999998</v>
      </c>
      <c r="E96">
        <v>0.71499999999999997</v>
      </c>
      <c r="F96">
        <v>1.365</v>
      </c>
      <c r="G96">
        <v>0.70199999999999996</v>
      </c>
      <c r="H96">
        <v>0.61799999999999999</v>
      </c>
      <c r="I96">
        <v>0.17699999999999999</v>
      </c>
      <c r="J96" t="s">
        <v>261</v>
      </c>
    </row>
    <row r="97" spans="1:10" x14ac:dyDescent="0.25">
      <c r="A97">
        <v>2018</v>
      </c>
      <c r="B97">
        <v>96</v>
      </c>
      <c r="C97" t="s">
        <v>86</v>
      </c>
      <c r="D97">
        <v>5.093</v>
      </c>
      <c r="E97">
        <v>0.89900000000000002</v>
      </c>
      <c r="F97">
        <v>1.2150000000000001</v>
      </c>
      <c r="G97">
        <v>0.52200000000000002</v>
      </c>
      <c r="H97">
        <v>0.53800000000000003</v>
      </c>
      <c r="I97">
        <v>0.48399999999999999</v>
      </c>
      <c r="J97" t="s">
        <v>262</v>
      </c>
    </row>
    <row r="98" spans="1:10" x14ac:dyDescent="0.25">
      <c r="A98">
        <v>2018</v>
      </c>
      <c r="B98">
        <v>97</v>
      </c>
      <c r="C98" t="s">
        <v>91</v>
      </c>
      <c r="D98">
        <v>5.0819999999999999</v>
      </c>
      <c r="E98">
        <v>0.79600000000000004</v>
      </c>
      <c r="F98">
        <v>1.335</v>
      </c>
      <c r="G98">
        <v>0.52700000000000002</v>
      </c>
      <c r="H98">
        <v>0.54100000000000004</v>
      </c>
      <c r="I98">
        <v>0.36399999999999999</v>
      </c>
      <c r="J98" t="s">
        <v>212</v>
      </c>
    </row>
    <row r="99" spans="1:10" x14ac:dyDescent="0.25">
      <c r="A99">
        <v>2018</v>
      </c>
      <c r="B99">
        <v>98</v>
      </c>
      <c r="C99" t="s">
        <v>175</v>
      </c>
      <c r="D99">
        <v>4.9820000000000002</v>
      </c>
      <c r="E99">
        <v>0</v>
      </c>
      <c r="F99">
        <v>0.71199999999999997</v>
      </c>
      <c r="G99">
        <v>0.115</v>
      </c>
      <c r="H99">
        <v>0.67400000000000004</v>
      </c>
      <c r="I99">
        <v>0.23799999999999999</v>
      </c>
      <c r="J99" t="s">
        <v>263</v>
      </c>
    </row>
    <row r="100" spans="1:10" x14ac:dyDescent="0.25">
      <c r="A100">
        <v>2018</v>
      </c>
      <c r="B100">
        <v>99</v>
      </c>
      <c r="C100" t="s">
        <v>146</v>
      </c>
      <c r="D100">
        <v>4.9749999999999996</v>
      </c>
      <c r="E100">
        <v>0.53500000000000003</v>
      </c>
      <c r="F100">
        <v>0.89100000000000001</v>
      </c>
      <c r="G100">
        <v>0.182</v>
      </c>
      <c r="H100">
        <v>0.45400000000000001</v>
      </c>
      <c r="I100">
        <v>0.183</v>
      </c>
      <c r="J100" t="s">
        <v>252</v>
      </c>
    </row>
    <row r="101" spans="1:10" x14ac:dyDescent="0.25">
      <c r="A101">
        <v>2018</v>
      </c>
      <c r="B101">
        <v>100</v>
      </c>
      <c r="C101" t="s">
        <v>147</v>
      </c>
      <c r="D101">
        <v>4.9329999999999998</v>
      </c>
      <c r="E101">
        <v>1.054</v>
      </c>
      <c r="F101">
        <v>1.5149999999999999</v>
      </c>
      <c r="G101">
        <v>0.71199999999999997</v>
      </c>
      <c r="H101">
        <v>0.35899999999999999</v>
      </c>
      <c r="I101">
        <v>6.4000000000000001E-2</v>
      </c>
      <c r="J101" t="s">
        <v>264</v>
      </c>
    </row>
    <row r="102" spans="1:10" x14ac:dyDescent="0.25">
      <c r="A102">
        <v>2018</v>
      </c>
      <c r="B102">
        <v>101</v>
      </c>
      <c r="C102" t="s">
        <v>134</v>
      </c>
      <c r="D102">
        <v>4.88</v>
      </c>
      <c r="E102">
        <v>0.42499999999999999</v>
      </c>
      <c r="F102">
        <v>1.228</v>
      </c>
      <c r="G102">
        <v>0.53900000000000003</v>
      </c>
      <c r="H102">
        <v>0.52600000000000002</v>
      </c>
      <c r="I102">
        <v>0.30199999999999999</v>
      </c>
      <c r="J102" t="s">
        <v>206</v>
      </c>
    </row>
    <row r="103" spans="1:10" x14ac:dyDescent="0.25">
      <c r="A103">
        <v>2018</v>
      </c>
      <c r="B103">
        <v>102</v>
      </c>
      <c r="C103" t="s">
        <v>31</v>
      </c>
      <c r="D103">
        <v>4.806</v>
      </c>
      <c r="E103">
        <v>0.996</v>
      </c>
      <c r="F103">
        <v>1.4690000000000001</v>
      </c>
      <c r="G103">
        <v>0.65700000000000003</v>
      </c>
      <c r="H103">
        <v>0.13300000000000001</v>
      </c>
      <c r="I103">
        <v>5.6000000000000001E-2</v>
      </c>
      <c r="J103" t="s">
        <v>258</v>
      </c>
    </row>
    <row r="104" spans="1:10" x14ac:dyDescent="0.25">
      <c r="A104">
        <v>2018</v>
      </c>
      <c r="B104">
        <v>103</v>
      </c>
      <c r="C104" t="s">
        <v>156</v>
      </c>
      <c r="D104">
        <v>4.758</v>
      </c>
      <c r="E104">
        <v>1.036</v>
      </c>
      <c r="F104">
        <v>1.1639999999999999</v>
      </c>
      <c r="G104">
        <v>0.40400000000000003</v>
      </c>
      <c r="H104">
        <v>0.35599999999999998</v>
      </c>
      <c r="I104">
        <v>3.2000000000000001E-2</v>
      </c>
      <c r="J104" t="s">
        <v>258</v>
      </c>
    </row>
    <row r="105" spans="1:10" x14ac:dyDescent="0.25">
      <c r="A105">
        <v>2018</v>
      </c>
      <c r="B105">
        <v>104</v>
      </c>
      <c r="C105" t="s">
        <v>121</v>
      </c>
      <c r="D105">
        <v>4.7430000000000003</v>
      </c>
      <c r="E105">
        <v>0.64200000000000002</v>
      </c>
      <c r="F105">
        <v>1.2170000000000001</v>
      </c>
      <c r="G105">
        <v>0.60199999999999998</v>
      </c>
      <c r="H105">
        <v>0.26600000000000001</v>
      </c>
      <c r="I105">
        <v>8.5999999999999993E-2</v>
      </c>
      <c r="J105" t="s">
        <v>265</v>
      </c>
    </row>
    <row r="106" spans="1:10" x14ac:dyDescent="0.25">
      <c r="A106">
        <v>2018</v>
      </c>
      <c r="B106">
        <v>105</v>
      </c>
      <c r="C106" t="s">
        <v>126</v>
      </c>
      <c r="D106">
        <v>4.7240000000000002</v>
      </c>
      <c r="E106">
        <v>0.94</v>
      </c>
      <c r="F106">
        <v>1.41</v>
      </c>
      <c r="G106">
        <v>0.33</v>
      </c>
      <c r="H106">
        <v>0.51600000000000001</v>
      </c>
      <c r="I106">
        <v>0.10299999999999999</v>
      </c>
      <c r="J106" t="s">
        <v>266</v>
      </c>
    </row>
    <row r="107" spans="1:10" x14ac:dyDescent="0.25">
      <c r="A107">
        <v>2018</v>
      </c>
      <c r="B107">
        <v>106</v>
      </c>
      <c r="C107" t="s">
        <v>123</v>
      </c>
      <c r="D107">
        <v>4.7069999999999999</v>
      </c>
      <c r="E107">
        <v>1.0589999999999999</v>
      </c>
      <c r="F107">
        <v>0.77100000000000002</v>
      </c>
      <c r="G107">
        <v>0.69099999999999995</v>
      </c>
      <c r="H107">
        <v>0.45900000000000002</v>
      </c>
      <c r="I107">
        <v>0.28199999999999997</v>
      </c>
      <c r="J107" t="s">
        <v>267</v>
      </c>
    </row>
    <row r="108" spans="1:10" x14ac:dyDescent="0.25">
      <c r="A108">
        <v>2018</v>
      </c>
      <c r="B108">
        <v>107</v>
      </c>
      <c r="C108" t="s">
        <v>164</v>
      </c>
      <c r="D108">
        <v>4.6710000000000003</v>
      </c>
      <c r="E108">
        <v>0.54100000000000004</v>
      </c>
      <c r="F108">
        <v>0.872</v>
      </c>
      <c r="G108">
        <v>0.08</v>
      </c>
      <c r="H108">
        <v>0.46700000000000003</v>
      </c>
      <c r="I108">
        <v>0.14599999999999999</v>
      </c>
      <c r="J108" t="s">
        <v>257</v>
      </c>
    </row>
    <row r="109" spans="1:10" x14ac:dyDescent="0.25">
      <c r="A109">
        <v>2018</v>
      </c>
      <c r="B109">
        <v>108</v>
      </c>
      <c r="C109" t="s">
        <v>127</v>
      </c>
      <c r="D109">
        <v>4.657</v>
      </c>
      <c r="E109">
        <v>0.59199999999999997</v>
      </c>
      <c r="F109">
        <v>0.89600000000000002</v>
      </c>
      <c r="G109">
        <v>0.33700000000000002</v>
      </c>
      <c r="H109">
        <v>0.499</v>
      </c>
      <c r="I109">
        <v>0.21199999999999999</v>
      </c>
      <c r="J109" t="s">
        <v>226</v>
      </c>
    </row>
    <row r="110" spans="1:10" x14ac:dyDescent="0.25">
      <c r="A110">
        <v>2018</v>
      </c>
      <c r="B110">
        <v>109</v>
      </c>
      <c r="C110" t="s">
        <v>155</v>
      </c>
      <c r="D110">
        <v>4.6310000000000002</v>
      </c>
      <c r="E110">
        <v>0.42899999999999999</v>
      </c>
      <c r="F110">
        <v>1.117</v>
      </c>
      <c r="G110">
        <v>0.433</v>
      </c>
      <c r="H110">
        <v>0.40600000000000003</v>
      </c>
      <c r="I110">
        <v>0.13800000000000001</v>
      </c>
      <c r="J110" t="s">
        <v>191</v>
      </c>
    </row>
    <row r="111" spans="1:10" x14ac:dyDescent="0.25">
      <c r="A111">
        <v>2018</v>
      </c>
      <c r="B111">
        <v>110</v>
      </c>
      <c r="C111" t="s">
        <v>112</v>
      </c>
      <c r="D111">
        <v>4.6230000000000002</v>
      </c>
      <c r="E111">
        <v>0.72</v>
      </c>
      <c r="F111">
        <v>1.034</v>
      </c>
      <c r="G111">
        <v>0.441</v>
      </c>
      <c r="H111">
        <v>0.626</v>
      </c>
      <c r="I111">
        <v>0.23</v>
      </c>
      <c r="J111" t="s">
        <v>242</v>
      </c>
    </row>
    <row r="112" spans="1:10" x14ac:dyDescent="0.25">
      <c r="A112">
        <v>2018</v>
      </c>
      <c r="B112">
        <v>111</v>
      </c>
      <c r="C112" t="s">
        <v>120</v>
      </c>
      <c r="D112">
        <v>4.5919999999999996</v>
      </c>
      <c r="E112">
        <v>0.9</v>
      </c>
      <c r="F112">
        <v>0.90600000000000003</v>
      </c>
      <c r="G112">
        <v>0.69</v>
      </c>
      <c r="H112">
        <v>0.27100000000000002</v>
      </c>
      <c r="I112">
        <v>0.04</v>
      </c>
      <c r="J112" t="s">
        <v>207</v>
      </c>
    </row>
    <row r="113" spans="1:10" x14ac:dyDescent="0.25">
      <c r="A113">
        <v>2018</v>
      </c>
      <c r="B113">
        <v>112</v>
      </c>
      <c r="C113" t="s">
        <v>108</v>
      </c>
      <c r="D113">
        <v>4.5860000000000003</v>
      </c>
      <c r="E113">
        <v>0.91600000000000004</v>
      </c>
      <c r="F113">
        <v>0.81699999999999995</v>
      </c>
      <c r="G113">
        <v>0.79</v>
      </c>
      <c r="H113">
        <v>0.41899999999999998</v>
      </c>
      <c r="I113">
        <v>0.14899999999999999</v>
      </c>
      <c r="J113" t="s">
        <v>260</v>
      </c>
    </row>
    <row r="114" spans="1:10" x14ac:dyDescent="0.25">
      <c r="A114">
        <v>2018</v>
      </c>
      <c r="B114">
        <v>113</v>
      </c>
      <c r="C114" t="s">
        <v>136</v>
      </c>
      <c r="D114">
        <v>4.5709999999999997</v>
      </c>
      <c r="E114">
        <v>0.25600000000000001</v>
      </c>
      <c r="F114">
        <v>0.81299999999999994</v>
      </c>
      <c r="G114">
        <v>0</v>
      </c>
      <c r="H114">
        <v>0.35499999999999998</v>
      </c>
      <c r="I114">
        <v>0.23799999999999999</v>
      </c>
      <c r="J114" t="s">
        <v>268</v>
      </c>
    </row>
    <row r="115" spans="1:10" x14ac:dyDescent="0.25">
      <c r="A115">
        <v>2018</v>
      </c>
      <c r="B115">
        <v>114</v>
      </c>
      <c r="C115" t="s">
        <v>152</v>
      </c>
      <c r="D115">
        <v>4.5590000000000002</v>
      </c>
      <c r="E115">
        <v>0.68200000000000005</v>
      </c>
      <c r="F115">
        <v>0.81100000000000005</v>
      </c>
      <c r="G115">
        <v>0.34300000000000003</v>
      </c>
      <c r="H115">
        <v>0.51400000000000001</v>
      </c>
      <c r="I115">
        <v>9.0999999999999998E-2</v>
      </c>
      <c r="J115" t="s">
        <v>269</v>
      </c>
    </row>
    <row r="116" spans="1:10" x14ac:dyDescent="0.25">
      <c r="A116">
        <v>2018</v>
      </c>
      <c r="B116">
        <v>115</v>
      </c>
      <c r="C116" t="s">
        <v>122</v>
      </c>
      <c r="D116">
        <v>4.5</v>
      </c>
      <c r="E116">
        <v>0.53200000000000003</v>
      </c>
      <c r="F116">
        <v>0.85</v>
      </c>
      <c r="G116">
        <v>0.57899999999999996</v>
      </c>
      <c r="H116">
        <v>0.57999999999999996</v>
      </c>
      <c r="I116">
        <v>0.153</v>
      </c>
      <c r="J116" t="s">
        <v>270</v>
      </c>
    </row>
    <row r="117" spans="1:10" x14ac:dyDescent="0.25">
      <c r="A117">
        <v>2018</v>
      </c>
      <c r="B117">
        <v>116</v>
      </c>
      <c r="C117" t="s">
        <v>145</v>
      </c>
      <c r="D117">
        <v>4.4710000000000001</v>
      </c>
      <c r="E117">
        <v>0.91800000000000004</v>
      </c>
      <c r="F117">
        <v>1.3140000000000001</v>
      </c>
      <c r="G117">
        <v>0.67200000000000004</v>
      </c>
      <c r="H117">
        <v>0.58499999999999996</v>
      </c>
      <c r="I117">
        <v>0.307</v>
      </c>
      <c r="J117" t="s">
        <v>235</v>
      </c>
    </row>
    <row r="118" spans="1:10" x14ac:dyDescent="0.25">
      <c r="A118">
        <v>2018</v>
      </c>
      <c r="B118">
        <v>117</v>
      </c>
      <c r="C118" t="s">
        <v>125</v>
      </c>
      <c r="D118">
        <v>4.4560000000000004</v>
      </c>
      <c r="E118">
        <v>1.01</v>
      </c>
      <c r="F118">
        <v>0.97099999999999997</v>
      </c>
      <c r="G118">
        <v>0.53600000000000003</v>
      </c>
      <c r="H118">
        <v>0.30399999999999999</v>
      </c>
      <c r="I118">
        <v>0.14799999999999999</v>
      </c>
      <c r="J118" t="s">
        <v>204</v>
      </c>
    </row>
    <row r="119" spans="1:10" x14ac:dyDescent="0.25">
      <c r="A119">
        <v>2018</v>
      </c>
      <c r="B119">
        <v>118</v>
      </c>
      <c r="C119" t="s">
        <v>151</v>
      </c>
      <c r="D119">
        <v>4.4470000000000001</v>
      </c>
      <c r="E119">
        <v>0.37</v>
      </c>
      <c r="F119">
        <v>1.2330000000000001</v>
      </c>
      <c r="G119">
        <v>0.152</v>
      </c>
      <c r="H119">
        <v>0.36699999999999999</v>
      </c>
      <c r="I119">
        <v>0.13900000000000001</v>
      </c>
      <c r="J119" t="s">
        <v>266</v>
      </c>
    </row>
    <row r="120" spans="1:10" x14ac:dyDescent="0.25">
      <c r="A120">
        <v>2018</v>
      </c>
      <c r="B120">
        <v>119</v>
      </c>
      <c r="C120" t="s">
        <v>177</v>
      </c>
      <c r="D120">
        <v>4.4409999999999998</v>
      </c>
      <c r="E120">
        <v>0.874</v>
      </c>
      <c r="F120">
        <v>1.2809999999999999</v>
      </c>
      <c r="G120">
        <v>0.36499999999999999</v>
      </c>
      <c r="H120">
        <v>0.51900000000000002</v>
      </c>
      <c r="I120">
        <v>5.0999999999999997E-2</v>
      </c>
      <c r="J120" t="s">
        <v>222</v>
      </c>
    </row>
    <row r="121" spans="1:10" x14ac:dyDescent="0.25">
      <c r="A121">
        <v>2018</v>
      </c>
      <c r="B121">
        <v>120</v>
      </c>
      <c r="C121" t="s">
        <v>158</v>
      </c>
      <c r="D121">
        <v>4.4329999999999998</v>
      </c>
      <c r="E121">
        <v>0.54900000000000004</v>
      </c>
      <c r="F121">
        <v>1.0880000000000001</v>
      </c>
      <c r="G121">
        <v>0.45700000000000002</v>
      </c>
      <c r="H121">
        <v>0.69599999999999995</v>
      </c>
      <c r="I121">
        <v>0.25600000000000001</v>
      </c>
      <c r="J121" t="s">
        <v>271</v>
      </c>
    </row>
    <row r="122" spans="1:10" x14ac:dyDescent="0.25">
      <c r="A122">
        <v>2018</v>
      </c>
      <c r="B122">
        <v>121</v>
      </c>
      <c r="C122" t="s">
        <v>165</v>
      </c>
      <c r="D122">
        <v>4.4240000000000004</v>
      </c>
      <c r="E122">
        <v>0.314</v>
      </c>
      <c r="F122">
        <v>1.097</v>
      </c>
      <c r="G122">
        <v>0.254</v>
      </c>
      <c r="H122">
        <v>0.312</v>
      </c>
      <c r="I122">
        <v>0.17499999999999999</v>
      </c>
      <c r="J122" t="s">
        <v>221</v>
      </c>
    </row>
    <row r="123" spans="1:10" x14ac:dyDescent="0.25">
      <c r="A123">
        <v>2018</v>
      </c>
      <c r="B123">
        <v>122</v>
      </c>
      <c r="C123" t="s">
        <v>148</v>
      </c>
      <c r="D123">
        <v>4.4189999999999996</v>
      </c>
      <c r="E123">
        <v>0.88500000000000001</v>
      </c>
      <c r="F123">
        <v>1.0249999999999999</v>
      </c>
      <c r="G123">
        <v>0.55300000000000005</v>
      </c>
      <c r="H123">
        <v>0.312</v>
      </c>
      <c r="I123">
        <v>9.1999999999999998E-2</v>
      </c>
      <c r="J123" t="s">
        <v>272</v>
      </c>
    </row>
    <row r="124" spans="1:10" x14ac:dyDescent="0.25">
      <c r="A124">
        <v>2018</v>
      </c>
      <c r="B124">
        <v>123</v>
      </c>
      <c r="C124" t="s">
        <v>107</v>
      </c>
      <c r="D124">
        <v>4.4169999999999998</v>
      </c>
      <c r="E124">
        <v>0.19800000000000001</v>
      </c>
      <c r="F124">
        <v>0.90200000000000002</v>
      </c>
      <c r="G124">
        <v>0.17299999999999999</v>
      </c>
      <c r="H124">
        <v>0.53100000000000003</v>
      </c>
      <c r="I124">
        <v>0.20599999999999999</v>
      </c>
      <c r="J124" t="s">
        <v>273</v>
      </c>
    </row>
    <row r="125" spans="1:10" x14ac:dyDescent="0.25">
      <c r="A125">
        <v>2018</v>
      </c>
      <c r="B125">
        <v>124</v>
      </c>
      <c r="C125" t="s">
        <v>138</v>
      </c>
      <c r="D125">
        <v>4.41</v>
      </c>
      <c r="E125">
        <v>0.49299999999999999</v>
      </c>
      <c r="F125">
        <v>1.048</v>
      </c>
      <c r="G125">
        <v>0.45400000000000001</v>
      </c>
      <c r="H125">
        <v>0.504</v>
      </c>
      <c r="I125">
        <v>0.35199999999999998</v>
      </c>
      <c r="J125" t="s">
        <v>274</v>
      </c>
    </row>
    <row r="126" spans="1:10" x14ac:dyDescent="0.25">
      <c r="A126">
        <v>2018</v>
      </c>
      <c r="B126">
        <v>125</v>
      </c>
      <c r="C126" t="s">
        <v>98</v>
      </c>
      <c r="D126">
        <v>4.3769999999999998</v>
      </c>
      <c r="E126">
        <v>0.56200000000000006</v>
      </c>
      <c r="F126">
        <v>1.0469999999999999</v>
      </c>
      <c r="G126">
        <v>0.29499999999999998</v>
      </c>
      <c r="H126">
        <v>0.503</v>
      </c>
      <c r="I126">
        <v>0.221</v>
      </c>
      <c r="J126" t="s">
        <v>191</v>
      </c>
    </row>
    <row r="127" spans="1:10" x14ac:dyDescent="0.25">
      <c r="A127">
        <v>2018</v>
      </c>
      <c r="B127">
        <v>126</v>
      </c>
      <c r="C127" t="s">
        <v>137</v>
      </c>
      <c r="D127">
        <v>4.3559999999999999</v>
      </c>
      <c r="E127">
        <v>0.55700000000000005</v>
      </c>
      <c r="F127">
        <v>1.2450000000000001</v>
      </c>
      <c r="G127">
        <v>0.29199999999999998</v>
      </c>
      <c r="H127">
        <v>0.129</v>
      </c>
      <c r="I127">
        <v>0.13400000000000001</v>
      </c>
      <c r="J127" t="s">
        <v>275</v>
      </c>
    </row>
    <row r="128" spans="1:10" x14ac:dyDescent="0.25">
      <c r="A128">
        <v>2018</v>
      </c>
      <c r="B128">
        <v>127</v>
      </c>
      <c r="C128" t="s">
        <v>135</v>
      </c>
      <c r="D128">
        <v>4.3499999999999996</v>
      </c>
      <c r="E128">
        <v>0.308</v>
      </c>
      <c r="F128">
        <v>0.95</v>
      </c>
      <c r="G128">
        <v>0.39100000000000001</v>
      </c>
      <c r="H128">
        <v>0.45200000000000001</v>
      </c>
      <c r="I128">
        <v>0.22</v>
      </c>
      <c r="J128" t="s">
        <v>276</v>
      </c>
    </row>
    <row r="129" spans="1:10" x14ac:dyDescent="0.25">
      <c r="A129">
        <v>2018</v>
      </c>
      <c r="B129">
        <v>128</v>
      </c>
      <c r="C129" t="s">
        <v>143</v>
      </c>
      <c r="D129">
        <v>4.34</v>
      </c>
      <c r="E129">
        <v>0.85299999999999998</v>
      </c>
      <c r="F129">
        <v>0.59199999999999997</v>
      </c>
      <c r="G129">
        <v>0.64300000000000002</v>
      </c>
      <c r="H129">
        <v>0.375</v>
      </c>
      <c r="I129">
        <v>3.7999999999999999E-2</v>
      </c>
      <c r="J129" t="s">
        <v>277</v>
      </c>
    </row>
    <row r="130" spans="1:10" x14ac:dyDescent="0.25">
      <c r="A130">
        <v>2018</v>
      </c>
      <c r="B130">
        <v>129</v>
      </c>
      <c r="C130" t="s">
        <v>140</v>
      </c>
      <c r="D130">
        <v>4.3209999999999997</v>
      </c>
      <c r="E130">
        <v>0.81599999999999995</v>
      </c>
      <c r="F130">
        <v>0.99</v>
      </c>
      <c r="G130">
        <v>0.66600000000000004</v>
      </c>
      <c r="H130">
        <v>0.26</v>
      </c>
      <c r="I130">
        <v>7.6999999999999999E-2</v>
      </c>
      <c r="J130" t="s">
        <v>227</v>
      </c>
    </row>
    <row r="131" spans="1:10" x14ac:dyDescent="0.25">
      <c r="A131">
        <v>2018</v>
      </c>
      <c r="B131">
        <v>130</v>
      </c>
      <c r="C131" t="s">
        <v>142</v>
      </c>
      <c r="D131">
        <v>4.3079999999999998</v>
      </c>
      <c r="E131">
        <v>0.68200000000000005</v>
      </c>
      <c r="F131">
        <v>1.1739999999999999</v>
      </c>
      <c r="G131">
        <v>0.42899999999999999</v>
      </c>
      <c r="H131">
        <v>0.57999999999999996</v>
      </c>
      <c r="I131">
        <v>0.59799999999999998</v>
      </c>
      <c r="J131" t="s">
        <v>278</v>
      </c>
    </row>
    <row r="132" spans="1:10" x14ac:dyDescent="0.25">
      <c r="A132">
        <v>2018</v>
      </c>
      <c r="B132">
        <v>131</v>
      </c>
      <c r="C132" t="s">
        <v>162</v>
      </c>
      <c r="D132">
        <v>4.3010000000000002</v>
      </c>
      <c r="E132">
        <v>0.35799999999999998</v>
      </c>
      <c r="F132">
        <v>0.90700000000000003</v>
      </c>
      <c r="G132">
        <v>5.2999999999999999E-2</v>
      </c>
      <c r="H132">
        <v>0.189</v>
      </c>
      <c r="I132">
        <v>0.18099999999999999</v>
      </c>
      <c r="J132" t="s">
        <v>279</v>
      </c>
    </row>
    <row r="133" spans="1:10" x14ac:dyDescent="0.25">
      <c r="A133">
        <v>2018</v>
      </c>
      <c r="B133">
        <v>132</v>
      </c>
      <c r="C133" t="s">
        <v>133</v>
      </c>
      <c r="D133">
        <v>4.2450000000000001</v>
      </c>
      <c r="E133">
        <v>6.9000000000000006E-2</v>
      </c>
      <c r="F133">
        <v>1.1359999999999999</v>
      </c>
      <c r="G133">
        <v>0.20399999999999999</v>
      </c>
      <c r="H133">
        <v>0.312</v>
      </c>
      <c r="I133">
        <v>0.19700000000000001</v>
      </c>
      <c r="J133" t="s">
        <v>258</v>
      </c>
    </row>
    <row r="134" spans="1:10" x14ac:dyDescent="0.25">
      <c r="A134">
        <v>2018</v>
      </c>
      <c r="B134">
        <v>133</v>
      </c>
      <c r="C134" t="s">
        <v>130</v>
      </c>
      <c r="D134">
        <v>4.1900000000000004</v>
      </c>
      <c r="E134">
        <v>0.72099999999999997</v>
      </c>
      <c r="F134">
        <v>0.747</v>
      </c>
      <c r="G134">
        <v>0.48499999999999999</v>
      </c>
      <c r="H134">
        <v>0.53900000000000003</v>
      </c>
      <c r="I134">
        <v>0.17199999999999999</v>
      </c>
      <c r="J134" t="s">
        <v>275</v>
      </c>
    </row>
    <row r="135" spans="1:10" x14ac:dyDescent="0.25">
      <c r="A135">
        <v>2018</v>
      </c>
      <c r="B135">
        <v>134</v>
      </c>
      <c r="C135" t="s">
        <v>157</v>
      </c>
      <c r="D135">
        <v>4.1660000000000004</v>
      </c>
      <c r="E135">
        <v>0.13100000000000001</v>
      </c>
      <c r="F135">
        <v>0.86699999999999999</v>
      </c>
      <c r="G135">
        <v>0.221</v>
      </c>
      <c r="H135">
        <v>0.39</v>
      </c>
      <c r="I135">
        <v>0.17499999999999999</v>
      </c>
      <c r="J135" t="s">
        <v>280</v>
      </c>
    </row>
    <row r="136" spans="1:10" x14ac:dyDescent="0.25">
      <c r="A136">
        <v>2018</v>
      </c>
      <c r="B136">
        <v>135</v>
      </c>
      <c r="C136" t="s">
        <v>154</v>
      </c>
      <c r="D136">
        <v>4.1609999999999996</v>
      </c>
      <c r="E136">
        <v>0.32200000000000001</v>
      </c>
      <c r="F136">
        <v>1.0900000000000001</v>
      </c>
      <c r="G136">
        <v>0.23699999999999999</v>
      </c>
      <c r="H136">
        <v>0.45</v>
      </c>
      <c r="I136">
        <v>0.25900000000000001</v>
      </c>
      <c r="J136" t="s">
        <v>205</v>
      </c>
    </row>
    <row r="137" spans="1:10" x14ac:dyDescent="0.25">
      <c r="A137">
        <v>2018</v>
      </c>
      <c r="B137">
        <v>136</v>
      </c>
      <c r="C137" t="s">
        <v>168</v>
      </c>
      <c r="D137">
        <v>4.141</v>
      </c>
      <c r="E137">
        <v>0.378</v>
      </c>
      <c r="F137">
        <v>0.372</v>
      </c>
      <c r="G137">
        <v>0.24</v>
      </c>
      <c r="H137">
        <v>0.44</v>
      </c>
      <c r="I137">
        <v>0.16300000000000001</v>
      </c>
      <c r="J137" t="s">
        <v>281</v>
      </c>
    </row>
    <row r="138" spans="1:10" x14ac:dyDescent="0.25">
      <c r="A138">
        <v>2018</v>
      </c>
      <c r="B138">
        <v>137</v>
      </c>
      <c r="C138" t="s">
        <v>131</v>
      </c>
      <c r="D138">
        <v>4.1390000000000002</v>
      </c>
      <c r="E138">
        <v>0.60499999999999998</v>
      </c>
      <c r="F138">
        <v>1.24</v>
      </c>
      <c r="G138">
        <v>0.312</v>
      </c>
      <c r="H138">
        <v>1.6E-2</v>
      </c>
      <c r="I138">
        <v>0.13400000000000001</v>
      </c>
      <c r="J138" t="s">
        <v>191</v>
      </c>
    </row>
    <row r="139" spans="1:10" x14ac:dyDescent="0.25">
      <c r="A139">
        <v>2018</v>
      </c>
      <c r="B139">
        <v>138</v>
      </c>
      <c r="C139" t="s">
        <v>124</v>
      </c>
      <c r="D139">
        <v>4.1029999999999998</v>
      </c>
      <c r="E139">
        <v>0.79300000000000004</v>
      </c>
      <c r="F139">
        <v>1.413</v>
      </c>
      <c r="G139">
        <v>0.60899999999999999</v>
      </c>
      <c r="H139">
        <v>0.16300000000000001</v>
      </c>
      <c r="I139">
        <v>0.187</v>
      </c>
      <c r="J139" t="s">
        <v>282</v>
      </c>
    </row>
    <row r="140" spans="1:10" x14ac:dyDescent="0.25">
      <c r="A140">
        <v>2018</v>
      </c>
      <c r="B140">
        <v>139</v>
      </c>
      <c r="C140" t="s">
        <v>171</v>
      </c>
      <c r="D140">
        <v>3.9990000000000001</v>
      </c>
      <c r="E140">
        <v>0.25900000000000001</v>
      </c>
      <c r="F140">
        <v>0.47399999999999998</v>
      </c>
      <c r="G140">
        <v>0.253</v>
      </c>
      <c r="H140">
        <v>0.434</v>
      </c>
      <c r="I140">
        <v>0.158</v>
      </c>
      <c r="J140" t="s">
        <v>193</v>
      </c>
    </row>
    <row r="141" spans="1:10" x14ac:dyDescent="0.25">
      <c r="A141">
        <v>2018</v>
      </c>
      <c r="B141">
        <v>140</v>
      </c>
      <c r="C141" t="s">
        <v>163</v>
      </c>
      <c r="D141">
        <v>3.964</v>
      </c>
      <c r="E141">
        <v>0.34399999999999997</v>
      </c>
      <c r="F141">
        <v>0.79200000000000004</v>
      </c>
      <c r="G141">
        <v>0.21099999999999999</v>
      </c>
      <c r="H141">
        <v>0.39400000000000002</v>
      </c>
      <c r="I141">
        <v>0.185</v>
      </c>
      <c r="J141" t="s">
        <v>283</v>
      </c>
    </row>
    <row r="142" spans="1:10" x14ac:dyDescent="0.25">
      <c r="A142">
        <v>2018</v>
      </c>
      <c r="B142">
        <v>141</v>
      </c>
      <c r="C142" t="s">
        <v>110</v>
      </c>
      <c r="D142">
        <v>3.8079999999999998</v>
      </c>
      <c r="E142">
        <v>0.47199999999999998</v>
      </c>
      <c r="F142">
        <v>1.2150000000000001</v>
      </c>
      <c r="G142">
        <v>7.9000000000000001E-2</v>
      </c>
      <c r="H142">
        <v>0.42299999999999999</v>
      </c>
      <c r="I142">
        <v>0.11600000000000001</v>
      </c>
      <c r="J142" t="s">
        <v>284</v>
      </c>
    </row>
    <row r="143" spans="1:10" x14ac:dyDescent="0.25">
      <c r="A143">
        <v>2018</v>
      </c>
      <c r="B143">
        <v>142</v>
      </c>
      <c r="C143" t="s">
        <v>150</v>
      </c>
      <c r="D143">
        <v>3.7949999999999999</v>
      </c>
      <c r="E143">
        <v>0.73</v>
      </c>
      <c r="F143">
        <v>1.125</v>
      </c>
      <c r="G143">
        <v>0.26900000000000002</v>
      </c>
      <c r="H143">
        <v>0</v>
      </c>
      <c r="I143">
        <v>7.9000000000000001E-2</v>
      </c>
      <c r="J143" t="s">
        <v>205</v>
      </c>
    </row>
    <row r="144" spans="1:10" x14ac:dyDescent="0.25">
      <c r="A144">
        <v>2018</v>
      </c>
      <c r="B144">
        <v>143</v>
      </c>
      <c r="C144" t="s">
        <v>160</v>
      </c>
      <c r="D144">
        <v>3.774</v>
      </c>
      <c r="E144">
        <v>0.26200000000000001</v>
      </c>
      <c r="F144">
        <v>0.90800000000000003</v>
      </c>
      <c r="G144">
        <v>0.40200000000000002</v>
      </c>
      <c r="H144">
        <v>0.221</v>
      </c>
      <c r="I144">
        <v>0.155</v>
      </c>
      <c r="J144" t="s">
        <v>285</v>
      </c>
    </row>
    <row r="145" spans="1:10" x14ac:dyDescent="0.25">
      <c r="A145">
        <v>2018</v>
      </c>
      <c r="B145">
        <v>144</v>
      </c>
      <c r="C145" t="s">
        <v>128</v>
      </c>
      <c r="D145">
        <v>3.6920000000000002</v>
      </c>
      <c r="E145">
        <v>0.35699999999999998</v>
      </c>
      <c r="F145">
        <v>1.0940000000000001</v>
      </c>
      <c r="G145">
        <v>0.248</v>
      </c>
      <c r="H145">
        <v>0.40600000000000003</v>
      </c>
      <c r="I145">
        <v>0.13200000000000001</v>
      </c>
      <c r="J145" t="s">
        <v>280</v>
      </c>
    </row>
    <row r="146" spans="1:10" x14ac:dyDescent="0.25">
      <c r="A146">
        <v>2018</v>
      </c>
      <c r="B146">
        <v>145</v>
      </c>
      <c r="C146" t="s">
        <v>166</v>
      </c>
      <c r="D146">
        <v>3.6320000000000001</v>
      </c>
      <c r="E146">
        <v>0.33200000000000002</v>
      </c>
      <c r="F146">
        <v>0.53700000000000003</v>
      </c>
      <c r="G146">
        <v>0.255</v>
      </c>
      <c r="H146">
        <v>8.5000000000000006E-2</v>
      </c>
      <c r="I146">
        <v>0.191</v>
      </c>
      <c r="J146" t="s">
        <v>286</v>
      </c>
    </row>
    <row r="147" spans="1:10" x14ac:dyDescent="0.25">
      <c r="A147">
        <v>2018</v>
      </c>
      <c r="B147">
        <v>146</v>
      </c>
      <c r="C147" t="s">
        <v>141</v>
      </c>
      <c r="D147">
        <v>3.59</v>
      </c>
      <c r="E147">
        <v>1.0169999999999999</v>
      </c>
      <c r="F147">
        <v>1.1739999999999999</v>
      </c>
      <c r="G147">
        <v>0.41699999999999998</v>
      </c>
      <c r="H147">
        <v>0.55700000000000005</v>
      </c>
      <c r="I147">
        <v>4.2000000000000003E-2</v>
      </c>
      <c r="J147" t="s">
        <v>287</v>
      </c>
    </row>
    <row r="148" spans="1:10" x14ac:dyDescent="0.25">
      <c r="A148">
        <v>2018</v>
      </c>
      <c r="B148">
        <v>147</v>
      </c>
      <c r="C148" t="s">
        <v>144</v>
      </c>
      <c r="D148">
        <v>3.5870000000000002</v>
      </c>
      <c r="E148">
        <v>0.186</v>
      </c>
      <c r="F148">
        <v>0.54100000000000004</v>
      </c>
      <c r="G148">
        <v>0.30599999999999999</v>
      </c>
      <c r="H148">
        <v>0.53100000000000003</v>
      </c>
      <c r="I148">
        <v>0.21</v>
      </c>
      <c r="J148" t="s">
        <v>288</v>
      </c>
    </row>
    <row r="149" spans="1:10" x14ac:dyDescent="0.25">
      <c r="A149">
        <v>2018</v>
      </c>
      <c r="B149">
        <v>148</v>
      </c>
      <c r="C149" t="s">
        <v>132</v>
      </c>
      <c r="D149">
        <v>3.5819999999999999</v>
      </c>
      <c r="E149">
        <v>0.315</v>
      </c>
      <c r="F149">
        <v>0.71399999999999997</v>
      </c>
      <c r="G149">
        <v>0.28899999999999998</v>
      </c>
      <c r="H149">
        <v>2.5000000000000001E-2</v>
      </c>
      <c r="I149">
        <v>0.39200000000000002</v>
      </c>
      <c r="J149" t="s">
        <v>289</v>
      </c>
    </row>
    <row r="150" spans="1:10" x14ac:dyDescent="0.25">
      <c r="A150">
        <v>2018</v>
      </c>
      <c r="B150">
        <v>149</v>
      </c>
      <c r="C150" t="s">
        <v>129</v>
      </c>
      <c r="D150">
        <v>3.4950000000000001</v>
      </c>
      <c r="E150">
        <v>7.5999999999999998E-2</v>
      </c>
      <c r="F150">
        <v>0.85799999999999998</v>
      </c>
      <c r="G150">
        <v>0.26700000000000002</v>
      </c>
      <c r="H150">
        <v>0.41899999999999998</v>
      </c>
      <c r="I150">
        <v>0.20599999999999999</v>
      </c>
      <c r="J150" t="s">
        <v>290</v>
      </c>
    </row>
    <row r="151" spans="1:10" x14ac:dyDescent="0.25">
      <c r="A151">
        <v>2018</v>
      </c>
      <c r="B151">
        <v>150</v>
      </c>
      <c r="C151" t="s">
        <v>169</v>
      </c>
      <c r="D151">
        <v>3.4620000000000002</v>
      </c>
      <c r="E151">
        <v>0.68899999999999995</v>
      </c>
      <c r="F151">
        <v>0.38200000000000001</v>
      </c>
      <c r="G151">
        <v>0.53900000000000003</v>
      </c>
      <c r="H151">
        <v>8.7999999999999995E-2</v>
      </c>
      <c r="I151">
        <v>0.376</v>
      </c>
      <c r="J151" t="s">
        <v>270</v>
      </c>
    </row>
    <row r="152" spans="1:10" x14ac:dyDescent="0.25">
      <c r="A152">
        <v>2018</v>
      </c>
      <c r="B152">
        <v>151</v>
      </c>
      <c r="C152" t="s">
        <v>167</v>
      </c>
      <c r="D152">
        <v>3.4079999999999999</v>
      </c>
      <c r="E152">
        <v>0.33200000000000002</v>
      </c>
      <c r="F152">
        <v>0.89600000000000002</v>
      </c>
      <c r="G152">
        <v>0.4</v>
      </c>
      <c r="H152">
        <v>0.63600000000000001</v>
      </c>
      <c r="I152">
        <v>0.2</v>
      </c>
      <c r="J152" t="s">
        <v>291</v>
      </c>
    </row>
    <row r="153" spans="1:10" x14ac:dyDescent="0.25">
      <c r="A153">
        <v>2018</v>
      </c>
      <c r="B153">
        <v>152</v>
      </c>
      <c r="C153" t="s">
        <v>149</v>
      </c>
      <c r="D153">
        <v>3.355</v>
      </c>
      <c r="E153">
        <v>0.442</v>
      </c>
      <c r="F153">
        <v>1.073</v>
      </c>
      <c r="G153">
        <v>0.34300000000000003</v>
      </c>
      <c r="H153">
        <v>0.24399999999999999</v>
      </c>
      <c r="I153">
        <v>8.3000000000000004E-2</v>
      </c>
      <c r="J153" t="s">
        <v>222</v>
      </c>
    </row>
    <row r="154" spans="1:10" x14ac:dyDescent="0.25">
      <c r="A154">
        <v>2018</v>
      </c>
      <c r="B154">
        <v>153</v>
      </c>
      <c r="C154" t="s">
        <v>159</v>
      </c>
      <c r="D154">
        <v>3.3029999999999999</v>
      </c>
      <c r="E154">
        <v>0.45500000000000002</v>
      </c>
      <c r="F154">
        <v>0.99099999999999999</v>
      </c>
      <c r="G154">
        <v>0.38100000000000001</v>
      </c>
      <c r="H154">
        <v>0.48099999999999998</v>
      </c>
      <c r="I154">
        <v>0.27</v>
      </c>
      <c r="J154" t="s">
        <v>292</v>
      </c>
    </row>
    <row r="155" spans="1:10" x14ac:dyDescent="0.25">
      <c r="A155">
        <v>2018</v>
      </c>
      <c r="B155">
        <v>154</v>
      </c>
      <c r="C155" t="s">
        <v>178</v>
      </c>
      <c r="D155">
        <v>3.254</v>
      </c>
      <c r="E155">
        <v>0.33700000000000002</v>
      </c>
      <c r="F155">
        <v>0.60799999999999998</v>
      </c>
      <c r="G155">
        <v>0.17699999999999999</v>
      </c>
      <c r="H155">
        <v>0.112</v>
      </c>
      <c r="I155">
        <v>0.224</v>
      </c>
      <c r="J155" t="s">
        <v>225</v>
      </c>
    </row>
    <row r="156" spans="1:10" x14ac:dyDescent="0.25">
      <c r="A156">
        <v>2018</v>
      </c>
      <c r="B156">
        <v>155</v>
      </c>
      <c r="C156" t="s">
        <v>161</v>
      </c>
      <c r="D156">
        <v>3.0830000000000002</v>
      </c>
      <c r="E156">
        <v>2.4E-2</v>
      </c>
      <c r="F156">
        <v>0</v>
      </c>
      <c r="G156">
        <v>0.01</v>
      </c>
      <c r="H156">
        <v>0.30499999999999999</v>
      </c>
      <c r="I156">
        <v>0.218</v>
      </c>
      <c r="J156" t="s">
        <v>293</v>
      </c>
    </row>
    <row r="157" spans="1:10" x14ac:dyDescent="0.25">
      <c r="A157">
        <v>2018</v>
      </c>
      <c r="B157">
        <v>156</v>
      </c>
      <c r="C157" t="s">
        <v>170</v>
      </c>
      <c r="D157">
        <v>2.9049999999999998</v>
      </c>
      <c r="E157">
        <v>9.0999999999999998E-2</v>
      </c>
      <c r="F157">
        <v>0.627</v>
      </c>
      <c r="G157">
        <v>0.14499999999999999</v>
      </c>
      <c r="H157">
        <v>6.5000000000000002E-2</v>
      </c>
      <c r="I157">
        <v>0.14899999999999999</v>
      </c>
      <c r="J157" t="s">
        <v>265</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634A-5767-4247-9CC1-CA88ABDADEFC}">
  <dimension ref="A1:J157"/>
  <sheetViews>
    <sheetView workbookViewId="0">
      <selection activeCell="C16" sqref="C16"/>
    </sheetView>
  </sheetViews>
  <sheetFormatPr defaultRowHeight="15" x14ac:dyDescent="0.25"/>
  <cols>
    <col min="1" max="1" width="7.28515625" bestFit="1" customWidth="1"/>
    <col min="2" max="2" width="17.85546875" bestFit="1" customWidth="1"/>
    <col min="3" max="3" width="22.7109375" bestFit="1" customWidth="1"/>
    <col min="4" max="4" width="18.42578125" bestFit="1" customWidth="1"/>
    <col min="5" max="5" width="27.140625" bestFit="1" customWidth="1"/>
    <col min="6" max="6" width="9.140625" bestFit="1" customWidth="1"/>
    <col min="7" max="7" width="24.7109375" bestFit="1" customWidth="1"/>
    <col min="8" max="8" width="11.28515625" bestFit="1" customWidth="1"/>
    <col min="9" max="9" width="13.140625" bestFit="1" customWidth="1"/>
    <col min="10" max="10" width="31.140625" bestFit="1" customWidth="1"/>
    <col min="11" max="11" width="22.7109375" bestFit="1" customWidth="1"/>
    <col min="12" max="12" width="8.140625" bestFit="1" customWidth="1"/>
    <col min="13" max="13" width="16.42578125" bestFit="1" customWidth="1"/>
    <col min="14" max="14" width="15.85546875" bestFit="1" customWidth="1"/>
    <col min="15" max="15" width="24.42578125" bestFit="1" customWidth="1"/>
    <col min="16" max="16" width="29.85546875" bestFit="1" customWidth="1"/>
    <col min="17" max="17" width="13.140625" bestFit="1" customWidth="1"/>
    <col min="18" max="18" width="26.28515625" bestFit="1" customWidth="1"/>
  </cols>
  <sheetData>
    <row r="1" spans="1:10" x14ac:dyDescent="0.25">
      <c r="A1" t="s">
        <v>296</v>
      </c>
      <c r="B1" t="s">
        <v>297</v>
      </c>
      <c r="C1" t="s">
        <v>0</v>
      </c>
      <c r="D1" t="s">
        <v>298</v>
      </c>
      <c r="E1" t="s">
        <v>299</v>
      </c>
      <c r="F1" t="s">
        <v>2</v>
      </c>
      <c r="G1" t="s">
        <v>300</v>
      </c>
      <c r="H1" t="s">
        <v>3</v>
      </c>
      <c r="I1" t="s">
        <v>172</v>
      </c>
      <c r="J1" t="s">
        <v>301</v>
      </c>
    </row>
    <row r="2" spans="1:10" x14ac:dyDescent="0.25">
      <c r="A2">
        <v>2019</v>
      </c>
      <c r="B2">
        <v>1</v>
      </c>
      <c r="C2" t="s">
        <v>11</v>
      </c>
      <c r="D2">
        <v>7.7690000000000001</v>
      </c>
      <c r="E2">
        <v>1.34</v>
      </c>
      <c r="F2">
        <v>1.587</v>
      </c>
      <c r="G2">
        <v>0.98599999999999999</v>
      </c>
      <c r="H2">
        <v>0.59599999999999997</v>
      </c>
      <c r="I2">
        <v>0.153</v>
      </c>
      <c r="J2">
        <v>0.39300000000000002</v>
      </c>
    </row>
    <row r="3" spans="1:10" x14ac:dyDescent="0.25">
      <c r="A3">
        <v>2019</v>
      </c>
      <c r="B3">
        <v>2</v>
      </c>
      <c r="C3" t="s">
        <v>7</v>
      </c>
      <c r="D3">
        <v>7.6</v>
      </c>
      <c r="E3">
        <v>1.383</v>
      </c>
      <c r="F3">
        <v>1.573</v>
      </c>
      <c r="G3">
        <v>0.996</v>
      </c>
      <c r="H3">
        <v>0.59199999999999997</v>
      </c>
      <c r="I3">
        <v>0.252</v>
      </c>
      <c r="J3">
        <v>0.41</v>
      </c>
    </row>
    <row r="4" spans="1:10" x14ac:dyDescent="0.25">
      <c r="A4">
        <v>2019</v>
      </c>
      <c r="B4">
        <v>3</v>
      </c>
      <c r="C4" t="s">
        <v>8</v>
      </c>
      <c r="D4">
        <v>7.5540000000000003</v>
      </c>
      <c r="E4">
        <v>1.488</v>
      </c>
      <c r="F4">
        <v>1.5820000000000001</v>
      </c>
      <c r="G4">
        <v>1.028</v>
      </c>
      <c r="H4">
        <v>0.60299999999999998</v>
      </c>
      <c r="I4">
        <v>0.27100000000000002</v>
      </c>
      <c r="J4">
        <v>0.34100000000000003</v>
      </c>
    </row>
    <row r="5" spans="1:10" x14ac:dyDescent="0.25">
      <c r="A5">
        <v>2019</v>
      </c>
      <c r="B5">
        <v>4</v>
      </c>
      <c r="C5" t="s">
        <v>6</v>
      </c>
      <c r="D5">
        <v>7.4939999999999998</v>
      </c>
      <c r="E5">
        <v>1.38</v>
      </c>
      <c r="F5">
        <v>1.6240000000000001</v>
      </c>
      <c r="G5">
        <v>1.026</v>
      </c>
      <c r="H5">
        <v>0.59099999999999997</v>
      </c>
      <c r="I5">
        <v>0.35399999999999998</v>
      </c>
      <c r="J5">
        <v>0.11799999999999999</v>
      </c>
    </row>
    <row r="6" spans="1:10" x14ac:dyDescent="0.25">
      <c r="A6">
        <v>2019</v>
      </c>
      <c r="B6">
        <v>5</v>
      </c>
      <c r="C6" t="s">
        <v>12</v>
      </c>
      <c r="D6">
        <v>7.4880000000000004</v>
      </c>
      <c r="E6">
        <v>1.3959999999999999</v>
      </c>
      <c r="F6">
        <v>1.522</v>
      </c>
      <c r="G6">
        <v>0.999</v>
      </c>
      <c r="H6">
        <v>0.55700000000000005</v>
      </c>
      <c r="I6">
        <v>0.32200000000000001</v>
      </c>
      <c r="J6">
        <v>0.29799999999999999</v>
      </c>
    </row>
    <row r="7" spans="1:10" x14ac:dyDescent="0.25">
      <c r="A7">
        <v>2019</v>
      </c>
      <c r="B7">
        <v>6</v>
      </c>
      <c r="C7" t="s">
        <v>4</v>
      </c>
      <c r="D7">
        <v>7.48</v>
      </c>
      <c r="E7">
        <v>1.452</v>
      </c>
      <c r="F7">
        <v>1.526</v>
      </c>
      <c r="G7">
        <v>1.052</v>
      </c>
      <c r="H7">
        <v>0.57199999999999995</v>
      </c>
      <c r="I7">
        <v>0.26300000000000001</v>
      </c>
      <c r="J7">
        <v>0.34300000000000003</v>
      </c>
    </row>
    <row r="8" spans="1:10" x14ac:dyDescent="0.25">
      <c r="A8">
        <v>2019</v>
      </c>
      <c r="B8">
        <v>7</v>
      </c>
      <c r="C8" t="s">
        <v>13</v>
      </c>
      <c r="D8">
        <v>7.343</v>
      </c>
      <c r="E8">
        <v>1.387</v>
      </c>
      <c r="F8">
        <v>1.4870000000000001</v>
      </c>
      <c r="G8">
        <v>1.0089999999999999</v>
      </c>
      <c r="H8">
        <v>0.57399999999999995</v>
      </c>
      <c r="I8">
        <v>0.26700000000000002</v>
      </c>
      <c r="J8">
        <v>0.373</v>
      </c>
    </row>
    <row r="9" spans="1:10" x14ac:dyDescent="0.25">
      <c r="A9">
        <v>2019</v>
      </c>
      <c r="B9">
        <v>8</v>
      </c>
      <c r="C9" t="s">
        <v>14</v>
      </c>
      <c r="D9">
        <v>7.3070000000000004</v>
      </c>
      <c r="E9">
        <v>1.3029999999999999</v>
      </c>
      <c r="F9">
        <v>1.5569999999999999</v>
      </c>
      <c r="G9">
        <v>1.026</v>
      </c>
      <c r="H9">
        <v>0.58499999999999996</v>
      </c>
      <c r="I9">
        <v>0.33</v>
      </c>
      <c r="J9">
        <v>0.38</v>
      </c>
    </row>
    <row r="10" spans="1:10" x14ac:dyDescent="0.25">
      <c r="A10">
        <v>2019</v>
      </c>
      <c r="B10">
        <v>9</v>
      </c>
      <c r="C10" t="s">
        <v>9</v>
      </c>
      <c r="D10">
        <v>7.2779999999999996</v>
      </c>
      <c r="E10">
        <v>1.365</v>
      </c>
      <c r="F10">
        <v>1.5049999999999999</v>
      </c>
      <c r="G10">
        <v>1.0389999999999999</v>
      </c>
      <c r="H10">
        <v>0.58399999999999996</v>
      </c>
      <c r="I10">
        <v>0.28499999999999998</v>
      </c>
      <c r="J10">
        <v>0.308</v>
      </c>
    </row>
    <row r="11" spans="1:10" x14ac:dyDescent="0.25">
      <c r="A11">
        <v>2019</v>
      </c>
      <c r="B11">
        <v>10</v>
      </c>
      <c r="C11" t="s">
        <v>21</v>
      </c>
      <c r="D11">
        <v>7.2460000000000004</v>
      </c>
      <c r="E11">
        <v>1.3759999999999999</v>
      </c>
      <c r="F11">
        <v>1.4750000000000001</v>
      </c>
      <c r="G11">
        <v>1.016</v>
      </c>
      <c r="H11">
        <v>0.53200000000000003</v>
      </c>
      <c r="I11">
        <v>0.24399999999999999</v>
      </c>
      <c r="J11">
        <v>0.22600000000000001</v>
      </c>
    </row>
    <row r="12" spans="1:10" x14ac:dyDescent="0.25">
      <c r="A12">
        <v>2019</v>
      </c>
      <c r="B12">
        <v>11</v>
      </c>
      <c r="C12" t="s">
        <v>16</v>
      </c>
      <c r="D12">
        <v>7.2279999999999998</v>
      </c>
      <c r="E12">
        <v>1.3720000000000001</v>
      </c>
      <c r="F12">
        <v>1.548</v>
      </c>
      <c r="G12">
        <v>1.036</v>
      </c>
      <c r="H12">
        <v>0.55700000000000005</v>
      </c>
      <c r="I12">
        <v>0.33200000000000002</v>
      </c>
      <c r="J12">
        <v>0.28999999999999998</v>
      </c>
    </row>
    <row r="13" spans="1:10" x14ac:dyDescent="0.25">
      <c r="A13">
        <v>2019</v>
      </c>
      <c r="B13">
        <v>12</v>
      </c>
      <c r="C13" t="s">
        <v>19</v>
      </c>
      <c r="D13">
        <v>7.1669999999999998</v>
      </c>
      <c r="E13">
        <v>1.034</v>
      </c>
      <c r="F13">
        <v>1.4410000000000001</v>
      </c>
      <c r="G13">
        <v>0.96299999999999997</v>
      </c>
      <c r="H13">
        <v>0.55800000000000005</v>
      </c>
      <c r="I13">
        <v>0.14399999999999999</v>
      </c>
      <c r="J13">
        <v>9.2999999999999999E-2</v>
      </c>
    </row>
    <row r="14" spans="1:10" x14ac:dyDescent="0.25">
      <c r="A14">
        <v>2019</v>
      </c>
      <c r="B14">
        <v>13</v>
      </c>
      <c r="C14" t="s">
        <v>17</v>
      </c>
      <c r="D14">
        <v>7.1390000000000002</v>
      </c>
      <c r="E14">
        <v>1.276</v>
      </c>
      <c r="F14">
        <v>1.4550000000000001</v>
      </c>
      <c r="G14">
        <v>1.0289999999999999</v>
      </c>
      <c r="H14">
        <v>0.371</v>
      </c>
      <c r="I14">
        <v>0.26100000000000001</v>
      </c>
      <c r="J14">
        <v>8.2000000000000003E-2</v>
      </c>
    </row>
    <row r="15" spans="1:10" x14ac:dyDescent="0.25">
      <c r="A15">
        <v>2019</v>
      </c>
      <c r="B15">
        <v>14</v>
      </c>
      <c r="C15" t="s">
        <v>25</v>
      </c>
      <c r="D15">
        <v>7.09</v>
      </c>
      <c r="E15">
        <v>1.609</v>
      </c>
      <c r="F15">
        <v>1.4790000000000001</v>
      </c>
      <c r="G15">
        <v>1.012</v>
      </c>
      <c r="H15">
        <v>0.52600000000000002</v>
      </c>
      <c r="I15">
        <v>0.19400000000000001</v>
      </c>
      <c r="J15">
        <v>0.316</v>
      </c>
    </row>
    <row r="16" spans="1:10" x14ac:dyDescent="0.25">
      <c r="A16">
        <v>2019</v>
      </c>
      <c r="B16">
        <v>15</v>
      </c>
      <c r="C16" t="s">
        <v>29</v>
      </c>
      <c r="D16">
        <v>7.0540000000000003</v>
      </c>
      <c r="E16">
        <v>1.333</v>
      </c>
      <c r="F16">
        <v>1.538</v>
      </c>
      <c r="G16">
        <v>0.996</v>
      </c>
      <c r="H16">
        <v>0.45</v>
      </c>
      <c r="I16">
        <v>0.34799999999999998</v>
      </c>
      <c r="J16">
        <v>0.27800000000000002</v>
      </c>
    </row>
    <row r="17" spans="1:10" x14ac:dyDescent="0.25">
      <c r="A17">
        <v>2019</v>
      </c>
      <c r="B17">
        <v>16</v>
      </c>
      <c r="C17" t="s">
        <v>26</v>
      </c>
      <c r="D17">
        <v>7.0209999999999999</v>
      </c>
      <c r="E17">
        <v>1.4990000000000001</v>
      </c>
      <c r="F17">
        <v>1.5529999999999999</v>
      </c>
      <c r="G17">
        <v>0.999</v>
      </c>
      <c r="H17">
        <v>0.51600000000000001</v>
      </c>
      <c r="I17">
        <v>0.29799999999999999</v>
      </c>
      <c r="J17">
        <v>0.31</v>
      </c>
    </row>
    <row r="18" spans="1:10" x14ac:dyDescent="0.25">
      <c r="A18">
        <v>2019</v>
      </c>
      <c r="B18">
        <v>17</v>
      </c>
      <c r="C18" t="s">
        <v>35</v>
      </c>
      <c r="D18">
        <v>6.9850000000000003</v>
      </c>
      <c r="E18">
        <v>1.373</v>
      </c>
      <c r="F18">
        <v>1.454</v>
      </c>
      <c r="G18">
        <v>0.98699999999999999</v>
      </c>
      <c r="H18">
        <v>0.495</v>
      </c>
      <c r="I18">
        <v>0.26100000000000001</v>
      </c>
      <c r="J18">
        <v>0.26500000000000001</v>
      </c>
    </row>
    <row r="19" spans="1:10" x14ac:dyDescent="0.25">
      <c r="A19">
        <v>2019</v>
      </c>
      <c r="B19">
        <v>18</v>
      </c>
      <c r="C19" t="s">
        <v>27</v>
      </c>
      <c r="D19">
        <v>6.923</v>
      </c>
      <c r="E19">
        <v>1.3560000000000001</v>
      </c>
      <c r="F19">
        <v>1.504</v>
      </c>
      <c r="G19">
        <v>0.98599999999999999</v>
      </c>
      <c r="H19">
        <v>0.47299999999999998</v>
      </c>
      <c r="I19">
        <v>0.16</v>
      </c>
      <c r="J19">
        <v>0.21</v>
      </c>
    </row>
    <row r="20" spans="1:10" x14ac:dyDescent="0.25">
      <c r="A20">
        <v>2019</v>
      </c>
      <c r="B20">
        <v>19</v>
      </c>
      <c r="C20" t="s">
        <v>23</v>
      </c>
      <c r="D20">
        <v>6.8920000000000003</v>
      </c>
      <c r="E20">
        <v>1.4330000000000001</v>
      </c>
      <c r="F20">
        <v>1.4570000000000001</v>
      </c>
      <c r="G20">
        <v>0.874</v>
      </c>
      <c r="H20">
        <v>0.45400000000000001</v>
      </c>
      <c r="I20">
        <v>0.28000000000000003</v>
      </c>
      <c r="J20">
        <v>0.128</v>
      </c>
    </row>
    <row r="21" spans="1:10" x14ac:dyDescent="0.25">
      <c r="A21">
        <v>2019</v>
      </c>
      <c r="B21">
        <v>20</v>
      </c>
      <c r="C21" t="s">
        <v>40</v>
      </c>
      <c r="D21">
        <v>6.8520000000000003</v>
      </c>
      <c r="E21">
        <v>1.2689999999999999</v>
      </c>
      <c r="F21">
        <v>1.4870000000000001</v>
      </c>
      <c r="G21">
        <v>0.92</v>
      </c>
      <c r="H21">
        <v>0.45700000000000002</v>
      </c>
      <c r="I21">
        <v>4.5999999999999999E-2</v>
      </c>
      <c r="J21">
        <v>3.5999999999999997E-2</v>
      </c>
    </row>
    <row r="22" spans="1:10" x14ac:dyDescent="0.25">
      <c r="A22">
        <v>2019</v>
      </c>
      <c r="B22">
        <v>21</v>
      </c>
      <c r="C22" t="s">
        <v>28</v>
      </c>
      <c r="D22">
        <v>6.8250000000000002</v>
      </c>
      <c r="E22">
        <v>1.5029999999999999</v>
      </c>
      <c r="F22">
        <v>1.31</v>
      </c>
      <c r="G22">
        <v>0.82499999999999996</v>
      </c>
      <c r="H22">
        <v>0.59799999999999998</v>
      </c>
      <c r="I22">
        <v>0.26200000000000001</v>
      </c>
      <c r="J22">
        <v>0.182</v>
      </c>
    </row>
    <row r="23" spans="1:10" x14ac:dyDescent="0.25">
      <c r="A23">
        <v>2019</v>
      </c>
      <c r="B23">
        <v>22</v>
      </c>
      <c r="C23" t="s">
        <v>47</v>
      </c>
      <c r="D23">
        <v>6.726</v>
      </c>
      <c r="E23">
        <v>1.3</v>
      </c>
      <c r="F23">
        <v>1.52</v>
      </c>
      <c r="G23">
        <v>0.999</v>
      </c>
      <c r="H23">
        <v>0.56399999999999995</v>
      </c>
      <c r="I23">
        <v>0.375</v>
      </c>
      <c r="J23">
        <v>0.151</v>
      </c>
    </row>
    <row r="24" spans="1:10" x14ac:dyDescent="0.25">
      <c r="A24">
        <v>2019</v>
      </c>
      <c r="B24">
        <v>23</v>
      </c>
      <c r="C24" t="s">
        <v>22</v>
      </c>
      <c r="D24">
        <v>6.5949999999999998</v>
      </c>
      <c r="E24">
        <v>1.07</v>
      </c>
      <c r="F24">
        <v>1.323</v>
      </c>
      <c r="G24">
        <v>0.86099999999999999</v>
      </c>
      <c r="H24">
        <v>0.433</v>
      </c>
      <c r="I24">
        <v>7.3999999999999996E-2</v>
      </c>
      <c r="J24">
        <v>7.2999999999999995E-2</v>
      </c>
    </row>
    <row r="25" spans="1:10" x14ac:dyDescent="0.25">
      <c r="A25">
        <v>2019</v>
      </c>
      <c r="B25">
        <v>24</v>
      </c>
      <c r="C25" t="s">
        <v>38</v>
      </c>
      <c r="D25">
        <v>6.5919999999999996</v>
      </c>
      <c r="E25">
        <v>1.3240000000000001</v>
      </c>
      <c r="F25">
        <v>1.472</v>
      </c>
      <c r="G25">
        <v>1.0449999999999999</v>
      </c>
      <c r="H25">
        <v>0.436</v>
      </c>
      <c r="I25">
        <v>0.111</v>
      </c>
      <c r="J25">
        <v>0.183</v>
      </c>
    </row>
    <row r="26" spans="1:10" x14ac:dyDescent="0.25">
      <c r="A26">
        <v>2019</v>
      </c>
      <c r="B26">
        <v>25</v>
      </c>
      <c r="C26" t="s">
        <v>48</v>
      </c>
      <c r="D26">
        <v>6.4459999999999997</v>
      </c>
      <c r="E26">
        <v>1.3680000000000001</v>
      </c>
      <c r="F26">
        <v>1.43</v>
      </c>
      <c r="G26">
        <v>0.91400000000000003</v>
      </c>
      <c r="H26">
        <v>0.35099999999999998</v>
      </c>
      <c r="I26">
        <v>0.24199999999999999</v>
      </c>
      <c r="J26">
        <v>9.7000000000000003E-2</v>
      </c>
    </row>
    <row r="27" spans="1:10" x14ac:dyDescent="0.25">
      <c r="A27">
        <v>2019</v>
      </c>
      <c r="B27">
        <v>26</v>
      </c>
      <c r="C27" t="s">
        <v>36</v>
      </c>
      <c r="D27">
        <v>6.444</v>
      </c>
      <c r="E27">
        <v>1.159</v>
      </c>
      <c r="F27">
        <v>1.369</v>
      </c>
      <c r="G27">
        <v>0.92</v>
      </c>
      <c r="H27">
        <v>0.35699999999999998</v>
      </c>
      <c r="I27">
        <v>0.187</v>
      </c>
      <c r="J27">
        <v>5.6000000000000001E-2</v>
      </c>
    </row>
    <row r="28" spans="1:10" x14ac:dyDescent="0.25">
      <c r="A28">
        <v>2019</v>
      </c>
      <c r="B28">
        <v>27</v>
      </c>
      <c r="C28" t="s">
        <v>54</v>
      </c>
      <c r="D28">
        <v>6.4359999999999999</v>
      </c>
      <c r="E28">
        <v>0.8</v>
      </c>
      <c r="F28">
        <v>1.2689999999999999</v>
      </c>
      <c r="G28">
        <v>0.746</v>
      </c>
      <c r="H28">
        <v>0.53500000000000003</v>
      </c>
      <c r="I28">
        <v>0.17499999999999999</v>
      </c>
      <c r="J28">
        <v>7.8E-2</v>
      </c>
    </row>
    <row r="29" spans="1:10" x14ac:dyDescent="0.25">
      <c r="A29">
        <v>2019</v>
      </c>
      <c r="B29">
        <v>28</v>
      </c>
      <c r="C29" t="s">
        <v>45</v>
      </c>
      <c r="D29">
        <v>6.375</v>
      </c>
      <c r="E29">
        <v>1.403</v>
      </c>
      <c r="F29">
        <v>1.357</v>
      </c>
      <c r="G29">
        <v>0.79500000000000004</v>
      </c>
      <c r="H29">
        <v>0.439</v>
      </c>
      <c r="I29">
        <v>0.08</v>
      </c>
      <c r="J29">
        <v>0.13200000000000001</v>
      </c>
    </row>
    <row r="30" spans="1:10" x14ac:dyDescent="0.25">
      <c r="A30">
        <v>2019</v>
      </c>
      <c r="B30">
        <v>29</v>
      </c>
      <c r="C30" t="s">
        <v>37</v>
      </c>
      <c r="D30">
        <v>6.3739999999999997</v>
      </c>
      <c r="E30">
        <v>1.6839999999999999</v>
      </c>
      <c r="F30">
        <v>1.3129999999999999</v>
      </c>
      <c r="G30">
        <v>0.871</v>
      </c>
      <c r="H30">
        <v>0.55500000000000005</v>
      </c>
      <c r="I30">
        <v>0.22</v>
      </c>
      <c r="J30">
        <v>0.16700000000000001</v>
      </c>
    </row>
    <row r="31" spans="1:10" x14ac:dyDescent="0.25">
      <c r="A31">
        <v>2019</v>
      </c>
      <c r="B31">
        <v>30</v>
      </c>
      <c r="C31" t="s">
        <v>46</v>
      </c>
      <c r="D31">
        <v>6.3540000000000001</v>
      </c>
      <c r="E31">
        <v>1.286</v>
      </c>
      <c r="F31">
        <v>1.484</v>
      </c>
      <c r="G31">
        <v>1.0620000000000001</v>
      </c>
      <c r="H31">
        <v>0.36199999999999999</v>
      </c>
      <c r="I31">
        <v>0.153</v>
      </c>
      <c r="J31">
        <v>7.9000000000000001E-2</v>
      </c>
    </row>
    <row r="32" spans="1:10" x14ac:dyDescent="0.25">
      <c r="A32">
        <v>2019</v>
      </c>
      <c r="B32">
        <v>31</v>
      </c>
      <c r="C32" t="s">
        <v>34</v>
      </c>
      <c r="D32">
        <v>6.3209999999999997</v>
      </c>
      <c r="E32">
        <v>1.149</v>
      </c>
      <c r="F32">
        <v>1.4419999999999999</v>
      </c>
      <c r="G32">
        <v>0.91</v>
      </c>
      <c r="H32">
        <v>0.51600000000000001</v>
      </c>
      <c r="I32">
        <v>0.109</v>
      </c>
      <c r="J32">
        <v>5.3999999999999999E-2</v>
      </c>
    </row>
    <row r="33" spans="1:10" x14ac:dyDescent="0.25">
      <c r="A33">
        <v>2019</v>
      </c>
      <c r="B33">
        <v>32</v>
      </c>
      <c r="C33" t="s">
        <v>24</v>
      </c>
      <c r="D33">
        <v>6.3</v>
      </c>
      <c r="E33">
        <v>1.004</v>
      </c>
      <c r="F33">
        <v>1.4390000000000001</v>
      </c>
      <c r="G33">
        <v>0.80200000000000005</v>
      </c>
      <c r="H33">
        <v>0.39</v>
      </c>
      <c r="I33">
        <v>9.9000000000000005E-2</v>
      </c>
      <c r="J33">
        <v>8.5999999999999993E-2</v>
      </c>
    </row>
    <row r="34" spans="1:10" x14ac:dyDescent="0.25">
      <c r="A34">
        <v>2019</v>
      </c>
      <c r="B34">
        <v>33</v>
      </c>
      <c r="C34" t="s">
        <v>42</v>
      </c>
      <c r="D34">
        <v>6.2930000000000001</v>
      </c>
      <c r="E34">
        <v>1.1240000000000001</v>
      </c>
      <c r="F34">
        <v>1.4650000000000001</v>
      </c>
      <c r="G34">
        <v>0.89100000000000001</v>
      </c>
      <c r="H34">
        <v>0.52300000000000002</v>
      </c>
      <c r="I34">
        <v>0.127</v>
      </c>
      <c r="J34">
        <v>0.15</v>
      </c>
    </row>
    <row r="35" spans="1:10" x14ac:dyDescent="0.25">
      <c r="A35">
        <v>2019</v>
      </c>
      <c r="B35">
        <v>34</v>
      </c>
      <c r="C35" t="s">
        <v>32</v>
      </c>
      <c r="D35">
        <v>6.2619999999999996</v>
      </c>
      <c r="E35">
        <v>1.5720000000000001</v>
      </c>
      <c r="F35">
        <v>1.4630000000000001</v>
      </c>
      <c r="G35">
        <v>1.141</v>
      </c>
      <c r="H35">
        <v>0.55600000000000005</v>
      </c>
      <c r="I35">
        <v>0.27100000000000002</v>
      </c>
      <c r="J35">
        <v>0.45300000000000001</v>
      </c>
    </row>
    <row r="36" spans="1:10" x14ac:dyDescent="0.25">
      <c r="A36">
        <v>2019</v>
      </c>
      <c r="B36">
        <v>35</v>
      </c>
      <c r="C36" t="s">
        <v>53</v>
      </c>
      <c r="D36">
        <v>6.2530000000000001</v>
      </c>
      <c r="E36">
        <v>0.79400000000000004</v>
      </c>
      <c r="F36">
        <v>1.242</v>
      </c>
      <c r="G36">
        <v>0.78900000000000003</v>
      </c>
      <c r="H36">
        <v>0.43</v>
      </c>
      <c r="I36">
        <v>9.2999999999999999E-2</v>
      </c>
      <c r="J36">
        <v>7.3999999999999996E-2</v>
      </c>
    </row>
    <row r="37" spans="1:10" x14ac:dyDescent="0.25">
      <c r="A37">
        <v>2019</v>
      </c>
      <c r="B37">
        <v>36</v>
      </c>
      <c r="C37" t="s">
        <v>61</v>
      </c>
      <c r="D37">
        <v>6.2229999999999999</v>
      </c>
      <c r="E37">
        <v>1.294</v>
      </c>
      <c r="F37">
        <v>1.488</v>
      </c>
      <c r="G37">
        <v>1.0389999999999999</v>
      </c>
      <c r="H37">
        <v>0.23100000000000001</v>
      </c>
      <c r="I37">
        <v>0.158</v>
      </c>
      <c r="J37">
        <v>0.03</v>
      </c>
    </row>
    <row r="38" spans="1:10" x14ac:dyDescent="0.25">
      <c r="A38">
        <v>2019</v>
      </c>
      <c r="B38">
        <v>37</v>
      </c>
      <c r="C38" t="s">
        <v>60</v>
      </c>
      <c r="D38">
        <v>6.1989999999999998</v>
      </c>
      <c r="E38">
        <v>1.3620000000000001</v>
      </c>
      <c r="F38">
        <v>1.3680000000000001</v>
      </c>
      <c r="G38">
        <v>0.871</v>
      </c>
      <c r="H38">
        <v>0.53600000000000003</v>
      </c>
      <c r="I38">
        <v>0.255</v>
      </c>
      <c r="J38">
        <v>0.11</v>
      </c>
    </row>
    <row r="39" spans="1:10" x14ac:dyDescent="0.25">
      <c r="A39">
        <v>2019</v>
      </c>
      <c r="B39">
        <v>38</v>
      </c>
      <c r="C39" t="s">
        <v>56</v>
      </c>
      <c r="D39">
        <v>6.1980000000000004</v>
      </c>
      <c r="E39">
        <v>1.246</v>
      </c>
      <c r="F39">
        <v>1.504</v>
      </c>
      <c r="G39">
        <v>0.88100000000000001</v>
      </c>
      <c r="H39">
        <v>0.33400000000000002</v>
      </c>
      <c r="I39">
        <v>0.121</v>
      </c>
      <c r="J39">
        <v>1.4E-2</v>
      </c>
    </row>
    <row r="40" spans="1:10" x14ac:dyDescent="0.25">
      <c r="A40">
        <v>2019</v>
      </c>
      <c r="B40">
        <v>39</v>
      </c>
      <c r="C40" t="s">
        <v>218</v>
      </c>
      <c r="D40">
        <v>6.1920000000000002</v>
      </c>
      <c r="E40">
        <v>1.2310000000000001</v>
      </c>
      <c r="F40">
        <v>1.4770000000000001</v>
      </c>
      <c r="G40">
        <v>0.71299999999999997</v>
      </c>
      <c r="H40">
        <v>0.48899999999999999</v>
      </c>
      <c r="I40">
        <v>0.185</v>
      </c>
      <c r="J40">
        <v>1.6E-2</v>
      </c>
    </row>
    <row r="41" spans="1:10" x14ac:dyDescent="0.25">
      <c r="A41">
        <v>2019</v>
      </c>
      <c r="B41">
        <v>40</v>
      </c>
      <c r="C41" t="s">
        <v>71</v>
      </c>
      <c r="D41">
        <v>6.1820000000000004</v>
      </c>
      <c r="E41">
        <v>1.206</v>
      </c>
      <c r="F41">
        <v>1.4379999999999999</v>
      </c>
      <c r="G41">
        <v>0.88400000000000001</v>
      </c>
      <c r="H41">
        <v>0.48299999999999998</v>
      </c>
      <c r="I41">
        <v>0.11700000000000001</v>
      </c>
      <c r="J41">
        <v>0.05</v>
      </c>
    </row>
    <row r="42" spans="1:10" x14ac:dyDescent="0.25">
      <c r="A42">
        <v>2019</v>
      </c>
      <c r="B42">
        <v>41</v>
      </c>
      <c r="C42" t="s">
        <v>55</v>
      </c>
      <c r="D42">
        <v>6.1740000000000004</v>
      </c>
      <c r="E42">
        <v>0.745</v>
      </c>
      <c r="F42">
        <v>1.5289999999999999</v>
      </c>
      <c r="G42">
        <v>0.75600000000000001</v>
      </c>
      <c r="H42">
        <v>0.63100000000000001</v>
      </c>
      <c r="I42">
        <v>0.32200000000000001</v>
      </c>
      <c r="J42">
        <v>0.24</v>
      </c>
    </row>
    <row r="43" spans="1:10" x14ac:dyDescent="0.25">
      <c r="A43">
        <v>2019</v>
      </c>
      <c r="B43">
        <v>42</v>
      </c>
      <c r="C43" t="s">
        <v>67</v>
      </c>
      <c r="D43">
        <v>6.149</v>
      </c>
      <c r="E43">
        <v>1.238</v>
      </c>
      <c r="F43">
        <v>1.5149999999999999</v>
      </c>
      <c r="G43">
        <v>0.81799999999999995</v>
      </c>
      <c r="H43">
        <v>0.29099999999999998</v>
      </c>
      <c r="I43">
        <v>4.2999999999999997E-2</v>
      </c>
      <c r="J43">
        <v>4.2000000000000003E-2</v>
      </c>
    </row>
    <row r="44" spans="1:10" x14ac:dyDescent="0.25">
      <c r="A44">
        <v>2019</v>
      </c>
      <c r="B44">
        <v>43</v>
      </c>
      <c r="C44" t="s">
        <v>43</v>
      </c>
      <c r="D44">
        <v>6.125</v>
      </c>
      <c r="E44">
        <v>0.98499999999999999</v>
      </c>
      <c r="F44">
        <v>1.41</v>
      </c>
      <c r="G44">
        <v>0.84099999999999997</v>
      </c>
      <c r="H44">
        <v>0.47</v>
      </c>
      <c r="I44">
        <v>9.9000000000000005E-2</v>
      </c>
      <c r="J44">
        <v>3.4000000000000002E-2</v>
      </c>
    </row>
    <row r="45" spans="1:10" x14ac:dyDescent="0.25">
      <c r="A45">
        <v>2019</v>
      </c>
      <c r="B45">
        <v>44</v>
      </c>
      <c r="C45" t="s">
        <v>66</v>
      </c>
      <c r="D45">
        <v>6.1180000000000003</v>
      </c>
      <c r="E45">
        <v>1.258</v>
      </c>
      <c r="F45">
        <v>1.5229999999999999</v>
      </c>
      <c r="G45">
        <v>0.95299999999999996</v>
      </c>
      <c r="H45">
        <v>0.56399999999999995</v>
      </c>
      <c r="I45">
        <v>0.14399999999999999</v>
      </c>
      <c r="J45">
        <v>5.7000000000000002E-2</v>
      </c>
    </row>
    <row r="46" spans="1:10" x14ac:dyDescent="0.25">
      <c r="A46">
        <v>2019</v>
      </c>
      <c r="B46">
        <v>45</v>
      </c>
      <c r="C46" t="s">
        <v>68</v>
      </c>
      <c r="D46">
        <v>6.1050000000000004</v>
      </c>
      <c r="E46">
        <v>0.69399999999999995</v>
      </c>
      <c r="F46">
        <v>1.325</v>
      </c>
      <c r="G46">
        <v>0.83499999999999996</v>
      </c>
      <c r="H46">
        <v>0.435</v>
      </c>
      <c r="I46">
        <v>0.2</v>
      </c>
      <c r="J46">
        <v>0.127</v>
      </c>
    </row>
    <row r="47" spans="1:10" x14ac:dyDescent="0.25">
      <c r="A47">
        <v>2019</v>
      </c>
      <c r="B47">
        <v>46</v>
      </c>
      <c r="C47" t="s">
        <v>80</v>
      </c>
      <c r="D47">
        <v>6.1</v>
      </c>
      <c r="E47">
        <v>0.88200000000000001</v>
      </c>
      <c r="F47">
        <v>1.232</v>
      </c>
      <c r="G47">
        <v>0.75800000000000001</v>
      </c>
      <c r="H47">
        <v>0.48899999999999999</v>
      </c>
      <c r="I47">
        <v>0.26200000000000001</v>
      </c>
      <c r="J47">
        <v>6.0000000000000001E-3</v>
      </c>
    </row>
    <row r="48" spans="1:10" x14ac:dyDescent="0.25">
      <c r="A48">
        <v>2019</v>
      </c>
      <c r="B48">
        <v>47</v>
      </c>
      <c r="C48" t="s">
        <v>39</v>
      </c>
      <c r="D48">
        <v>6.0860000000000003</v>
      </c>
      <c r="E48">
        <v>1.0920000000000001</v>
      </c>
      <c r="F48">
        <v>1.4319999999999999</v>
      </c>
      <c r="G48">
        <v>0.88100000000000001</v>
      </c>
      <c r="H48">
        <v>0.47099999999999997</v>
      </c>
      <c r="I48">
        <v>6.6000000000000003E-2</v>
      </c>
      <c r="J48">
        <v>0.05</v>
      </c>
    </row>
    <row r="49" spans="1:10" x14ac:dyDescent="0.25">
      <c r="A49">
        <v>2019</v>
      </c>
      <c r="B49">
        <v>48</v>
      </c>
      <c r="C49" t="s">
        <v>99</v>
      </c>
      <c r="D49">
        <v>6.07</v>
      </c>
      <c r="E49">
        <v>1.1619999999999999</v>
      </c>
      <c r="F49">
        <v>1.232</v>
      </c>
      <c r="G49">
        <v>0.82499999999999996</v>
      </c>
      <c r="H49">
        <v>0.46200000000000002</v>
      </c>
      <c r="I49">
        <v>8.3000000000000004E-2</v>
      </c>
      <c r="J49">
        <v>5.0000000000000001E-3</v>
      </c>
    </row>
    <row r="50" spans="1:10" x14ac:dyDescent="0.25">
      <c r="A50">
        <v>2019</v>
      </c>
      <c r="B50">
        <v>49</v>
      </c>
      <c r="C50" t="s">
        <v>78</v>
      </c>
      <c r="D50">
        <v>6.0460000000000003</v>
      </c>
      <c r="E50">
        <v>1.2629999999999999</v>
      </c>
      <c r="F50">
        <v>1.2230000000000001</v>
      </c>
      <c r="G50">
        <v>1.042</v>
      </c>
      <c r="H50">
        <v>0.40600000000000003</v>
      </c>
      <c r="I50">
        <v>0.19</v>
      </c>
      <c r="J50">
        <v>4.1000000000000002E-2</v>
      </c>
    </row>
    <row r="51" spans="1:10" x14ac:dyDescent="0.25">
      <c r="A51">
        <v>2019</v>
      </c>
      <c r="B51">
        <v>50</v>
      </c>
      <c r="C51" t="s">
        <v>59</v>
      </c>
      <c r="D51">
        <v>6.0279999999999996</v>
      </c>
      <c r="E51">
        <v>0.91200000000000003</v>
      </c>
      <c r="F51">
        <v>1.3120000000000001</v>
      </c>
      <c r="G51">
        <v>0.86799999999999999</v>
      </c>
      <c r="H51">
        <v>0.498</v>
      </c>
      <c r="I51">
        <v>0.126</v>
      </c>
      <c r="J51">
        <v>8.6999999999999994E-2</v>
      </c>
    </row>
    <row r="52" spans="1:10" x14ac:dyDescent="0.25">
      <c r="A52">
        <v>2019</v>
      </c>
      <c r="B52">
        <v>51</v>
      </c>
      <c r="C52" t="s">
        <v>50</v>
      </c>
      <c r="D52">
        <v>6.0209999999999999</v>
      </c>
      <c r="E52">
        <v>1.5</v>
      </c>
      <c r="F52">
        <v>1.319</v>
      </c>
      <c r="G52">
        <v>0.80800000000000005</v>
      </c>
      <c r="H52">
        <v>0.49299999999999999</v>
      </c>
      <c r="I52">
        <v>0.14199999999999999</v>
      </c>
      <c r="J52">
        <v>9.7000000000000003E-2</v>
      </c>
    </row>
    <row r="53" spans="1:10" x14ac:dyDescent="0.25">
      <c r="A53">
        <v>2019</v>
      </c>
      <c r="B53">
        <v>52</v>
      </c>
      <c r="C53" t="s">
        <v>44</v>
      </c>
      <c r="D53">
        <v>6.008</v>
      </c>
      <c r="E53">
        <v>1.05</v>
      </c>
      <c r="F53">
        <v>1.409</v>
      </c>
      <c r="G53">
        <v>0.82799999999999996</v>
      </c>
      <c r="H53">
        <v>0.55700000000000005</v>
      </c>
      <c r="I53">
        <v>0.35899999999999999</v>
      </c>
      <c r="J53">
        <v>2.8000000000000001E-2</v>
      </c>
    </row>
    <row r="54" spans="1:10" x14ac:dyDescent="0.25">
      <c r="A54">
        <v>2019</v>
      </c>
      <c r="B54">
        <v>53</v>
      </c>
      <c r="C54" t="s">
        <v>102</v>
      </c>
      <c r="D54">
        <v>5.94</v>
      </c>
      <c r="E54">
        <v>1.1870000000000001</v>
      </c>
      <c r="F54">
        <v>1.4650000000000001</v>
      </c>
      <c r="G54">
        <v>0.81200000000000006</v>
      </c>
      <c r="H54">
        <v>0.26400000000000001</v>
      </c>
      <c r="I54">
        <v>7.4999999999999997E-2</v>
      </c>
      <c r="J54">
        <v>6.4000000000000001E-2</v>
      </c>
    </row>
    <row r="55" spans="1:10" x14ac:dyDescent="0.25">
      <c r="A55">
        <v>2019</v>
      </c>
      <c r="B55">
        <v>54</v>
      </c>
      <c r="C55" t="s">
        <v>58</v>
      </c>
      <c r="D55">
        <v>5.8949999999999996</v>
      </c>
      <c r="E55">
        <v>1.3009999999999999</v>
      </c>
      <c r="F55">
        <v>1.2190000000000001</v>
      </c>
      <c r="G55">
        <v>1.036</v>
      </c>
      <c r="H55">
        <v>0.159</v>
      </c>
      <c r="I55">
        <v>0.17499999999999999</v>
      </c>
      <c r="J55">
        <v>5.6000000000000001E-2</v>
      </c>
    </row>
    <row r="56" spans="1:10" x14ac:dyDescent="0.25">
      <c r="A56">
        <v>2019</v>
      </c>
      <c r="B56">
        <v>55</v>
      </c>
      <c r="C56" t="s">
        <v>85</v>
      </c>
      <c r="D56">
        <v>5.8929999999999998</v>
      </c>
      <c r="E56">
        <v>1.2370000000000001</v>
      </c>
      <c r="F56">
        <v>1.528</v>
      </c>
      <c r="G56">
        <v>0.874</v>
      </c>
      <c r="H56">
        <v>0.495</v>
      </c>
      <c r="I56">
        <v>0.10299999999999999</v>
      </c>
      <c r="J56">
        <v>0.161</v>
      </c>
    </row>
    <row r="57" spans="1:10" x14ac:dyDescent="0.25">
      <c r="A57">
        <v>2019</v>
      </c>
      <c r="B57">
        <v>56</v>
      </c>
      <c r="C57" t="s">
        <v>76</v>
      </c>
      <c r="D57">
        <v>5.89</v>
      </c>
      <c r="E57">
        <v>0.83099999999999996</v>
      </c>
      <c r="F57">
        <v>1.478</v>
      </c>
      <c r="G57">
        <v>0.83099999999999996</v>
      </c>
      <c r="H57">
        <v>0.49</v>
      </c>
      <c r="I57">
        <v>0.107</v>
      </c>
      <c r="J57">
        <v>2.8000000000000001E-2</v>
      </c>
    </row>
    <row r="58" spans="1:10" x14ac:dyDescent="0.25">
      <c r="A58">
        <v>2019</v>
      </c>
      <c r="B58">
        <v>57</v>
      </c>
      <c r="C58" t="s">
        <v>82</v>
      </c>
      <c r="D58">
        <v>5.8879999999999999</v>
      </c>
      <c r="E58">
        <v>1.1200000000000001</v>
      </c>
      <c r="F58">
        <v>1.4019999999999999</v>
      </c>
      <c r="G58">
        <v>0.79800000000000004</v>
      </c>
      <c r="H58">
        <v>0.498</v>
      </c>
      <c r="I58">
        <v>0.215</v>
      </c>
      <c r="J58">
        <v>0.06</v>
      </c>
    </row>
    <row r="59" spans="1:10" x14ac:dyDescent="0.25">
      <c r="A59">
        <v>2019</v>
      </c>
      <c r="B59">
        <v>58</v>
      </c>
      <c r="C59" t="s">
        <v>57</v>
      </c>
      <c r="D59">
        <v>5.8860000000000001</v>
      </c>
      <c r="E59">
        <v>1.327</v>
      </c>
      <c r="F59">
        <v>1.419</v>
      </c>
      <c r="G59">
        <v>1.0880000000000001</v>
      </c>
      <c r="H59">
        <v>0.44500000000000001</v>
      </c>
      <c r="I59">
        <v>6.9000000000000006E-2</v>
      </c>
      <c r="J59">
        <v>0.14000000000000001</v>
      </c>
    </row>
    <row r="60" spans="1:10" x14ac:dyDescent="0.25">
      <c r="A60">
        <v>2019</v>
      </c>
      <c r="B60">
        <v>59</v>
      </c>
      <c r="C60" t="s">
        <v>118</v>
      </c>
      <c r="D60">
        <v>5.86</v>
      </c>
      <c r="E60">
        <v>0.64200000000000002</v>
      </c>
      <c r="F60">
        <v>1.236</v>
      </c>
      <c r="G60">
        <v>0.82799999999999996</v>
      </c>
      <c r="H60">
        <v>0.50700000000000001</v>
      </c>
      <c r="I60">
        <v>0.246</v>
      </c>
      <c r="J60">
        <v>7.8E-2</v>
      </c>
    </row>
    <row r="61" spans="1:10" x14ac:dyDescent="0.25">
      <c r="A61">
        <v>2019</v>
      </c>
      <c r="B61">
        <v>60</v>
      </c>
      <c r="C61" t="s">
        <v>65</v>
      </c>
      <c r="D61">
        <v>5.8090000000000002</v>
      </c>
      <c r="E61">
        <v>1.173</v>
      </c>
      <c r="F61">
        <v>1.508</v>
      </c>
      <c r="G61">
        <v>0.72899999999999998</v>
      </c>
      <c r="H61">
        <v>0.41</v>
      </c>
      <c r="I61">
        <v>0.14599999999999999</v>
      </c>
      <c r="J61">
        <v>9.6000000000000002E-2</v>
      </c>
    </row>
    <row r="62" spans="1:10" x14ac:dyDescent="0.25">
      <c r="A62">
        <v>2019</v>
      </c>
      <c r="B62">
        <v>61</v>
      </c>
      <c r="C62" t="s">
        <v>62</v>
      </c>
      <c r="D62">
        <v>5.7789999999999999</v>
      </c>
      <c r="E62">
        <v>0.77600000000000002</v>
      </c>
      <c r="F62">
        <v>1.2090000000000001</v>
      </c>
      <c r="G62">
        <v>0.70599999999999996</v>
      </c>
      <c r="H62">
        <v>0.51100000000000001</v>
      </c>
      <c r="I62">
        <v>0.13700000000000001</v>
      </c>
      <c r="J62">
        <v>6.4000000000000001E-2</v>
      </c>
    </row>
    <row r="63" spans="1:10" x14ac:dyDescent="0.25">
      <c r="A63">
        <v>2019</v>
      </c>
      <c r="B63">
        <v>62</v>
      </c>
      <c r="C63" t="s">
        <v>117</v>
      </c>
      <c r="D63">
        <v>5.758</v>
      </c>
      <c r="E63">
        <v>1.2010000000000001</v>
      </c>
      <c r="F63">
        <v>1.41</v>
      </c>
      <c r="G63">
        <v>0.82799999999999996</v>
      </c>
      <c r="H63">
        <v>0.19900000000000001</v>
      </c>
      <c r="I63">
        <v>8.1000000000000003E-2</v>
      </c>
      <c r="J63">
        <v>0.02</v>
      </c>
    </row>
    <row r="64" spans="1:10" x14ac:dyDescent="0.25">
      <c r="A64">
        <v>2019</v>
      </c>
      <c r="B64">
        <v>63</v>
      </c>
      <c r="C64" t="s">
        <v>64</v>
      </c>
      <c r="D64">
        <v>5.7430000000000003</v>
      </c>
      <c r="E64">
        <v>0.85499999999999998</v>
      </c>
      <c r="F64">
        <v>1.4750000000000001</v>
      </c>
      <c r="G64">
        <v>0.77700000000000002</v>
      </c>
      <c r="H64">
        <v>0.51400000000000001</v>
      </c>
      <c r="I64">
        <v>0.184</v>
      </c>
      <c r="J64">
        <v>0.08</v>
      </c>
    </row>
    <row r="65" spans="1:10" x14ac:dyDescent="0.25">
      <c r="A65">
        <v>2019</v>
      </c>
      <c r="B65">
        <v>64</v>
      </c>
      <c r="C65" t="s">
        <v>237</v>
      </c>
      <c r="D65">
        <v>5.718</v>
      </c>
      <c r="E65">
        <v>1.2629999999999999</v>
      </c>
      <c r="F65">
        <v>1.252</v>
      </c>
      <c r="G65">
        <v>1.042</v>
      </c>
      <c r="H65">
        <v>0.41699999999999998</v>
      </c>
      <c r="I65">
        <v>0.191</v>
      </c>
      <c r="J65">
        <v>0.16200000000000001</v>
      </c>
    </row>
    <row r="66" spans="1:10" x14ac:dyDescent="0.25">
      <c r="A66">
        <v>2019</v>
      </c>
      <c r="B66">
        <v>65</v>
      </c>
      <c r="C66" t="s">
        <v>69</v>
      </c>
      <c r="D66">
        <v>5.6970000000000001</v>
      </c>
      <c r="E66">
        <v>0.96</v>
      </c>
      <c r="F66">
        <v>1.274</v>
      </c>
      <c r="G66">
        <v>0.85399999999999998</v>
      </c>
      <c r="H66">
        <v>0.45500000000000002</v>
      </c>
      <c r="I66">
        <v>8.3000000000000004E-2</v>
      </c>
      <c r="J66">
        <v>2.7E-2</v>
      </c>
    </row>
    <row r="67" spans="1:10" x14ac:dyDescent="0.25">
      <c r="A67">
        <v>2019</v>
      </c>
      <c r="B67">
        <v>66</v>
      </c>
      <c r="C67" t="s">
        <v>101</v>
      </c>
      <c r="D67">
        <v>5.6929999999999996</v>
      </c>
      <c r="E67">
        <v>1.2210000000000001</v>
      </c>
      <c r="F67">
        <v>1.431</v>
      </c>
      <c r="G67">
        <v>0.999</v>
      </c>
      <c r="H67">
        <v>0.50800000000000001</v>
      </c>
      <c r="I67">
        <v>4.7E-2</v>
      </c>
      <c r="J67">
        <v>2.5000000000000001E-2</v>
      </c>
    </row>
    <row r="68" spans="1:10" x14ac:dyDescent="0.25">
      <c r="A68">
        <v>2019</v>
      </c>
      <c r="B68">
        <v>67</v>
      </c>
      <c r="C68" t="s">
        <v>94</v>
      </c>
      <c r="D68">
        <v>5.6529999999999996</v>
      </c>
      <c r="E68">
        <v>0.67700000000000005</v>
      </c>
      <c r="F68">
        <v>0.88600000000000001</v>
      </c>
      <c r="G68">
        <v>0.53500000000000003</v>
      </c>
      <c r="H68">
        <v>0.313</v>
      </c>
      <c r="I68">
        <v>0.22</v>
      </c>
      <c r="J68">
        <v>9.8000000000000004E-2</v>
      </c>
    </row>
    <row r="69" spans="1:10" x14ac:dyDescent="0.25">
      <c r="A69">
        <v>2019</v>
      </c>
      <c r="B69">
        <v>68</v>
      </c>
      <c r="C69" t="s">
        <v>75</v>
      </c>
      <c r="D69">
        <v>5.6479999999999997</v>
      </c>
      <c r="E69">
        <v>1.1830000000000001</v>
      </c>
      <c r="F69">
        <v>1.452</v>
      </c>
      <c r="G69">
        <v>0.72599999999999998</v>
      </c>
      <c r="H69">
        <v>0.33400000000000002</v>
      </c>
      <c r="I69">
        <v>8.2000000000000003E-2</v>
      </c>
      <c r="J69">
        <v>3.1E-2</v>
      </c>
    </row>
    <row r="70" spans="1:10" x14ac:dyDescent="0.25">
      <c r="A70">
        <v>2019</v>
      </c>
      <c r="B70">
        <v>69</v>
      </c>
      <c r="C70" t="s">
        <v>103</v>
      </c>
      <c r="D70">
        <v>5.6310000000000002</v>
      </c>
      <c r="E70">
        <v>0.80700000000000005</v>
      </c>
      <c r="F70">
        <v>1.2929999999999999</v>
      </c>
      <c r="G70">
        <v>0.65700000000000003</v>
      </c>
      <c r="H70">
        <v>0.55800000000000005</v>
      </c>
      <c r="I70">
        <v>0.11700000000000001</v>
      </c>
      <c r="J70">
        <v>0.107</v>
      </c>
    </row>
    <row r="71" spans="1:10" x14ac:dyDescent="0.25">
      <c r="A71">
        <v>2019</v>
      </c>
      <c r="B71">
        <v>70</v>
      </c>
      <c r="C71" t="s">
        <v>100</v>
      </c>
      <c r="D71">
        <v>5.6029999999999998</v>
      </c>
      <c r="E71">
        <v>1.004</v>
      </c>
      <c r="F71">
        <v>1.383</v>
      </c>
      <c r="G71">
        <v>0.85399999999999998</v>
      </c>
      <c r="H71">
        <v>0.28199999999999997</v>
      </c>
      <c r="I71">
        <v>0.13700000000000001</v>
      </c>
      <c r="J71">
        <v>3.9E-2</v>
      </c>
    </row>
    <row r="72" spans="1:10" x14ac:dyDescent="0.25">
      <c r="A72">
        <v>2019</v>
      </c>
      <c r="B72">
        <v>71</v>
      </c>
      <c r="C72" t="s">
        <v>63</v>
      </c>
      <c r="D72">
        <v>5.5289999999999999</v>
      </c>
      <c r="E72">
        <v>0.68500000000000005</v>
      </c>
      <c r="F72">
        <v>1.3280000000000001</v>
      </c>
      <c r="G72">
        <v>0.73899999999999999</v>
      </c>
      <c r="H72">
        <v>0.245</v>
      </c>
      <c r="I72">
        <v>0.18099999999999999</v>
      </c>
      <c r="J72">
        <v>0</v>
      </c>
    </row>
    <row r="73" spans="1:10" x14ac:dyDescent="0.25">
      <c r="A73">
        <v>2019</v>
      </c>
      <c r="B73">
        <v>72</v>
      </c>
      <c r="C73" t="s">
        <v>74</v>
      </c>
      <c r="D73">
        <v>5.5250000000000004</v>
      </c>
      <c r="E73">
        <v>1.044</v>
      </c>
      <c r="F73">
        <v>1.3029999999999999</v>
      </c>
      <c r="G73">
        <v>0.67300000000000004</v>
      </c>
      <c r="H73">
        <v>0.41599999999999998</v>
      </c>
      <c r="I73">
        <v>0.13300000000000001</v>
      </c>
      <c r="J73">
        <v>0.152</v>
      </c>
    </row>
    <row r="74" spans="1:10" x14ac:dyDescent="0.25">
      <c r="A74">
        <v>2019</v>
      </c>
      <c r="B74">
        <v>73</v>
      </c>
      <c r="C74" t="s">
        <v>96</v>
      </c>
      <c r="D74">
        <v>5.5229999999999997</v>
      </c>
      <c r="E74">
        <v>1.0509999999999999</v>
      </c>
      <c r="F74">
        <v>1.361</v>
      </c>
      <c r="G74">
        <v>0.871</v>
      </c>
      <c r="H74">
        <v>0.19700000000000001</v>
      </c>
      <c r="I74">
        <v>0.14199999999999999</v>
      </c>
      <c r="J74">
        <v>0.08</v>
      </c>
    </row>
    <row r="75" spans="1:10" x14ac:dyDescent="0.25">
      <c r="A75">
        <v>2019</v>
      </c>
      <c r="B75">
        <v>74</v>
      </c>
      <c r="C75" t="s">
        <v>119</v>
      </c>
      <c r="D75">
        <v>5.4669999999999996</v>
      </c>
      <c r="E75">
        <v>0.49299999999999999</v>
      </c>
      <c r="F75">
        <v>1.0980000000000001</v>
      </c>
      <c r="G75">
        <v>0.71799999999999997</v>
      </c>
      <c r="H75">
        <v>0.38900000000000001</v>
      </c>
      <c r="I75">
        <v>0.23</v>
      </c>
      <c r="J75">
        <v>0.14399999999999999</v>
      </c>
    </row>
    <row r="76" spans="1:10" x14ac:dyDescent="0.25">
      <c r="A76">
        <v>2019</v>
      </c>
      <c r="B76">
        <v>75</v>
      </c>
      <c r="C76" t="s">
        <v>73</v>
      </c>
      <c r="D76">
        <v>5.4320000000000004</v>
      </c>
      <c r="E76">
        <v>1.155</v>
      </c>
      <c r="F76">
        <v>1.266</v>
      </c>
      <c r="G76">
        <v>0.91400000000000003</v>
      </c>
      <c r="H76">
        <v>0.29599999999999999</v>
      </c>
      <c r="I76">
        <v>0.11899999999999999</v>
      </c>
      <c r="J76">
        <v>2.1999999999999999E-2</v>
      </c>
    </row>
    <row r="77" spans="1:10" x14ac:dyDescent="0.25">
      <c r="A77">
        <v>2019</v>
      </c>
      <c r="B77">
        <v>76</v>
      </c>
      <c r="C77" t="s">
        <v>84</v>
      </c>
      <c r="D77">
        <v>5.43</v>
      </c>
      <c r="E77">
        <v>1.4379999999999999</v>
      </c>
      <c r="F77">
        <v>1.2769999999999999</v>
      </c>
      <c r="G77">
        <v>1.1220000000000001</v>
      </c>
      <c r="H77">
        <v>0.44</v>
      </c>
      <c r="I77">
        <v>0.25800000000000001</v>
      </c>
      <c r="J77">
        <v>0.28699999999999998</v>
      </c>
    </row>
    <row r="78" spans="1:10" x14ac:dyDescent="0.25">
      <c r="A78">
        <v>2019</v>
      </c>
      <c r="B78">
        <v>77</v>
      </c>
      <c r="C78" t="s">
        <v>111</v>
      </c>
      <c r="D78">
        <v>5.4249999999999998</v>
      </c>
      <c r="E78">
        <v>1.0149999999999999</v>
      </c>
      <c r="F78">
        <v>1.401</v>
      </c>
      <c r="G78">
        <v>0.77900000000000003</v>
      </c>
      <c r="H78">
        <v>0.497</v>
      </c>
      <c r="I78">
        <v>0.113</v>
      </c>
      <c r="J78">
        <v>0.10100000000000001</v>
      </c>
    </row>
    <row r="79" spans="1:10" x14ac:dyDescent="0.25">
      <c r="A79">
        <v>2019</v>
      </c>
      <c r="B79">
        <v>78</v>
      </c>
      <c r="C79" t="s">
        <v>109</v>
      </c>
      <c r="D79">
        <v>5.3860000000000001</v>
      </c>
      <c r="E79">
        <v>0.94499999999999995</v>
      </c>
      <c r="F79">
        <v>1.212</v>
      </c>
      <c r="G79">
        <v>0.84499999999999997</v>
      </c>
      <c r="H79">
        <v>0.21199999999999999</v>
      </c>
      <c r="I79">
        <v>0.26300000000000001</v>
      </c>
      <c r="J79">
        <v>6.0000000000000001E-3</v>
      </c>
    </row>
    <row r="80" spans="1:10" x14ac:dyDescent="0.25">
      <c r="A80">
        <v>2019</v>
      </c>
      <c r="B80">
        <v>79</v>
      </c>
      <c r="C80" t="s">
        <v>88</v>
      </c>
      <c r="D80">
        <v>5.3730000000000002</v>
      </c>
      <c r="E80">
        <v>1.1830000000000001</v>
      </c>
      <c r="F80">
        <v>1.36</v>
      </c>
      <c r="G80">
        <v>0.80800000000000005</v>
      </c>
      <c r="H80">
        <v>0.19500000000000001</v>
      </c>
      <c r="I80">
        <v>8.3000000000000004E-2</v>
      </c>
      <c r="J80">
        <v>0.106</v>
      </c>
    </row>
    <row r="81" spans="1:10" x14ac:dyDescent="0.25">
      <c r="A81">
        <v>2019</v>
      </c>
      <c r="B81">
        <v>80</v>
      </c>
      <c r="C81" t="s">
        <v>72</v>
      </c>
      <c r="D81">
        <v>5.3390000000000004</v>
      </c>
      <c r="E81">
        <v>1.2210000000000001</v>
      </c>
      <c r="F81">
        <v>1.171</v>
      </c>
      <c r="G81">
        <v>0.82799999999999996</v>
      </c>
      <c r="H81">
        <v>0.50800000000000001</v>
      </c>
      <c r="I81">
        <v>0.26</v>
      </c>
      <c r="J81">
        <v>2.4E-2</v>
      </c>
    </row>
    <row r="82" spans="1:10" x14ac:dyDescent="0.25">
      <c r="A82">
        <v>2019</v>
      </c>
      <c r="B82">
        <v>81</v>
      </c>
      <c r="C82" t="s">
        <v>70</v>
      </c>
      <c r="D82">
        <v>5.3230000000000004</v>
      </c>
      <c r="E82">
        <v>1.0669999999999999</v>
      </c>
      <c r="F82">
        <v>1.4650000000000001</v>
      </c>
      <c r="G82">
        <v>0.78900000000000003</v>
      </c>
      <c r="H82">
        <v>0.23499999999999999</v>
      </c>
      <c r="I82">
        <v>9.4E-2</v>
      </c>
      <c r="J82">
        <v>0.14199999999999999</v>
      </c>
    </row>
    <row r="83" spans="1:10" x14ac:dyDescent="0.25">
      <c r="A83">
        <v>2019</v>
      </c>
      <c r="B83">
        <v>82</v>
      </c>
      <c r="C83" t="s">
        <v>115</v>
      </c>
      <c r="D83">
        <v>5.2869999999999999</v>
      </c>
      <c r="E83">
        <v>1.181</v>
      </c>
      <c r="F83">
        <v>1.1559999999999999</v>
      </c>
      <c r="G83">
        <v>0.999</v>
      </c>
      <c r="H83">
        <v>6.7000000000000004E-2</v>
      </c>
      <c r="I83">
        <v>0</v>
      </c>
      <c r="J83">
        <v>3.4000000000000002E-2</v>
      </c>
    </row>
    <row r="84" spans="1:10" x14ac:dyDescent="0.25">
      <c r="A84">
        <v>2019</v>
      </c>
      <c r="B84">
        <v>83</v>
      </c>
      <c r="C84" t="s">
        <v>113</v>
      </c>
      <c r="D84">
        <v>5.2850000000000001</v>
      </c>
      <c r="E84">
        <v>0.94799999999999995</v>
      </c>
      <c r="F84">
        <v>1.5309999999999999</v>
      </c>
      <c r="G84">
        <v>0.66700000000000004</v>
      </c>
      <c r="H84">
        <v>0.317</v>
      </c>
      <c r="I84">
        <v>0.23499999999999999</v>
      </c>
      <c r="J84">
        <v>3.7999999999999999E-2</v>
      </c>
    </row>
    <row r="85" spans="1:10" x14ac:dyDescent="0.25">
      <c r="A85">
        <v>2019</v>
      </c>
      <c r="B85">
        <v>84</v>
      </c>
      <c r="C85" t="s">
        <v>294</v>
      </c>
      <c r="D85">
        <v>5.274</v>
      </c>
      <c r="E85">
        <v>0.98299999999999998</v>
      </c>
      <c r="F85">
        <v>1.294</v>
      </c>
      <c r="G85">
        <v>0.83799999999999997</v>
      </c>
      <c r="H85">
        <v>0.34499999999999997</v>
      </c>
      <c r="I85">
        <v>0.185</v>
      </c>
      <c r="J85">
        <v>3.4000000000000002E-2</v>
      </c>
    </row>
    <row r="86" spans="1:10" x14ac:dyDescent="0.25">
      <c r="A86">
        <v>2019</v>
      </c>
      <c r="B86">
        <v>85</v>
      </c>
      <c r="C86" t="s">
        <v>90</v>
      </c>
      <c r="D86">
        <v>5.2649999999999997</v>
      </c>
      <c r="E86">
        <v>0.69599999999999995</v>
      </c>
      <c r="F86">
        <v>1.111</v>
      </c>
      <c r="G86">
        <v>0.245</v>
      </c>
      <c r="H86">
        <v>0.42599999999999999</v>
      </c>
      <c r="I86">
        <v>0.215</v>
      </c>
      <c r="J86">
        <v>4.1000000000000002E-2</v>
      </c>
    </row>
    <row r="87" spans="1:10" x14ac:dyDescent="0.25">
      <c r="A87">
        <v>2019</v>
      </c>
      <c r="B87">
        <v>86</v>
      </c>
      <c r="C87" t="s">
        <v>89</v>
      </c>
      <c r="D87">
        <v>5.2610000000000001</v>
      </c>
      <c r="E87">
        <v>0.55100000000000005</v>
      </c>
      <c r="F87">
        <v>1.4379999999999999</v>
      </c>
      <c r="G87">
        <v>0.72299999999999998</v>
      </c>
      <c r="H87">
        <v>0.50800000000000001</v>
      </c>
      <c r="I87">
        <v>0.3</v>
      </c>
      <c r="J87">
        <v>2.3E-2</v>
      </c>
    </row>
    <row r="88" spans="1:10" x14ac:dyDescent="0.25">
      <c r="A88">
        <v>2019</v>
      </c>
      <c r="B88">
        <v>87</v>
      </c>
      <c r="C88" t="s">
        <v>81</v>
      </c>
      <c r="D88">
        <v>5.2469999999999999</v>
      </c>
      <c r="E88">
        <v>1.052</v>
      </c>
      <c r="F88">
        <v>1.538</v>
      </c>
      <c r="G88">
        <v>0.65700000000000003</v>
      </c>
      <c r="H88">
        <v>0.39400000000000002</v>
      </c>
      <c r="I88">
        <v>0.24399999999999999</v>
      </c>
      <c r="J88">
        <v>2.8000000000000001E-2</v>
      </c>
    </row>
    <row r="89" spans="1:10" x14ac:dyDescent="0.25">
      <c r="A89">
        <v>2019</v>
      </c>
      <c r="B89">
        <v>88</v>
      </c>
      <c r="C89" t="s">
        <v>79</v>
      </c>
      <c r="D89">
        <v>5.2110000000000003</v>
      </c>
      <c r="E89">
        <v>1.002</v>
      </c>
      <c r="F89">
        <v>1.1599999999999999</v>
      </c>
      <c r="G89">
        <v>0.78500000000000003</v>
      </c>
      <c r="H89">
        <v>8.5999999999999993E-2</v>
      </c>
      <c r="I89">
        <v>7.2999999999999995E-2</v>
      </c>
      <c r="J89">
        <v>0.114</v>
      </c>
    </row>
    <row r="90" spans="1:10" x14ac:dyDescent="0.25">
      <c r="A90">
        <v>2019</v>
      </c>
      <c r="B90">
        <v>89</v>
      </c>
      <c r="C90" t="s">
        <v>105</v>
      </c>
      <c r="D90">
        <v>5.2080000000000002</v>
      </c>
      <c r="E90">
        <v>0.80100000000000005</v>
      </c>
      <c r="F90">
        <v>0.78200000000000003</v>
      </c>
      <c r="G90">
        <v>0.78200000000000003</v>
      </c>
      <c r="H90">
        <v>0.41799999999999998</v>
      </c>
      <c r="I90">
        <v>3.5999999999999997E-2</v>
      </c>
      <c r="J90">
        <v>7.5999999999999998E-2</v>
      </c>
    </row>
    <row r="91" spans="1:10" x14ac:dyDescent="0.25">
      <c r="A91">
        <v>2019</v>
      </c>
      <c r="B91">
        <v>90</v>
      </c>
      <c r="C91" t="s">
        <v>93</v>
      </c>
      <c r="D91">
        <v>5.2080000000000002</v>
      </c>
      <c r="E91">
        <v>1.0429999999999999</v>
      </c>
      <c r="F91">
        <v>1.147</v>
      </c>
      <c r="G91">
        <v>0.76900000000000002</v>
      </c>
      <c r="H91">
        <v>0.35099999999999998</v>
      </c>
      <c r="I91">
        <v>3.5000000000000003E-2</v>
      </c>
      <c r="J91">
        <v>0.182</v>
      </c>
    </row>
    <row r="92" spans="1:10" x14ac:dyDescent="0.25">
      <c r="A92">
        <v>2019</v>
      </c>
      <c r="B92">
        <v>91</v>
      </c>
      <c r="C92" t="s">
        <v>116</v>
      </c>
      <c r="D92">
        <v>5.1970000000000001</v>
      </c>
      <c r="E92">
        <v>0.98699999999999999</v>
      </c>
      <c r="F92">
        <v>1.224</v>
      </c>
      <c r="G92">
        <v>0.81499999999999995</v>
      </c>
      <c r="H92">
        <v>0.216</v>
      </c>
      <c r="I92">
        <v>0.16600000000000001</v>
      </c>
      <c r="J92">
        <v>2.7E-2</v>
      </c>
    </row>
    <row r="93" spans="1:10" x14ac:dyDescent="0.25">
      <c r="A93">
        <v>2019</v>
      </c>
      <c r="B93">
        <v>92</v>
      </c>
      <c r="C93" t="s">
        <v>86</v>
      </c>
      <c r="D93">
        <v>5.1920000000000002</v>
      </c>
      <c r="E93">
        <v>0.93100000000000005</v>
      </c>
      <c r="F93">
        <v>1.2030000000000001</v>
      </c>
      <c r="G93">
        <v>0.66</v>
      </c>
      <c r="H93">
        <v>0.49099999999999999</v>
      </c>
      <c r="I93">
        <v>0.498</v>
      </c>
      <c r="J93">
        <v>2.8000000000000001E-2</v>
      </c>
    </row>
    <row r="94" spans="1:10" x14ac:dyDescent="0.25">
      <c r="A94">
        <v>2019</v>
      </c>
      <c r="B94">
        <v>93</v>
      </c>
      <c r="C94" t="s">
        <v>97</v>
      </c>
      <c r="D94">
        <v>5.1909999999999998</v>
      </c>
      <c r="E94">
        <v>1.0289999999999999</v>
      </c>
      <c r="F94">
        <v>1.125</v>
      </c>
      <c r="G94">
        <v>0.89300000000000002</v>
      </c>
      <c r="H94">
        <v>0.52100000000000002</v>
      </c>
      <c r="I94">
        <v>5.8000000000000003E-2</v>
      </c>
      <c r="J94">
        <v>0.1</v>
      </c>
    </row>
    <row r="95" spans="1:10" x14ac:dyDescent="0.25">
      <c r="A95">
        <v>2019</v>
      </c>
      <c r="B95">
        <v>94</v>
      </c>
      <c r="C95" t="s">
        <v>87</v>
      </c>
      <c r="D95">
        <v>5.1749999999999998</v>
      </c>
      <c r="E95">
        <v>0.74099999999999999</v>
      </c>
      <c r="F95">
        <v>1.3460000000000001</v>
      </c>
      <c r="G95">
        <v>0.85099999999999998</v>
      </c>
      <c r="H95">
        <v>0.54300000000000004</v>
      </c>
      <c r="I95">
        <v>0.14699999999999999</v>
      </c>
      <c r="J95">
        <v>7.2999999999999995E-2</v>
      </c>
    </row>
    <row r="96" spans="1:10" x14ac:dyDescent="0.25">
      <c r="A96">
        <v>2019</v>
      </c>
      <c r="B96">
        <v>95</v>
      </c>
      <c r="C96" t="s">
        <v>91</v>
      </c>
      <c r="D96">
        <v>5.0819999999999999</v>
      </c>
      <c r="E96">
        <v>0.81299999999999994</v>
      </c>
      <c r="F96">
        <v>1.321</v>
      </c>
      <c r="G96">
        <v>0.60399999999999998</v>
      </c>
      <c r="H96">
        <v>0.45700000000000002</v>
      </c>
      <c r="I96">
        <v>0.37</v>
      </c>
      <c r="J96">
        <v>0.16700000000000001</v>
      </c>
    </row>
    <row r="97" spans="1:10" x14ac:dyDescent="0.25">
      <c r="A97">
        <v>2019</v>
      </c>
      <c r="B97">
        <v>96</v>
      </c>
      <c r="C97" t="s">
        <v>146</v>
      </c>
      <c r="D97">
        <v>5.0439999999999996</v>
      </c>
      <c r="E97">
        <v>0.54900000000000004</v>
      </c>
      <c r="F97">
        <v>0.91</v>
      </c>
      <c r="G97">
        <v>0.33100000000000002</v>
      </c>
      <c r="H97">
        <v>0.38100000000000001</v>
      </c>
      <c r="I97">
        <v>0.187</v>
      </c>
      <c r="J97">
        <v>3.6999999999999998E-2</v>
      </c>
    </row>
    <row r="98" spans="1:10" x14ac:dyDescent="0.25">
      <c r="A98">
        <v>2019</v>
      </c>
      <c r="B98">
        <v>97</v>
      </c>
      <c r="C98" t="s">
        <v>147</v>
      </c>
      <c r="D98">
        <v>5.0110000000000001</v>
      </c>
      <c r="E98">
        <v>1.0920000000000001</v>
      </c>
      <c r="F98">
        <v>1.5129999999999999</v>
      </c>
      <c r="G98">
        <v>0.81499999999999995</v>
      </c>
      <c r="H98">
        <v>0.311</v>
      </c>
      <c r="I98">
        <v>8.1000000000000003E-2</v>
      </c>
      <c r="J98">
        <v>4.0000000000000001E-3</v>
      </c>
    </row>
    <row r="99" spans="1:10" x14ac:dyDescent="0.25">
      <c r="A99">
        <v>2019</v>
      </c>
      <c r="B99">
        <v>98</v>
      </c>
      <c r="C99" t="s">
        <v>127</v>
      </c>
      <c r="D99">
        <v>4.9960000000000004</v>
      </c>
      <c r="E99">
        <v>0.61099999999999999</v>
      </c>
      <c r="F99">
        <v>0.86799999999999999</v>
      </c>
      <c r="G99">
        <v>0.48599999999999999</v>
      </c>
      <c r="H99">
        <v>0.38100000000000001</v>
      </c>
      <c r="I99">
        <v>0.245</v>
      </c>
      <c r="J99">
        <v>0.04</v>
      </c>
    </row>
    <row r="100" spans="1:10" x14ac:dyDescent="0.25">
      <c r="A100">
        <v>2019</v>
      </c>
      <c r="B100">
        <v>99</v>
      </c>
      <c r="C100" t="s">
        <v>164</v>
      </c>
      <c r="D100">
        <v>4.944</v>
      </c>
      <c r="E100">
        <v>0.56899999999999995</v>
      </c>
      <c r="F100">
        <v>0.80800000000000005</v>
      </c>
      <c r="G100">
        <v>0.23200000000000001</v>
      </c>
      <c r="H100">
        <v>0.35199999999999998</v>
      </c>
      <c r="I100">
        <v>0.154</v>
      </c>
      <c r="J100">
        <v>0.09</v>
      </c>
    </row>
    <row r="101" spans="1:10" x14ac:dyDescent="0.25">
      <c r="A101">
        <v>2019</v>
      </c>
      <c r="B101">
        <v>100</v>
      </c>
      <c r="C101" t="s">
        <v>134</v>
      </c>
      <c r="D101">
        <v>4.9130000000000003</v>
      </c>
      <c r="E101">
        <v>0.44600000000000001</v>
      </c>
      <c r="F101">
        <v>1.226</v>
      </c>
      <c r="G101">
        <v>0.67700000000000005</v>
      </c>
      <c r="H101">
        <v>0.439</v>
      </c>
      <c r="I101">
        <v>0.28499999999999998</v>
      </c>
      <c r="J101">
        <v>8.8999999999999996E-2</v>
      </c>
    </row>
    <row r="102" spans="1:10" x14ac:dyDescent="0.25">
      <c r="A102">
        <v>2019</v>
      </c>
      <c r="B102">
        <v>101</v>
      </c>
      <c r="C102" t="s">
        <v>95</v>
      </c>
      <c r="D102">
        <v>4.9059999999999997</v>
      </c>
      <c r="E102">
        <v>0.83699999999999997</v>
      </c>
      <c r="F102">
        <v>1.2250000000000001</v>
      </c>
      <c r="G102">
        <v>0.81499999999999995</v>
      </c>
      <c r="H102">
        <v>0.38300000000000001</v>
      </c>
      <c r="I102">
        <v>0.11</v>
      </c>
      <c r="J102">
        <v>0.13</v>
      </c>
    </row>
    <row r="103" spans="1:10" x14ac:dyDescent="0.25">
      <c r="A103">
        <v>2019</v>
      </c>
      <c r="B103">
        <v>102</v>
      </c>
      <c r="C103" t="s">
        <v>168</v>
      </c>
      <c r="D103">
        <v>4.883</v>
      </c>
      <c r="E103">
        <v>0.39300000000000002</v>
      </c>
      <c r="F103">
        <v>0.437</v>
      </c>
      <c r="G103">
        <v>0.39700000000000002</v>
      </c>
      <c r="H103">
        <v>0.34899999999999998</v>
      </c>
      <c r="I103">
        <v>0.17499999999999999</v>
      </c>
      <c r="J103">
        <v>8.2000000000000003E-2</v>
      </c>
    </row>
    <row r="104" spans="1:10" x14ac:dyDescent="0.25">
      <c r="A104">
        <v>2019</v>
      </c>
      <c r="B104">
        <v>103</v>
      </c>
      <c r="C104" t="s">
        <v>152</v>
      </c>
      <c r="D104">
        <v>4.8120000000000003</v>
      </c>
      <c r="E104">
        <v>0.67300000000000004</v>
      </c>
      <c r="F104">
        <v>0.79900000000000004</v>
      </c>
      <c r="G104">
        <v>0.50800000000000001</v>
      </c>
      <c r="H104">
        <v>0.372</v>
      </c>
      <c r="I104">
        <v>0.105</v>
      </c>
      <c r="J104">
        <v>9.2999999999999999E-2</v>
      </c>
    </row>
    <row r="105" spans="1:10" x14ac:dyDescent="0.25">
      <c r="A105">
        <v>2019</v>
      </c>
      <c r="B105">
        <v>104</v>
      </c>
      <c r="C105" t="s">
        <v>156</v>
      </c>
      <c r="D105">
        <v>4.7990000000000004</v>
      </c>
      <c r="E105">
        <v>1.0569999999999999</v>
      </c>
      <c r="F105">
        <v>1.1830000000000001</v>
      </c>
      <c r="G105">
        <v>0.57099999999999995</v>
      </c>
      <c r="H105">
        <v>0.29499999999999998</v>
      </c>
      <c r="I105">
        <v>4.2999999999999997E-2</v>
      </c>
      <c r="J105">
        <v>5.5E-2</v>
      </c>
    </row>
    <row r="106" spans="1:10" x14ac:dyDescent="0.25">
      <c r="A106">
        <v>2019</v>
      </c>
      <c r="B106">
        <v>105</v>
      </c>
      <c r="C106" t="s">
        <v>112</v>
      </c>
      <c r="D106">
        <v>4.7960000000000003</v>
      </c>
      <c r="E106">
        <v>0.76400000000000001</v>
      </c>
      <c r="F106">
        <v>1.03</v>
      </c>
      <c r="G106">
        <v>0.55100000000000005</v>
      </c>
      <c r="H106">
        <v>0.54700000000000004</v>
      </c>
      <c r="I106">
        <v>0.26600000000000001</v>
      </c>
      <c r="J106">
        <v>0.16400000000000001</v>
      </c>
    </row>
    <row r="107" spans="1:10" x14ac:dyDescent="0.25">
      <c r="A107">
        <v>2019</v>
      </c>
      <c r="B107">
        <v>106</v>
      </c>
      <c r="C107" t="s">
        <v>126</v>
      </c>
      <c r="D107">
        <v>4.7220000000000004</v>
      </c>
      <c r="E107">
        <v>0.96</v>
      </c>
      <c r="F107">
        <v>1.351</v>
      </c>
      <c r="G107">
        <v>0.46899999999999997</v>
      </c>
      <c r="H107">
        <v>0.38900000000000001</v>
      </c>
      <c r="I107">
        <v>0.13</v>
      </c>
      <c r="J107">
        <v>5.5E-2</v>
      </c>
    </row>
    <row r="108" spans="1:10" x14ac:dyDescent="0.25">
      <c r="A108">
        <v>2019</v>
      </c>
      <c r="B108">
        <v>107</v>
      </c>
      <c r="C108" t="s">
        <v>108</v>
      </c>
      <c r="D108">
        <v>4.7190000000000003</v>
      </c>
      <c r="E108">
        <v>0.94699999999999995</v>
      </c>
      <c r="F108">
        <v>0.84799999999999998</v>
      </c>
      <c r="G108">
        <v>0.874</v>
      </c>
      <c r="H108">
        <v>0.38300000000000001</v>
      </c>
      <c r="I108">
        <v>0.17799999999999999</v>
      </c>
      <c r="J108">
        <v>2.7E-2</v>
      </c>
    </row>
    <row r="109" spans="1:10" x14ac:dyDescent="0.25">
      <c r="A109">
        <v>2019</v>
      </c>
      <c r="B109">
        <v>108</v>
      </c>
      <c r="C109" t="s">
        <v>31</v>
      </c>
      <c r="D109">
        <v>4.7069999999999999</v>
      </c>
      <c r="E109">
        <v>0.96</v>
      </c>
      <c r="F109">
        <v>1.427</v>
      </c>
      <c r="G109">
        <v>0.80500000000000005</v>
      </c>
      <c r="H109">
        <v>0.154</v>
      </c>
      <c r="I109">
        <v>6.4000000000000001E-2</v>
      </c>
      <c r="J109">
        <v>4.7E-2</v>
      </c>
    </row>
    <row r="110" spans="1:10" x14ac:dyDescent="0.25">
      <c r="A110">
        <v>2019</v>
      </c>
      <c r="B110">
        <v>109</v>
      </c>
      <c r="C110" t="s">
        <v>158</v>
      </c>
      <c r="D110">
        <v>4.7</v>
      </c>
      <c r="E110">
        <v>0.57399999999999995</v>
      </c>
      <c r="F110">
        <v>1.1220000000000001</v>
      </c>
      <c r="G110">
        <v>0.63700000000000001</v>
      </c>
      <c r="H110">
        <v>0.60899999999999999</v>
      </c>
      <c r="I110">
        <v>0.23200000000000001</v>
      </c>
      <c r="J110">
        <v>6.2E-2</v>
      </c>
    </row>
    <row r="111" spans="1:10" x14ac:dyDescent="0.25">
      <c r="A111">
        <v>2019</v>
      </c>
      <c r="B111">
        <v>110</v>
      </c>
      <c r="C111" t="s">
        <v>121</v>
      </c>
      <c r="D111">
        <v>4.6959999999999997</v>
      </c>
      <c r="E111">
        <v>0.65700000000000003</v>
      </c>
      <c r="F111">
        <v>1.2470000000000001</v>
      </c>
      <c r="G111">
        <v>0.67200000000000004</v>
      </c>
      <c r="H111">
        <v>0.22500000000000001</v>
      </c>
      <c r="I111">
        <v>0.10299999999999999</v>
      </c>
      <c r="J111">
        <v>6.6000000000000003E-2</v>
      </c>
    </row>
    <row r="112" spans="1:10" x14ac:dyDescent="0.25">
      <c r="A112">
        <v>2019</v>
      </c>
      <c r="B112">
        <v>111</v>
      </c>
      <c r="C112" t="s">
        <v>155</v>
      </c>
      <c r="D112">
        <v>4.681</v>
      </c>
      <c r="E112">
        <v>0.45</v>
      </c>
      <c r="F112">
        <v>1.1339999999999999</v>
      </c>
      <c r="G112">
        <v>0.57099999999999995</v>
      </c>
      <c r="H112">
        <v>0.29199999999999998</v>
      </c>
      <c r="I112">
        <v>0.153</v>
      </c>
      <c r="J112">
        <v>7.1999999999999995E-2</v>
      </c>
    </row>
    <row r="113" spans="1:10" x14ac:dyDescent="0.25">
      <c r="A113">
        <v>2019</v>
      </c>
      <c r="B113">
        <v>112</v>
      </c>
      <c r="C113" t="s">
        <v>175</v>
      </c>
      <c r="D113">
        <v>4.6680000000000001</v>
      </c>
      <c r="E113">
        <v>0</v>
      </c>
      <c r="F113">
        <v>0.69799999999999995</v>
      </c>
      <c r="G113">
        <v>0.26800000000000002</v>
      </c>
      <c r="H113">
        <v>0.55900000000000005</v>
      </c>
      <c r="I113">
        <v>0.24299999999999999</v>
      </c>
      <c r="J113">
        <v>0.27</v>
      </c>
    </row>
    <row r="114" spans="1:10" x14ac:dyDescent="0.25">
      <c r="A114">
        <v>2019</v>
      </c>
      <c r="B114">
        <v>113</v>
      </c>
      <c r="C114" t="s">
        <v>177</v>
      </c>
      <c r="D114">
        <v>4.6390000000000002</v>
      </c>
      <c r="E114">
        <v>0.879</v>
      </c>
      <c r="F114">
        <v>1.3129999999999999</v>
      </c>
      <c r="G114">
        <v>0.47699999999999998</v>
      </c>
      <c r="H114">
        <v>0.40100000000000002</v>
      </c>
      <c r="I114">
        <v>7.0000000000000007E-2</v>
      </c>
      <c r="J114">
        <v>5.6000000000000001E-2</v>
      </c>
    </row>
    <row r="115" spans="1:10" x14ac:dyDescent="0.25">
      <c r="A115">
        <v>2019</v>
      </c>
      <c r="B115">
        <v>114</v>
      </c>
      <c r="C115" t="s">
        <v>157</v>
      </c>
      <c r="D115">
        <v>4.6280000000000001</v>
      </c>
      <c r="E115">
        <v>0.13800000000000001</v>
      </c>
      <c r="F115">
        <v>0.77400000000000002</v>
      </c>
      <c r="G115">
        <v>0.36599999999999999</v>
      </c>
      <c r="H115">
        <v>0.318</v>
      </c>
      <c r="I115">
        <v>0.188</v>
      </c>
      <c r="J115">
        <v>0.10199999999999999</v>
      </c>
    </row>
    <row r="116" spans="1:10" x14ac:dyDescent="0.25">
      <c r="A116">
        <v>2019</v>
      </c>
      <c r="B116">
        <v>115</v>
      </c>
      <c r="C116" t="s">
        <v>165</v>
      </c>
      <c r="D116">
        <v>4.5869999999999997</v>
      </c>
      <c r="E116">
        <v>0.33100000000000002</v>
      </c>
      <c r="F116">
        <v>1.056</v>
      </c>
      <c r="G116">
        <v>0.38</v>
      </c>
      <c r="H116">
        <v>0.255</v>
      </c>
      <c r="I116">
        <v>0.17699999999999999</v>
      </c>
      <c r="J116">
        <v>0.113</v>
      </c>
    </row>
    <row r="117" spans="1:10" x14ac:dyDescent="0.25">
      <c r="A117">
        <v>2019</v>
      </c>
      <c r="B117">
        <v>116</v>
      </c>
      <c r="C117" t="s">
        <v>140</v>
      </c>
      <c r="D117">
        <v>4.5590000000000002</v>
      </c>
      <c r="E117">
        <v>0.85</v>
      </c>
      <c r="F117">
        <v>1.0549999999999999</v>
      </c>
      <c r="G117">
        <v>0.81499999999999995</v>
      </c>
      <c r="H117">
        <v>0.28299999999999997</v>
      </c>
      <c r="I117">
        <v>9.5000000000000001E-2</v>
      </c>
      <c r="J117">
        <v>6.4000000000000001E-2</v>
      </c>
    </row>
    <row r="118" spans="1:10" x14ac:dyDescent="0.25">
      <c r="A118">
        <v>2019</v>
      </c>
      <c r="B118">
        <v>117</v>
      </c>
      <c r="C118" t="s">
        <v>123</v>
      </c>
      <c r="D118">
        <v>4.548</v>
      </c>
      <c r="E118">
        <v>1.1000000000000001</v>
      </c>
      <c r="F118">
        <v>0.84199999999999997</v>
      </c>
      <c r="G118">
        <v>0.78500000000000003</v>
      </c>
      <c r="H118">
        <v>0.30499999999999999</v>
      </c>
      <c r="I118">
        <v>0.27</v>
      </c>
      <c r="J118">
        <v>0.125</v>
      </c>
    </row>
    <row r="119" spans="1:10" x14ac:dyDescent="0.25">
      <c r="A119">
        <v>2019</v>
      </c>
      <c r="B119">
        <v>118</v>
      </c>
      <c r="C119" t="s">
        <v>163</v>
      </c>
      <c r="D119">
        <v>4.5339999999999998</v>
      </c>
      <c r="E119">
        <v>0.38</v>
      </c>
      <c r="F119">
        <v>0.82899999999999996</v>
      </c>
      <c r="G119">
        <v>0.375</v>
      </c>
      <c r="H119">
        <v>0.33200000000000002</v>
      </c>
      <c r="I119">
        <v>0.20699999999999999</v>
      </c>
      <c r="J119">
        <v>8.5999999999999993E-2</v>
      </c>
    </row>
    <row r="120" spans="1:10" x14ac:dyDescent="0.25">
      <c r="A120">
        <v>2019</v>
      </c>
      <c r="B120">
        <v>119</v>
      </c>
      <c r="C120" t="s">
        <v>143</v>
      </c>
      <c r="D120">
        <v>4.5190000000000001</v>
      </c>
      <c r="E120">
        <v>0.88600000000000001</v>
      </c>
      <c r="F120">
        <v>0.66600000000000004</v>
      </c>
      <c r="G120">
        <v>0.752</v>
      </c>
      <c r="H120">
        <v>0.34599999999999997</v>
      </c>
      <c r="I120">
        <v>4.2999999999999997E-2</v>
      </c>
      <c r="J120">
        <v>0.16400000000000001</v>
      </c>
    </row>
    <row r="121" spans="1:10" x14ac:dyDescent="0.25">
      <c r="A121">
        <v>2019</v>
      </c>
      <c r="B121">
        <v>120</v>
      </c>
      <c r="C121" t="s">
        <v>295</v>
      </c>
      <c r="D121">
        <v>4.516</v>
      </c>
      <c r="E121">
        <v>0.308</v>
      </c>
      <c r="F121">
        <v>0.93899999999999995</v>
      </c>
      <c r="G121">
        <v>0.42799999999999999</v>
      </c>
      <c r="H121">
        <v>0.38200000000000001</v>
      </c>
      <c r="I121">
        <v>0.26900000000000002</v>
      </c>
      <c r="J121">
        <v>0.16700000000000001</v>
      </c>
    </row>
    <row r="122" spans="1:10" x14ac:dyDescent="0.25">
      <c r="A122">
        <v>2019</v>
      </c>
      <c r="B122">
        <v>121</v>
      </c>
      <c r="C122" t="s">
        <v>138</v>
      </c>
      <c r="D122">
        <v>4.5090000000000003</v>
      </c>
      <c r="E122">
        <v>0.51200000000000001</v>
      </c>
      <c r="F122">
        <v>0.98299999999999998</v>
      </c>
      <c r="G122">
        <v>0.58099999999999996</v>
      </c>
      <c r="H122">
        <v>0.43099999999999999</v>
      </c>
      <c r="I122">
        <v>0.372</v>
      </c>
      <c r="J122">
        <v>5.2999999999999999E-2</v>
      </c>
    </row>
    <row r="123" spans="1:10" x14ac:dyDescent="0.25">
      <c r="A123">
        <v>2019</v>
      </c>
      <c r="B123">
        <v>122</v>
      </c>
      <c r="C123" t="s">
        <v>137</v>
      </c>
      <c r="D123">
        <v>4.49</v>
      </c>
      <c r="E123">
        <v>0.56999999999999995</v>
      </c>
      <c r="F123">
        <v>1.167</v>
      </c>
      <c r="G123">
        <v>0.48899999999999999</v>
      </c>
      <c r="H123">
        <v>6.6000000000000003E-2</v>
      </c>
      <c r="I123">
        <v>0.106</v>
      </c>
      <c r="J123">
        <v>8.7999999999999995E-2</v>
      </c>
    </row>
    <row r="124" spans="1:10" x14ac:dyDescent="0.25">
      <c r="A124">
        <v>2019</v>
      </c>
      <c r="B124">
        <v>123</v>
      </c>
      <c r="C124" t="s">
        <v>107</v>
      </c>
      <c r="D124">
        <v>4.4660000000000002</v>
      </c>
      <c r="E124">
        <v>0.20399999999999999</v>
      </c>
      <c r="F124">
        <v>0.98599999999999999</v>
      </c>
      <c r="G124">
        <v>0.39</v>
      </c>
      <c r="H124">
        <v>0.49399999999999999</v>
      </c>
      <c r="I124">
        <v>0.19700000000000001</v>
      </c>
      <c r="J124">
        <v>0.13800000000000001</v>
      </c>
    </row>
    <row r="125" spans="1:10" x14ac:dyDescent="0.25">
      <c r="A125">
        <v>2019</v>
      </c>
      <c r="B125">
        <v>124</v>
      </c>
      <c r="C125" t="s">
        <v>120</v>
      </c>
      <c r="D125">
        <v>4.4610000000000003</v>
      </c>
      <c r="E125">
        <v>0.92100000000000004</v>
      </c>
      <c r="F125">
        <v>1</v>
      </c>
      <c r="G125">
        <v>0.81499999999999995</v>
      </c>
      <c r="H125">
        <v>0.16700000000000001</v>
      </c>
      <c r="I125">
        <v>5.8999999999999997E-2</v>
      </c>
      <c r="J125">
        <v>5.5E-2</v>
      </c>
    </row>
    <row r="126" spans="1:10" x14ac:dyDescent="0.25">
      <c r="A126">
        <v>2019</v>
      </c>
      <c r="B126">
        <v>125</v>
      </c>
      <c r="C126" t="s">
        <v>122</v>
      </c>
      <c r="D126">
        <v>4.4560000000000004</v>
      </c>
      <c r="E126">
        <v>0.56200000000000006</v>
      </c>
      <c r="F126">
        <v>0.92800000000000005</v>
      </c>
      <c r="G126">
        <v>0.72299999999999998</v>
      </c>
      <c r="H126">
        <v>0.52700000000000002</v>
      </c>
      <c r="I126">
        <v>0.16600000000000001</v>
      </c>
      <c r="J126">
        <v>0.14299999999999999</v>
      </c>
    </row>
    <row r="127" spans="1:10" x14ac:dyDescent="0.25">
      <c r="A127">
        <v>2019</v>
      </c>
      <c r="B127">
        <v>126</v>
      </c>
      <c r="C127" t="s">
        <v>125</v>
      </c>
      <c r="D127">
        <v>4.4370000000000003</v>
      </c>
      <c r="E127">
        <v>1.0429999999999999</v>
      </c>
      <c r="F127">
        <v>0.98</v>
      </c>
      <c r="G127">
        <v>0.57399999999999995</v>
      </c>
      <c r="H127">
        <v>0.24099999999999999</v>
      </c>
      <c r="I127">
        <v>0.14799999999999999</v>
      </c>
      <c r="J127">
        <v>8.8999999999999996E-2</v>
      </c>
    </row>
    <row r="128" spans="1:10" x14ac:dyDescent="0.25">
      <c r="A128">
        <v>2019</v>
      </c>
      <c r="B128">
        <v>127</v>
      </c>
      <c r="C128" t="s">
        <v>133</v>
      </c>
      <c r="D128">
        <v>4.4180000000000001</v>
      </c>
      <c r="E128">
        <v>9.4E-2</v>
      </c>
      <c r="F128">
        <v>1.125</v>
      </c>
      <c r="G128">
        <v>0.35699999999999998</v>
      </c>
      <c r="H128">
        <v>0.26900000000000002</v>
      </c>
      <c r="I128">
        <v>0.21199999999999999</v>
      </c>
      <c r="J128">
        <v>5.2999999999999999E-2</v>
      </c>
    </row>
    <row r="129" spans="1:10" x14ac:dyDescent="0.25">
      <c r="A129">
        <v>2019</v>
      </c>
      <c r="B129">
        <v>128</v>
      </c>
      <c r="C129" t="s">
        <v>151</v>
      </c>
      <c r="D129">
        <v>4.3899999999999997</v>
      </c>
      <c r="E129">
        <v>0.38500000000000001</v>
      </c>
      <c r="F129">
        <v>1.105</v>
      </c>
      <c r="G129">
        <v>0.308</v>
      </c>
      <c r="H129">
        <v>0.32700000000000001</v>
      </c>
      <c r="I129">
        <v>0.153</v>
      </c>
      <c r="J129">
        <v>5.1999999999999998E-2</v>
      </c>
    </row>
    <row r="130" spans="1:10" x14ac:dyDescent="0.25">
      <c r="A130">
        <v>2019</v>
      </c>
      <c r="B130">
        <v>129</v>
      </c>
      <c r="C130" t="s">
        <v>136</v>
      </c>
      <c r="D130">
        <v>4.3739999999999997</v>
      </c>
      <c r="E130">
        <v>0.26800000000000002</v>
      </c>
      <c r="F130">
        <v>0.84099999999999997</v>
      </c>
      <c r="G130">
        <v>0.24199999999999999</v>
      </c>
      <c r="H130">
        <v>0.309</v>
      </c>
      <c r="I130">
        <v>0.252</v>
      </c>
      <c r="J130">
        <v>4.4999999999999998E-2</v>
      </c>
    </row>
    <row r="131" spans="1:10" x14ac:dyDescent="0.25">
      <c r="A131">
        <v>2019</v>
      </c>
      <c r="B131">
        <v>130</v>
      </c>
      <c r="C131" t="s">
        <v>145</v>
      </c>
      <c r="D131">
        <v>4.3659999999999997</v>
      </c>
      <c r="E131">
        <v>0.94899999999999995</v>
      </c>
      <c r="F131">
        <v>1.2649999999999999</v>
      </c>
      <c r="G131">
        <v>0.83099999999999996</v>
      </c>
      <c r="H131">
        <v>0.47</v>
      </c>
      <c r="I131">
        <v>0.24399999999999999</v>
      </c>
      <c r="J131">
        <v>4.7E-2</v>
      </c>
    </row>
    <row r="132" spans="1:10" x14ac:dyDescent="0.25">
      <c r="A132">
        <v>2019</v>
      </c>
      <c r="B132">
        <v>131</v>
      </c>
      <c r="C132" t="s">
        <v>142</v>
      </c>
      <c r="D132">
        <v>4.3600000000000003</v>
      </c>
      <c r="E132">
        <v>0.71</v>
      </c>
      <c r="F132">
        <v>1.181</v>
      </c>
      <c r="G132">
        <v>0.55500000000000005</v>
      </c>
      <c r="H132">
        <v>0.52500000000000002</v>
      </c>
      <c r="I132">
        <v>0.56599999999999995</v>
      </c>
      <c r="J132">
        <v>0.17199999999999999</v>
      </c>
    </row>
    <row r="133" spans="1:10" x14ac:dyDescent="0.25">
      <c r="A133">
        <v>2019</v>
      </c>
      <c r="B133">
        <v>132</v>
      </c>
      <c r="C133" t="s">
        <v>162</v>
      </c>
      <c r="D133">
        <v>4.3499999999999996</v>
      </c>
      <c r="E133">
        <v>0.35</v>
      </c>
      <c r="F133">
        <v>0.76600000000000001</v>
      </c>
      <c r="G133">
        <v>0.192</v>
      </c>
      <c r="H133">
        <v>0.17399999999999999</v>
      </c>
      <c r="I133">
        <v>0.19800000000000001</v>
      </c>
      <c r="J133">
        <v>7.8E-2</v>
      </c>
    </row>
    <row r="134" spans="1:10" x14ac:dyDescent="0.25">
      <c r="A134">
        <v>2019</v>
      </c>
      <c r="B134">
        <v>133</v>
      </c>
      <c r="C134" t="s">
        <v>124</v>
      </c>
      <c r="D134">
        <v>4.3319999999999999</v>
      </c>
      <c r="E134">
        <v>0.82</v>
      </c>
      <c r="F134">
        <v>1.39</v>
      </c>
      <c r="G134">
        <v>0.73899999999999999</v>
      </c>
      <c r="H134">
        <v>0.17799999999999999</v>
      </c>
      <c r="I134">
        <v>0.187</v>
      </c>
      <c r="J134">
        <v>0.01</v>
      </c>
    </row>
    <row r="135" spans="1:10" x14ac:dyDescent="0.25">
      <c r="A135">
        <v>2019</v>
      </c>
      <c r="B135">
        <v>134</v>
      </c>
      <c r="C135" t="s">
        <v>135</v>
      </c>
      <c r="D135">
        <v>4.2859999999999996</v>
      </c>
      <c r="E135">
        <v>0.33600000000000002</v>
      </c>
      <c r="F135">
        <v>1.0329999999999999</v>
      </c>
      <c r="G135">
        <v>0.53200000000000003</v>
      </c>
      <c r="H135">
        <v>0.34399999999999997</v>
      </c>
      <c r="I135">
        <v>0.20899999999999999</v>
      </c>
      <c r="J135">
        <v>0.1</v>
      </c>
    </row>
    <row r="136" spans="1:10" x14ac:dyDescent="0.25">
      <c r="A136">
        <v>2019</v>
      </c>
      <c r="B136">
        <v>135</v>
      </c>
      <c r="C136" t="s">
        <v>114</v>
      </c>
      <c r="D136">
        <v>4.2119999999999997</v>
      </c>
      <c r="E136">
        <v>0.81100000000000005</v>
      </c>
      <c r="F136">
        <v>1.149</v>
      </c>
      <c r="G136">
        <v>0</v>
      </c>
      <c r="H136">
        <v>0.313</v>
      </c>
      <c r="I136">
        <v>7.3999999999999996E-2</v>
      </c>
      <c r="J136">
        <v>0.13500000000000001</v>
      </c>
    </row>
    <row r="137" spans="1:10" x14ac:dyDescent="0.25">
      <c r="A137">
        <v>2019</v>
      </c>
      <c r="B137">
        <v>136</v>
      </c>
      <c r="C137" t="s">
        <v>154</v>
      </c>
      <c r="D137">
        <v>4.1890000000000001</v>
      </c>
      <c r="E137">
        <v>0.33200000000000002</v>
      </c>
      <c r="F137">
        <v>1.069</v>
      </c>
      <c r="G137">
        <v>0.443</v>
      </c>
      <c r="H137">
        <v>0.35599999999999998</v>
      </c>
      <c r="I137">
        <v>0.252</v>
      </c>
      <c r="J137">
        <v>0.06</v>
      </c>
    </row>
    <row r="138" spans="1:10" x14ac:dyDescent="0.25">
      <c r="A138">
        <v>2019</v>
      </c>
      <c r="B138">
        <v>137</v>
      </c>
      <c r="C138" t="s">
        <v>148</v>
      </c>
      <c r="D138">
        <v>4.1660000000000004</v>
      </c>
      <c r="E138">
        <v>0.91300000000000003</v>
      </c>
      <c r="F138">
        <v>1.0389999999999999</v>
      </c>
      <c r="G138">
        <v>0.64400000000000002</v>
      </c>
      <c r="H138">
        <v>0.24099999999999999</v>
      </c>
      <c r="I138">
        <v>7.5999999999999998E-2</v>
      </c>
      <c r="J138">
        <v>6.7000000000000004E-2</v>
      </c>
    </row>
    <row r="139" spans="1:10" x14ac:dyDescent="0.25">
      <c r="A139">
        <v>2019</v>
      </c>
      <c r="B139">
        <v>138</v>
      </c>
      <c r="C139" t="s">
        <v>98</v>
      </c>
      <c r="D139">
        <v>4.1070000000000002</v>
      </c>
      <c r="E139">
        <v>0.57799999999999996</v>
      </c>
      <c r="F139">
        <v>1.0580000000000001</v>
      </c>
      <c r="G139">
        <v>0.42599999999999999</v>
      </c>
      <c r="H139">
        <v>0.43099999999999999</v>
      </c>
      <c r="I139">
        <v>0.247</v>
      </c>
      <c r="J139">
        <v>8.6999999999999994E-2</v>
      </c>
    </row>
    <row r="140" spans="1:10" x14ac:dyDescent="0.25">
      <c r="A140">
        <v>2019</v>
      </c>
      <c r="B140">
        <v>139</v>
      </c>
      <c r="C140" t="s">
        <v>171</v>
      </c>
      <c r="D140">
        <v>4.085</v>
      </c>
      <c r="E140">
        <v>0.27500000000000002</v>
      </c>
      <c r="F140">
        <v>0.57199999999999995</v>
      </c>
      <c r="G140">
        <v>0.41</v>
      </c>
      <c r="H140">
        <v>0.29299999999999998</v>
      </c>
      <c r="I140">
        <v>0.17699999999999999</v>
      </c>
      <c r="J140">
        <v>8.5000000000000006E-2</v>
      </c>
    </row>
    <row r="141" spans="1:10" x14ac:dyDescent="0.25">
      <c r="A141">
        <v>2019</v>
      </c>
      <c r="B141">
        <v>140</v>
      </c>
      <c r="C141" t="s">
        <v>130</v>
      </c>
      <c r="D141">
        <v>4.0149999999999997</v>
      </c>
      <c r="E141">
        <v>0.755</v>
      </c>
      <c r="F141">
        <v>0.76500000000000001</v>
      </c>
      <c r="G141">
        <v>0.58799999999999997</v>
      </c>
      <c r="H141">
        <v>0.498</v>
      </c>
      <c r="I141">
        <v>0.2</v>
      </c>
      <c r="J141">
        <v>8.5000000000000006E-2</v>
      </c>
    </row>
    <row r="142" spans="1:10" x14ac:dyDescent="0.25">
      <c r="A142">
        <v>2019</v>
      </c>
      <c r="B142">
        <v>141</v>
      </c>
      <c r="C142" t="s">
        <v>129</v>
      </c>
      <c r="D142">
        <v>3.9750000000000001</v>
      </c>
      <c r="E142">
        <v>7.2999999999999995E-2</v>
      </c>
      <c r="F142">
        <v>0.92200000000000004</v>
      </c>
      <c r="G142">
        <v>0.443</v>
      </c>
      <c r="H142">
        <v>0.37</v>
      </c>
      <c r="I142">
        <v>0.23300000000000001</v>
      </c>
      <c r="J142">
        <v>3.3000000000000002E-2</v>
      </c>
    </row>
    <row r="143" spans="1:10" x14ac:dyDescent="0.25">
      <c r="A143">
        <v>2019</v>
      </c>
      <c r="B143">
        <v>142</v>
      </c>
      <c r="C143" t="s">
        <v>153</v>
      </c>
      <c r="D143">
        <v>3.9729999999999999</v>
      </c>
      <c r="E143">
        <v>0.27400000000000002</v>
      </c>
      <c r="F143">
        <v>0.75700000000000001</v>
      </c>
      <c r="G143">
        <v>0.505</v>
      </c>
      <c r="H143">
        <v>0.14199999999999999</v>
      </c>
      <c r="I143">
        <v>0.27500000000000002</v>
      </c>
      <c r="J143">
        <v>7.8E-2</v>
      </c>
    </row>
    <row r="144" spans="1:10" x14ac:dyDescent="0.25">
      <c r="A144">
        <v>2019</v>
      </c>
      <c r="B144">
        <v>143</v>
      </c>
      <c r="C144" t="s">
        <v>160</v>
      </c>
      <c r="D144">
        <v>3.9329999999999998</v>
      </c>
      <c r="E144">
        <v>0.27400000000000002</v>
      </c>
      <c r="F144">
        <v>0.91600000000000004</v>
      </c>
      <c r="G144">
        <v>0.55500000000000005</v>
      </c>
      <c r="H144">
        <v>0.14799999999999999</v>
      </c>
      <c r="I144">
        <v>0.16900000000000001</v>
      </c>
      <c r="J144">
        <v>4.1000000000000002E-2</v>
      </c>
    </row>
    <row r="145" spans="1:10" x14ac:dyDescent="0.25">
      <c r="A145">
        <v>2019</v>
      </c>
      <c r="B145">
        <v>144</v>
      </c>
      <c r="C145" t="s">
        <v>110</v>
      </c>
      <c r="D145">
        <v>3.802</v>
      </c>
      <c r="E145">
        <v>0.48899999999999999</v>
      </c>
      <c r="F145">
        <v>1.169</v>
      </c>
      <c r="G145">
        <v>0.16800000000000001</v>
      </c>
      <c r="H145">
        <v>0.35899999999999999</v>
      </c>
      <c r="I145">
        <v>0.107</v>
      </c>
      <c r="J145">
        <v>9.2999999999999999E-2</v>
      </c>
    </row>
    <row r="146" spans="1:10" x14ac:dyDescent="0.25">
      <c r="A146">
        <v>2019</v>
      </c>
      <c r="B146">
        <v>145</v>
      </c>
      <c r="C146" t="s">
        <v>170</v>
      </c>
      <c r="D146">
        <v>3.7749999999999999</v>
      </c>
      <c r="E146">
        <v>4.5999999999999999E-2</v>
      </c>
      <c r="F146">
        <v>0.44700000000000001</v>
      </c>
      <c r="G146">
        <v>0.38</v>
      </c>
      <c r="H146">
        <v>0.22</v>
      </c>
      <c r="I146">
        <v>0.17599999999999999</v>
      </c>
      <c r="J146">
        <v>0.18</v>
      </c>
    </row>
    <row r="147" spans="1:10" x14ac:dyDescent="0.25">
      <c r="A147">
        <v>2019</v>
      </c>
      <c r="B147">
        <v>146</v>
      </c>
      <c r="C147" t="s">
        <v>128</v>
      </c>
      <c r="D147">
        <v>3.6629999999999998</v>
      </c>
      <c r="E147">
        <v>0.36599999999999999</v>
      </c>
      <c r="F147">
        <v>1.1140000000000001</v>
      </c>
      <c r="G147">
        <v>0.433</v>
      </c>
      <c r="H147">
        <v>0.36099999999999999</v>
      </c>
      <c r="I147">
        <v>0.151</v>
      </c>
      <c r="J147">
        <v>8.8999999999999996E-2</v>
      </c>
    </row>
    <row r="148" spans="1:10" x14ac:dyDescent="0.25">
      <c r="A148">
        <v>2019</v>
      </c>
      <c r="B148">
        <v>147</v>
      </c>
      <c r="C148" t="s">
        <v>132</v>
      </c>
      <c r="D148">
        <v>3.597</v>
      </c>
      <c r="E148">
        <v>0.32300000000000001</v>
      </c>
      <c r="F148">
        <v>0.68799999999999994</v>
      </c>
      <c r="G148">
        <v>0.44900000000000001</v>
      </c>
      <c r="H148">
        <v>2.5999999999999999E-2</v>
      </c>
      <c r="I148">
        <v>0.41899999999999998</v>
      </c>
      <c r="J148">
        <v>0.11</v>
      </c>
    </row>
    <row r="149" spans="1:10" x14ac:dyDescent="0.25">
      <c r="A149">
        <v>2019</v>
      </c>
      <c r="B149">
        <v>148</v>
      </c>
      <c r="C149" t="s">
        <v>141</v>
      </c>
      <c r="D149">
        <v>3.488</v>
      </c>
      <c r="E149">
        <v>1.0409999999999999</v>
      </c>
      <c r="F149">
        <v>1.145</v>
      </c>
      <c r="G149">
        <v>0.53800000000000003</v>
      </c>
      <c r="H149">
        <v>0.45500000000000002</v>
      </c>
      <c r="I149">
        <v>2.5000000000000001E-2</v>
      </c>
      <c r="J149">
        <v>0.1</v>
      </c>
    </row>
    <row r="150" spans="1:10" x14ac:dyDescent="0.25">
      <c r="A150">
        <v>2019</v>
      </c>
      <c r="B150">
        <v>149</v>
      </c>
      <c r="C150" t="s">
        <v>169</v>
      </c>
      <c r="D150">
        <v>3.4620000000000002</v>
      </c>
      <c r="E150">
        <v>0.61899999999999999</v>
      </c>
      <c r="F150">
        <v>0.378</v>
      </c>
      <c r="G150">
        <v>0.44</v>
      </c>
      <c r="H150">
        <v>1.2999999999999999E-2</v>
      </c>
      <c r="I150">
        <v>0.33100000000000002</v>
      </c>
      <c r="J150">
        <v>0.14099999999999999</v>
      </c>
    </row>
    <row r="151" spans="1:10" x14ac:dyDescent="0.25">
      <c r="A151">
        <v>2019</v>
      </c>
      <c r="B151">
        <v>150</v>
      </c>
      <c r="C151" t="s">
        <v>144</v>
      </c>
      <c r="D151">
        <v>3.41</v>
      </c>
      <c r="E151">
        <v>0.191</v>
      </c>
      <c r="F151">
        <v>0.56000000000000005</v>
      </c>
      <c r="G151">
        <v>0.495</v>
      </c>
      <c r="H151">
        <v>0.443</v>
      </c>
      <c r="I151">
        <v>0.218</v>
      </c>
      <c r="J151">
        <v>8.8999999999999996E-2</v>
      </c>
    </row>
    <row r="152" spans="1:10" x14ac:dyDescent="0.25">
      <c r="A152">
        <v>2019</v>
      </c>
      <c r="B152">
        <v>151</v>
      </c>
      <c r="C152" t="s">
        <v>149</v>
      </c>
      <c r="D152">
        <v>3.38</v>
      </c>
      <c r="E152">
        <v>0.28699999999999998</v>
      </c>
      <c r="F152">
        <v>1.163</v>
      </c>
      <c r="G152">
        <v>0.46300000000000002</v>
      </c>
      <c r="H152">
        <v>0.14299999999999999</v>
      </c>
      <c r="I152">
        <v>0.108</v>
      </c>
      <c r="J152">
        <v>7.6999999999999999E-2</v>
      </c>
    </row>
    <row r="153" spans="1:10" x14ac:dyDescent="0.25">
      <c r="A153">
        <v>2019</v>
      </c>
      <c r="B153">
        <v>152</v>
      </c>
      <c r="C153" t="s">
        <v>167</v>
      </c>
      <c r="D153">
        <v>3.3340000000000001</v>
      </c>
      <c r="E153">
        <v>0.35899999999999999</v>
      </c>
      <c r="F153">
        <v>0.71099999999999997</v>
      </c>
      <c r="G153">
        <v>0.61399999999999999</v>
      </c>
      <c r="H153">
        <v>0.55500000000000005</v>
      </c>
      <c r="I153">
        <v>0.217</v>
      </c>
      <c r="J153">
        <v>0.41099999999999998</v>
      </c>
    </row>
    <row r="154" spans="1:10" x14ac:dyDescent="0.25">
      <c r="A154">
        <v>2019</v>
      </c>
      <c r="B154">
        <v>153</v>
      </c>
      <c r="C154" t="s">
        <v>159</v>
      </c>
      <c r="D154">
        <v>3.2309999999999999</v>
      </c>
      <c r="E154">
        <v>0.47599999999999998</v>
      </c>
      <c r="F154">
        <v>0.88500000000000001</v>
      </c>
      <c r="G154">
        <v>0.499</v>
      </c>
      <c r="H154">
        <v>0.41699999999999998</v>
      </c>
      <c r="I154">
        <v>0.27600000000000002</v>
      </c>
      <c r="J154">
        <v>0.14699999999999999</v>
      </c>
    </row>
    <row r="155" spans="1:10" x14ac:dyDescent="0.25">
      <c r="A155">
        <v>2019</v>
      </c>
      <c r="B155">
        <v>154</v>
      </c>
      <c r="C155" t="s">
        <v>166</v>
      </c>
      <c r="D155">
        <v>3.2029999999999998</v>
      </c>
      <c r="E155">
        <v>0.35</v>
      </c>
      <c r="F155">
        <v>0.51700000000000002</v>
      </c>
      <c r="G155">
        <v>0.36099999999999999</v>
      </c>
      <c r="H155">
        <v>0</v>
      </c>
      <c r="I155">
        <v>0.158</v>
      </c>
      <c r="J155">
        <v>2.5000000000000001E-2</v>
      </c>
    </row>
    <row r="156" spans="1:10" x14ac:dyDescent="0.25">
      <c r="A156">
        <v>2019</v>
      </c>
      <c r="B156">
        <v>155</v>
      </c>
      <c r="C156" t="s">
        <v>161</v>
      </c>
      <c r="D156">
        <v>3.0830000000000002</v>
      </c>
      <c r="E156">
        <v>2.5999999999999999E-2</v>
      </c>
      <c r="F156">
        <v>0</v>
      </c>
      <c r="G156">
        <v>0.105</v>
      </c>
      <c r="H156">
        <v>0.22500000000000001</v>
      </c>
      <c r="I156">
        <v>0.23499999999999999</v>
      </c>
      <c r="J156">
        <v>3.5000000000000003E-2</v>
      </c>
    </row>
    <row r="157" spans="1:10" x14ac:dyDescent="0.25">
      <c r="A157">
        <v>2019</v>
      </c>
      <c r="B157">
        <v>156</v>
      </c>
      <c r="C157" t="s">
        <v>178</v>
      </c>
      <c r="D157">
        <v>2.8530000000000002</v>
      </c>
      <c r="E157">
        <v>0.30599999999999999</v>
      </c>
      <c r="F157">
        <v>0.57499999999999996</v>
      </c>
      <c r="G157">
        <v>0.29499999999999998</v>
      </c>
      <c r="H157">
        <v>0.01</v>
      </c>
      <c r="I157">
        <v>0.20200000000000001</v>
      </c>
      <c r="J157">
        <v>9.0999999999999998E-2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6E2251-2B1D-4D31-BE84-8BEAB21840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top 10 happy countries</vt:lpstr>
      <vt:lpstr>top 10 sad countries</vt:lpstr>
      <vt:lpstr>Year Wise Average Hapiness Rate</vt:lpstr>
      <vt:lpstr>Country based analysis</vt:lpstr>
      <vt:lpstr>Sheet4</vt:lpstr>
      <vt:lpstr>Sheet5</vt:lpstr>
      <vt:lpstr>Combined_data</vt:lpstr>
      <vt:lpstr>2015</vt:lpstr>
      <vt:lpstr>2016</vt:lpstr>
      <vt:lpstr>2017</vt:lpstr>
      <vt:lpstr>2018</vt:lpstr>
      <vt:lpstr>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Nuzmol Islam Khan</dc:creator>
  <cp:lastModifiedBy>Md Nuzmol Islam Khan</cp:lastModifiedBy>
  <dcterms:created xsi:type="dcterms:W3CDTF">2026-07-29T08:20:34Z</dcterms:created>
  <dcterms:modified xsi:type="dcterms:W3CDTF">2026-08-01T10:51:15Z</dcterms:modified>
</cp:coreProperties>
</file>