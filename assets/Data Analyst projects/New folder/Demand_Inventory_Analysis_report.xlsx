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uzmo\Downloads\My Files\Data Analyst projects\New folder\"/>
    </mc:Choice>
  </mc:AlternateContent>
  <xr:revisionPtr revIDLastSave="0" documentId="8_{72E9C96B-A836-4FF6-BDE8-E55CFDB19B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1" r:id="rId1"/>
    <sheet name="Raw Data" sheetId="2" r:id="rId2"/>
    <sheet name="Planning Summary" sheetId="3" r:id="rId3"/>
    <sheet name="Project Guide" sheetId="4" r:id="rId4"/>
  </sheets>
  <definedNames>
    <definedName name="_xlnm._FilterDatabase" localSheetId="1" hidden="1">'Raw Data'!$A$1:$R$601</definedName>
    <definedName name="_xlchart.v1.0" hidden="1">'Planning Summary'!$A$14:$A$25</definedName>
    <definedName name="_xlchart.v1.1" hidden="1">'Planning Summary'!$B$13</definedName>
    <definedName name="_xlchart.v1.2" hidden="1">'Planning Summary'!$B$14:$B$25</definedName>
    <definedName name="_xlchart.v1.3" hidden="1">'Planning Summary'!$C$13</definedName>
    <definedName name="_xlchart.v1.4" hidden="1">'Planning Summary'!$C$14:$C$25</definedName>
    <definedName name="_xlchart.v1.5" hidden="1">'Planning Summary'!$D$13</definedName>
    <definedName name="_xlchart.v1.6" hidden="1">'Planning Summary'!$D$14:$D$25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R8" i="2"/>
  <c r="R2" i="2"/>
  <c r="B8" i="3"/>
  <c r="M6" i="1" s="1"/>
  <c r="B7" i="3"/>
  <c r="B6" i="3"/>
  <c r="B5" i="3"/>
  <c r="D6" i="1" s="1"/>
  <c r="B4" i="3"/>
  <c r="E38" i="3"/>
  <c r="C38" i="3"/>
  <c r="D38" i="3" s="1"/>
  <c r="B38" i="3"/>
  <c r="E37" i="3"/>
  <c r="C37" i="3"/>
  <c r="D37" i="3" s="1"/>
  <c r="B37" i="3"/>
  <c r="E36" i="3"/>
  <c r="C36" i="3"/>
  <c r="D36" i="3" s="1"/>
  <c r="B36" i="3"/>
  <c r="E35" i="3"/>
  <c r="C35" i="3"/>
  <c r="D35" i="3" s="1"/>
  <c r="B35" i="3"/>
  <c r="E34" i="3"/>
  <c r="C34" i="3"/>
  <c r="D34" i="3" s="1"/>
  <c r="B34" i="3"/>
  <c r="E33" i="3"/>
  <c r="C33" i="3"/>
  <c r="D33" i="3" s="1"/>
  <c r="B33" i="3"/>
  <c r="E32" i="3"/>
  <c r="C32" i="3"/>
  <c r="D32" i="3" s="1"/>
  <c r="B32" i="3"/>
  <c r="E31" i="3"/>
  <c r="C31" i="3"/>
  <c r="D31" i="3" s="1"/>
  <c r="B31" i="3"/>
  <c r="E30" i="3"/>
  <c r="C30" i="3"/>
  <c r="D30" i="3" s="1"/>
  <c r="B30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E14" i="3"/>
  <c r="D14" i="3"/>
  <c r="C14" i="3"/>
  <c r="B14" i="3"/>
  <c r="R601" i="2"/>
  <c r="Q601" i="2"/>
  <c r="P601" i="2"/>
  <c r="O601" i="2"/>
  <c r="N601" i="2"/>
  <c r="M601" i="2"/>
  <c r="R600" i="2"/>
  <c r="Q600" i="2"/>
  <c r="O600" i="2"/>
  <c r="N600" i="2"/>
  <c r="P600" i="2" s="1"/>
  <c r="M600" i="2"/>
  <c r="R599" i="2"/>
  <c r="Q599" i="2"/>
  <c r="P599" i="2"/>
  <c r="O599" i="2"/>
  <c r="N599" i="2"/>
  <c r="M599" i="2"/>
  <c r="R598" i="2"/>
  <c r="Q598" i="2"/>
  <c r="O598" i="2"/>
  <c r="N598" i="2"/>
  <c r="P598" i="2" s="1"/>
  <c r="M598" i="2"/>
  <c r="R597" i="2"/>
  <c r="Q597" i="2"/>
  <c r="P597" i="2"/>
  <c r="O597" i="2"/>
  <c r="N597" i="2"/>
  <c r="M597" i="2"/>
  <c r="R596" i="2"/>
  <c r="Q596" i="2"/>
  <c r="O596" i="2"/>
  <c r="N596" i="2"/>
  <c r="P596" i="2" s="1"/>
  <c r="M596" i="2"/>
  <c r="R595" i="2"/>
  <c r="Q595" i="2"/>
  <c r="P595" i="2"/>
  <c r="O595" i="2"/>
  <c r="N595" i="2"/>
  <c r="M595" i="2"/>
  <c r="R594" i="2"/>
  <c r="Q594" i="2"/>
  <c r="O594" i="2"/>
  <c r="N594" i="2"/>
  <c r="P594" i="2" s="1"/>
  <c r="M594" i="2"/>
  <c r="R593" i="2"/>
  <c r="Q593" i="2"/>
  <c r="P593" i="2"/>
  <c r="O593" i="2"/>
  <c r="N593" i="2"/>
  <c r="M593" i="2"/>
  <c r="R592" i="2"/>
  <c r="Q592" i="2"/>
  <c r="O592" i="2"/>
  <c r="N592" i="2"/>
  <c r="P592" i="2" s="1"/>
  <c r="M592" i="2"/>
  <c r="R591" i="2"/>
  <c r="Q591" i="2"/>
  <c r="P591" i="2"/>
  <c r="O591" i="2"/>
  <c r="N591" i="2"/>
  <c r="M591" i="2"/>
  <c r="R590" i="2"/>
  <c r="Q590" i="2"/>
  <c r="O590" i="2"/>
  <c r="N590" i="2"/>
  <c r="P590" i="2" s="1"/>
  <c r="M590" i="2"/>
  <c r="R589" i="2"/>
  <c r="Q589" i="2"/>
  <c r="P589" i="2"/>
  <c r="O589" i="2"/>
  <c r="N589" i="2"/>
  <c r="M589" i="2"/>
  <c r="R588" i="2"/>
  <c r="Q588" i="2"/>
  <c r="O588" i="2"/>
  <c r="N588" i="2"/>
  <c r="P588" i="2" s="1"/>
  <c r="M588" i="2"/>
  <c r="R587" i="2"/>
  <c r="Q587" i="2"/>
  <c r="P587" i="2"/>
  <c r="O587" i="2"/>
  <c r="N587" i="2"/>
  <c r="M587" i="2"/>
  <c r="R586" i="2"/>
  <c r="Q586" i="2"/>
  <c r="O586" i="2"/>
  <c r="N586" i="2"/>
  <c r="P586" i="2" s="1"/>
  <c r="M586" i="2"/>
  <c r="R585" i="2"/>
  <c r="Q585" i="2"/>
  <c r="P585" i="2"/>
  <c r="O585" i="2"/>
  <c r="N585" i="2"/>
  <c r="M585" i="2"/>
  <c r="R584" i="2"/>
  <c r="Q584" i="2"/>
  <c r="O584" i="2"/>
  <c r="N584" i="2"/>
  <c r="P584" i="2" s="1"/>
  <c r="M584" i="2"/>
  <c r="R583" i="2"/>
  <c r="Q583" i="2"/>
  <c r="P583" i="2"/>
  <c r="O583" i="2"/>
  <c r="N583" i="2"/>
  <c r="M583" i="2"/>
  <c r="R582" i="2"/>
  <c r="Q582" i="2"/>
  <c r="O582" i="2"/>
  <c r="N582" i="2"/>
  <c r="P582" i="2" s="1"/>
  <c r="M582" i="2"/>
  <c r="R581" i="2"/>
  <c r="Q581" i="2"/>
  <c r="P581" i="2"/>
  <c r="O581" i="2"/>
  <c r="N581" i="2"/>
  <c r="M581" i="2"/>
  <c r="R580" i="2"/>
  <c r="Q580" i="2"/>
  <c r="O580" i="2"/>
  <c r="N580" i="2"/>
  <c r="P580" i="2" s="1"/>
  <c r="M580" i="2"/>
  <c r="R579" i="2"/>
  <c r="Q579" i="2"/>
  <c r="P579" i="2"/>
  <c r="O579" i="2"/>
  <c r="N579" i="2"/>
  <c r="M579" i="2"/>
  <c r="R578" i="2"/>
  <c r="Q578" i="2"/>
  <c r="O578" i="2"/>
  <c r="N578" i="2"/>
  <c r="P578" i="2" s="1"/>
  <c r="M578" i="2"/>
  <c r="R577" i="2"/>
  <c r="Q577" i="2"/>
  <c r="P577" i="2"/>
  <c r="O577" i="2"/>
  <c r="N577" i="2"/>
  <c r="M577" i="2"/>
  <c r="R576" i="2"/>
  <c r="Q576" i="2"/>
  <c r="O576" i="2"/>
  <c r="N576" i="2"/>
  <c r="P576" i="2" s="1"/>
  <c r="M576" i="2"/>
  <c r="R575" i="2"/>
  <c r="Q575" i="2"/>
  <c r="P575" i="2"/>
  <c r="O575" i="2"/>
  <c r="N575" i="2"/>
  <c r="M575" i="2"/>
  <c r="R574" i="2"/>
  <c r="Q574" i="2"/>
  <c r="O574" i="2"/>
  <c r="N574" i="2"/>
  <c r="P574" i="2" s="1"/>
  <c r="M574" i="2"/>
  <c r="R573" i="2"/>
  <c r="Q573" i="2"/>
  <c r="P573" i="2"/>
  <c r="O573" i="2"/>
  <c r="N573" i="2"/>
  <c r="M573" i="2"/>
  <c r="R572" i="2"/>
  <c r="Q572" i="2"/>
  <c r="O572" i="2"/>
  <c r="N572" i="2"/>
  <c r="P572" i="2" s="1"/>
  <c r="M572" i="2"/>
  <c r="R571" i="2"/>
  <c r="Q571" i="2"/>
  <c r="P571" i="2"/>
  <c r="O571" i="2"/>
  <c r="N571" i="2"/>
  <c r="M571" i="2"/>
  <c r="R570" i="2"/>
  <c r="Q570" i="2"/>
  <c r="O570" i="2"/>
  <c r="N570" i="2"/>
  <c r="P570" i="2" s="1"/>
  <c r="M570" i="2"/>
  <c r="R569" i="2"/>
  <c r="Q569" i="2"/>
  <c r="P569" i="2"/>
  <c r="O569" i="2"/>
  <c r="N569" i="2"/>
  <c r="M569" i="2"/>
  <c r="R568" i="2"/>
  <c r="Q568" i="2"/>
  <c r="O568" i="2"/>
  <c r="N568" i="2"/>
  <c r="P568" i="2" s="1"/>
  <c r="M568" i="2"/>
  <c r="R567" i="2"/>
  <c r="Q567" i="2"/>
  <c r="P567" i="2"/>
  <c r="O567" i="2"/>
  <c r="N567" i="2"/>
  <c r="M567" i="2"/>
  <c r="R566" i="2"/>
  <c r="Q566" i="2"/>
  <c r="O566" i="2"/>
  <c r="N566" i="2"/>
  <c r="P566" i="2" s="1"/>
  <c r="M566" i="2"/>
  <c r="R565" i="2"/>
  <c r="Q565" i="2"/>
  <c r="P565" i="2"/>
  <c r="O565" i="2"/>
  <c r="N565" i="2"/>
  <c r="M565" i="2"/>
  <c r="R564" i="2"/>
  <c r="Q564" i="2"/>
  <c r="O564" i="2"/>
  <c r="N564" i="2"/>
  <c r="P564" i="2" s="1"/>
  <c r="M564" i="2"/>
  <c r="R563" i="2"/>
  <c r="Q563" i="2"/>
  <c r="P563" i="2"/>
  <c r="O563" i="2"/>
  <c r="N563" i="2"/>
  <c r="M563" i="2"/>
  <c r="R562" i="2"/>
  <c r="Q562" i="2"/>
  <c r="O562" i="2"/>
  <c r="N562" i="2"/>
  <c r="P562" i="2" s="1"/>
  <c r="M562" i="2"/>
  <c r="R561" i="2"/>
  <c r="Q561" i="2"/>
  <c r="P561" i="2"/>
  <c r="O561" i="2"/>
  <c r="N561" i="2"/>
  <c r="M561" i="2"/>
  <c r="R560" i="2"/>
  <c r="Q560" i="2"/>
  <c r="O560" i="2"/>
  <c r="N560" i="2"/>
  <c r="P560" i="2" s="1"/>
  <c r="M560" i="2"/>
  <c r="R559" i="2"/>
  <c r="Q559" i="2"/>
  <c r="P559" i="2"/>
  <c r="O559" i="2"/>
  <c r="N559" i="2"/>
  <c r="M559" i="2"/>
  <c r="R558" i="2"/>
  <c r="Q558" i="2"/>
  <c r="O558" i="2"/>
  <c r="N558" i="2"/>
  <c r="P558" i="2" s="1"/>
  <c r="M558" i="2"/>
  <c r="R557" i="2"/>
  <c r="Q557" i="2"/>
  <c r="P557" i="2"/>
  <c r="O557" i="2"/>
  <c r="N557" i="2"/>
  <c r="M557" i="2"/>
  <c r="R556" i="2"/>
  <c r="Q556" i="2"/>
  <c r="O556" i="2"/>
  <c r="N556" i="2"/>
  <c r="P556" i="2" s="1"/>
  <c r="M556" i="2"/>
  <c r="R555" i="2"/>
  <c r="Q555" i="2"/>
  <c r="P555" i="2"/>
  <c r="O555" i="2"/>
  <c r="N555" i="2"/>
  <c r="M555" i="2"/>
  <c r="R554" i="2"/>
  <c r="Q554" i="2"/>
  <c r="O554" i="2"/>
  <c r="N554" i="2"/>
  <c r="P554" i="2" s="1"/>
  <c r="M554" i="2"/>
  <c r="R553" i="2"/>
  <c r="Q553" i="2"/>
  <c r="P553" i="2"/>
  <c r="O553" i="2"/>
  <c r="N553" i="2"/>
  <c r="M553" i="2"/>
  <c r="R552" i="2"/>
  <c r="Q552" i="2"/>
  <c r="O552" i="2"/>
  <c r="N552" i="2"/>
  <c r="P552" i="2" s="1"/>
  <c r="M552" i="2"/>
  <c r="R551" i="2"/>
  <c r="Q551" i="2"/>
  <c r="P551" i="2"/>
  <c r="O551" i="2"/>
  <c r="N551" i="2"/>
  <c r="M551" i="2"/>
  <c r="R550" i="2"/>
  <c r="Q550" i="2"/>
  <c r="O550" i="2"/>
  <c r="N550" i="2"/>
  <c r="P550" i="2" s="1"/>
  <c r="M550" i="2"/>
  <c r="R549" i="2"/>
  <c r="Q549" i="2"/>
  <c r="P549" i="2"/>
  <c r="O549" i="2"/>
  <c r="N549" i="2"/>
  <c r="M549" i="2"/>
  <c r="R548" i="2"/>
  <c r="Q548" i="2"/>
  <c r="O548" i="2"/>
  <c r="N548" i="2"/>
  <c r="P548" i="2" s="1"/>
  <c r="M548" i="2"/>
  <c r="R547" i="2"/>
  <c r="Q547" i="2"/>
  <c r="P547" i="2"/>
  <c r="O547" i="2"/>
  <c r="N547" i="2"/>
  <c r="M547" i="2"/>
  <c r="R546" i="2"/>
  <c r="Q546" i="2"/>
  <c r="O546" i="2"/>
  <c r="N546" i="2"/>
  <c r="P546" i="2" s="1"/>
  <c r="M546" i="2"/>
  <c r="R545" i="2"/>
  <c r="Q545" i="2"/>
  <c r="P545" i="2"/>
  <c r="O545" i="2"/>
  <c r="N545" i="2"/>
  <c r="M545" i="2"/>
  <c r="R544" i="2"/>
  <c r="Q544" i="2"/>
  <c r="O544" i="2"/>
  <c r="N544" i="2"/>
  <c r="P544" i="2" s="1"/>
  <c r="M544" i="2"/>
  <c r="R543" i="2"/>
  <c r="Q543" i="2"/>
  <c r="P543" i="2"/>
  <c r="O543" i="2"/>
  <c r="N543" i="2"/>
  <c r="M543" i="2"/>
  <c r="R542" i="2"/>
  <c r="Q542" i="2"/>
  <c r="O542" i="2"/>
  <c r="N542" i="2"/>
  <c r="P542" i="2" s="1"/>
  <c r="M542" i="2"/>
  <c r="R541" i="2"/>
  <c r="Q541" i="2"/>
  <c r="P541" i="2"/>
  <c r="O541" i="2"/>
  <c r="N541" i="2"/>
  <c r="M541" i="2"/>
  <c r="R540" i="2"/>
  <c r="Q540" i="2"/>
  <c r="O540" i="2"/>
  <c r="N540" i="2"/>
  <c r="P540" i="2" s="1"/>
  <c r="M540" i="2"/>
  <c r="R539" i="2"/>
  <c r="Q539" i="2"/>
  <c r="P539" i="2"/>
  <c r="O539" i="2"/>
  <c r="N539" i="2"/>
  <c r="M539" i="2"/>
  <c r="R538" i="2"/>
  <c r="Q538" i="2"/>
  <c r="O538" i="2"/>
  <c r="N538" i="2"/>
  <c r="P538" i="2" s="1"/>
  <c r="M538" i="2"/>
  <c r="R537" i="2"/>
  <c r="Q537" i="2"/>
  <c r="P537" i="2"/>
  <c r="O537" i="2"/>
  <c r="N537" i="2"/>
  <c r="M537" i="2"/>
  <c r="R536" i="2"/>
  <c r="Q536" i="2"/>
  <c r="O536" i="2"/>
  <c r="N536" i="2"/>
  <c r="P536" i="2" s="1"/>
  <c r="M536" i="2"/>
  <c r="R535" i="2"/>
  <c r="Q535" i="2"/>
  <c r="P535" i="2"/>
  <c r="O535" i="2"/>
  <c r="N535" i="2"/>
  <c r="M535" i="2"/>
  <c r="R534" i="2"/>
  <c r="Q534" i="2"/>
  <c r="O534" i="2"/>
  <c r="N534" i="2"/>
  <c r="P534" i="2" s="1"/>
  <c r="M534" i="2"/>
  <c r="R533" i="2"/>
  <c r="Q533" i="2"/>
  <c r="P533" i="2"/>
  <c r="O533" i="2"/>
  <c r="N533" i="2"/>
  <c r="M533" i="2"/>
  <c r="R532" i="2"/>
  <c r="Q532" i="2"/>
  <c r="O532" i="2"/>
  <c r="N532" i="2"/>
  <c r="P532" i="2" s="1"/>
  <c r="M532" i="2"/>
  <c r="R531" i="2"/>
  <c r="Q531" i="2"/>
  <c r="P531" i="2"/>
  <c r="O531" i="2"/>
  <c r="N531" i="2"/>
  <c r="M531" i="2"/>
  <c r="R530" i="2"/>
  <c r="Q530" i="2"/>
  <c r="O530" i="2"/>
  <c r="N530" i="2"/>
  <c r="P530" i="2" s="1"/>
  <c r="M530" i="2"/>
  <c r="R529" i="2"/>
  <c r="Q529" i="2"/>
  <c r="P529" i="2"/>
  <c r="O529" i="2"/>
  <c r="N529" i="2"/>
  <c r="M529" i="2"/>
  <c r="R528" i="2"/>
  <c r="Q528" i="2"/>
  <c r="O528" i="2"/>
  <c r="N528" i="2"/>
  <c r="P528" i="2" s="1"/>
  <c r="M528" i="2"/>
  <c r="R527" i="2"/>
  <c r="Q527" i="2"/>
  <c r="P527" i="2"/>
  <c r="O527" i="2"/>
  <c r="N527" i="2"/>
  <c r="M527" i="2"/>
  <c r="R526" i="2"/>
  <c r="Q526" i="2"/>
  <c r="O526" i="2"/>
  <c r="N526" i="2"/>
  <c r="P526" i="2" s="1"/>
  <c r="M526" i="2"/>
  <c r="R525" i="2"/>
  <c r="Q525" i="2"/>
  <c r="P525" i="2"/>
  <c r="O525" i="2"/>
  <c r="N525" i="2"/>
  <c r="M525" i="2"/>
  <c r="R524" i="2"/>
  <c r="Q524" i="2"/>
  <c r="O524" i="2"/>
  <c r="N524" i="2"/>
  <c r="P524" i="2" s="1"/>
  <c r="M524" i="2"/>
  <c r="R523" i="2"/>
  <c r="Q523" i="2"/>
  <c r="P523" i="2"/>
  <c r="O523" i="2"/>
  <c r="N523" i="2"/>
  <c r="M523" i="2"/>
  <c r="R522" i="2"/>
  <c r="Q522" i="2"/>
  <c r="O522" i="2"/>
  <c r="N522" i="2"/>
  <c r="P522" i="2" s="1"/>
  <c r="M522" i="2"/>
  <c r="R521" i="2"/>
  <c r="Q521" i="2"/>
  <c r="P521" i="2"/>
  <c r="O521" i="2"/>
  <c r="N521" i="2"/>
  <c r="M521" i="2"/>
  <c r="R520" i="2"/>
  <c r="Q520" i="2"/>
  <c r="O520" i="2"/>
  <c r="N520" i="2"/>
  <c r="P520" i="2" s="1"/>
  <c r="M520" i="2"/>
  <c r="R519" i="2"/>
  <c r="Q519" i="2"/>
  <c r="P519" i="2"/>
  <c r="O519" i="2"/>
  <c r="N519" i="2"/>
  <c r="M519" i="2"/>
  <c r="R518" i="2"/>
  <c r="Q518" i="2"/>
  <c r="O518" i="2"/>
  <c r="N518" i="2"/>
  <c r="P518" i="2" s="1"/>
  <c r="M518" i="2"/>
  <c r="R517" i="2"/>
  <c r="Q517" i="2"/>
  <c r="P517" i="2"/>
  <c r="O517" i="2"/>
  <c r="N517" i="2"/>
  <c r="M517" i="2"/>
  <c r="R516" i="2"/>
  <c r="Q516" i="2"/>
  <c r="O516" i="2"/>
  <c r="N516" i="2"/>
  <c r="P516" i="2" s="1"/>
  <c r="M516" i="2"/>
  <c r="R515" i="2"/>
  <c r="Q515" i="2"/>
  <c r="P515" i="2"/>
  <c r="O515" i="2"/>
  <c r="N515" i="2"/>
  <c r="M515" i="2"/>
  <c r="R514" i="2"/>
  <c r="Q514" i="2"/>
  <c r="O514" i="2"/>
  <c r="N514" i="2"/>
  <c r="P514" i="2" s="1"/>
  <c r="M514" i="2"/>
  <c r="R513" i="2"/>
  <c r="Q513" i="2"/>
  <c r="P513" i="2"/>
  <c r="O513" i="2"/>
  <c r="N513" i="2"/>
  <c r="M513" i="2"/>
  <c r="R512" i="2"/>
  <c r="Q512" i="2"/>
  <c r="O512" i="2"/>
  <c r="N512" i="2"/>
  <c r="P512" i="2" s="1"/>
  <c r="M512" i="2"/>
  <c r="R511" i="2"/>
  <c r="Q511" i="2"/>
  <c r="P511" i="2"/>
  <c r="O511" i="2"/>
  <c r="N511" i="2"/>
  <c r="M511" i="2"/>
  <c r="R510" i="2"/>
  <c r="Q510" i="2"/>
  <c r="O510" i="2"/>
  <c r="N510" i="2"/>
  <c r="P510" i="2" s="1"/>
  <c r="M510" i="2"/>
  <c r="R509" i="2"/>
  <c r="Q509" i="2"/>
  <c r="P509" i="2"/>
  <c r="O509" i="2"/>
  <c r="N509" i="2"/>
  <c r="M509" i="2"/>
  <c r="R508" i="2"/>
  <c r="Q508" i="2"/>
  <c r="O508" i="2"/>
  <c r="N508" i="2"/>
  <c r="P508" i="2" s="1"/>
  <c r="M508" i="2"/>
  <c r="R507" i="2"/>
  <c r="Q507" i="2"/>
  <c r="P507" i="2"/>
  <c r="O507" i="2"/>
  <c r="N507" i="2"/>
  <c r="M507" i="2"/>
  <c r="R506" i="2"/>
  <c r="Q506" i="2"/>
  <c r="O506" i="2"/>
  <c r="N506" i="2"/>
  <c r="P506" i="2" s="1"/>
  <c r="M506" i="2"/>
  <c r="R505" i="2"/>
  <c r="Q505" i="2"/>
  <c r="P505" i="2"/>
  <c r="O505" i="2"/>
  <c r="N505" i="2"/>
  <c r="M505" i="2"/>
  <c r="R504" i="2"/>
  <c r="Q504" i="2"/>
  <c r="O504" i="2"/>
  <c r="N504" i="2"/>
  <c r="P504" i="2" s="1"/>
  <c r="M504" i="2"/>
  <c r="R503" i="2"/>
  <c r="Q503" i="2"/>
  <c r="P503" i="2"/>
  <c r="O503" i="2"/>
  <c r="N503" i="2"/>
  <c r="M503" i="2"/>
  <c r="R502" i="2"/>
  <c r="Q502" i="2"/>
  <c r="O502" i="2"/>
  <c r="N502" i="2"/>
  <c r="P502" i="2" s="1"/>
  <c r="M502" i="2"/>
  <c r="R501" i="2"/>
  <c r="Q501" i="2"/>
  <c r="P501" i="2"/>
  <c r="O501" i="2"/>
  <c r="N501" i="2"/>
  <c r="M501" i="2"/>
  <c r="R500" i="2"/>
  <c r="Q500" i="2"/>
  <c r="O500" i="2"/>
  <c r="N500" i="2"/>
  <c r="P500" i="2" s="1"/>
  <c r="M500" i="2"/>
  <c r="R499" i="2"/>
  <c r="Q499" i="2"/>
  <c r="P499" i="2"/>
  <c r="O499" i="2"/>
  <c r="N499" i="2"/>
  <c r="M499" i="2"/>
  <c r="R498" i="2"/>
  <c r="Q498" i="2"/>
  <c r="O498" i="2"/>
  <c r="N498" i="2"/>
  <c r="P498" i="2" s="1"/>
  <c r="M498" i="2"/>
  <c r="R497" i="2"/>
  <c r="Q497" i="2"/>
  <c r="P497" i="2"/>
  <c r="O497" i="2"/>
  <c r="N497" i="2"/>
  <c r="M497" i="2"/>
  <c r="R496" i="2"/>
  <c r="Q496" i="2"/>
  <c r="O496" i="2"/>
  <c r="N496" i="2"/>
  <c r="P496" i="2" s="1"/>
  <c r="M496" i="2"/>
  <c r="R495" i="2"/>
  <c r="Q495" i="2"/>
  <c r="P495" i="2"/>
  <c r="O495" i="2"/>
  <c r="N495" i="2"/>
  <c r="M495" i="2"/>
  <c r="R494" i="2"/>
  <c r="Q494" i="2"/>
  <c r="O494" i="2"/>
  <c r="N494" i="2"/>
  <c r="P494" i="2" s="1"/>
  <c r="M494" i="2"/>
  <c r="R493" i="2"/>
  <c r="Q493" i="2"/>
  <c r="P493" i="2"/>
  <c r="O493" i="2"/>
  <c r="N493" i="2"/>
  <c r="M493" i="2"/>
  <c r="R492" i="2"/>
  <c r="Q492" i="2"/>
  <c r="O492" i="2"/>
  <c r="N492" i="2"/>
  <c r="P492" i="2" s="1"/>
  <c r="M492" i="2"/>
  <c r="R491" i="2"/>
  <c r="Q491" i="2"/>
  <c r="P491" i="2"/>
  <c r="O491" i="2"/>
  <c r="N491" i="2"/>
  <c r="M491" i="2"/>
  <c r="R490" i="2"/>
  <c r="Q490" i="2"/>
  <c r="O490" i="2"/>
  <c r="N490" i="2"/>
  <c r="P490" i="2" s="1"/>
  <c r="M490" i="2"/>
  <c r="R489" i="2"/>
  <c r="Q489" i="2"/>
  <c r="P489" i="2"/>
  <c r="O489" i="2"/>
  <c r="N489" i="2"/>
  <c r="M489" i="2"/>
  <c r="R488" i="2"/>
  <c r="Q488" i="2"/>
  <c r="O488" i="2"/>
  <c r="N488" i="2"/>
  <c r="P488" i="2" s="1"/>
  <c r="M488" i="2"/>
  <c r="R487" i="2"/>
  <c r="Q487" i="2"/>
  <c r="P487" i="2"/>
  <c r="O487" i="2"/>
  <c r="N487" i="2"/>
  <c r="M487" i="2"/>
  <c r="R486" i="2"/>
  <c r="Q486" i="2"/>
  <c r="O486" i="2"/>
  <c r="N486" i="2"/>
  <c r="P486" i="2" s="1"/>
  <c r="M486" i="2"/>
  <c r="R485" i="2"/>
  <c r="Q485" i="2"/>
  <c r="P485" i="2"/>
  <c r="O485" i="2"/>
  <c r="N485" i="2"/>
  <c r="M485" i="2"/>
  <c r="R484" i="2"/>
  <c r="Q484" i="2"/>
  <c r="O484" i="2"/>
  <c r="N484" i="2"/>
  <c r="P484" i="2" s="1"/>
  <c r="M484" i="2"/>
  <c r="R483" i="2"/>
  <c r="Q483" i="2"/>
  <c r="P483" i="2"/>
  <c r="O483" i="2"/>
  <c r="N483" i="2"/>
  <c r="M483" i="2"/>
  <c r="R482" i="2"/>
  <c r="Q482" i="2"/>
  <c r="O482" i="2"/>
  <c r="N482" i="2"/>
  <c r="P482" i="2" s="1"/>
  <c r="M482" i="2"/>
  <c r="R481" i="2"/>
  <c r="Q481" i="2"/>
  <c r="P481" i="2"/>
  <c r="O481" i="2"/>
  <c r="N481" i="2"/>
  <c r="M481" i="2"/>
  <c r="R480" i="2"/>
  <c r="Q480" i="2"/>
  <c r="O480" i="2"/>
  <c r="N480" i="2"/>
  <c r="P480" i="2" s="1"/>
  <c r="M480" i="2"/>
  <c r="R479" i="2"/>
  <c r="Q479" i="2"/>
  <c r="P479" i="2"/>
  <c r="O479" i="2"/>
  <c r="N479" i="2"/>
  <c r="M479" i="2"/>
  <c r="R478" i="2"/>
  <c r="Q478" i="2"/>
  <c r="O478" i="2"/>
  <c r="N478" i="2"/>
  <c r="P478" i="2" s="1"/>
  <c r="M478" i="2"/>
  <c r="R477" i="2"/>
  <c r="Q477" i="2"/>
  <c r="P477" i="2"/>
  <c r="O477" i="2"/>
  <c r="N477" i="2"/>
  <c r="M477" i="2"/>
  <c r="R476" i="2"/>
  <c r="Q476" i="2"/>
  <c r="O476" i="2"/>
  <c r="N476" i="2"/>
  <c r="P476" i="2" s="1"/>
  <c r="M476" i="2"/>
  <c r="R475" i="2"/>
  <c r="Q475" i="2"/>
  <c r="P475" i="2"/>
  <c r="O475" i="2"/>
  <c r="N475" i="2"/>
  <c r="M475" i="2"/>
  <c r="R474" i="2"/>
  <c r="Q474" i="2"/>
  <c r="O474" i="2"/>
  <c r="N474" i="2"/>
  <c r="P474" i="2" s="1"/>
  <c r="M474" i="2"/>
  <c r="R473" i="2"/>
  <c r="Q473" i="2"/>
  <c r="P473" i="2"/>
  <c r="O473" i="2"/>
  <c r="N473" i="2"/>
  <c r="M473" i="2"/>
  <c r="R472" i="2"/>
  <c r="Q472" i="2"/>
  <c r="O472" i="2"/>
  <c r="N472" i="2"/>
  <c r="P472" i="2" s="1"/>
  <c r="M472" i="2"/>
  <c r="R471" i="2"/>
  <c r="Q471" i="2"/>
  <c r="P471" i="2"/>
  <c r="O471" i="2"/>
  <c r="N471" i="2"/>
  <c r="M471" i="2"/>
  <c r="R470" i="2"/>
  <c r="Q470" i="2"/>
  <c r="O470" i="2"/>
  <c r="N470" i="2"/>
  <c r="P470" i="2" s="1"/>
  <c r="M470" i="2"/>
  <c r="R469" i="2"/>
  <c r="Q469" i="2"/>
  <c r="P469" i="2"/>
  <c r="O469" i="2"/>
  <c r="N469" i="2"/>
  <c r="M469" i="2"/>
  <c r="R468" i="2"/>
  <c r="Q468" i="2"/>
  <c r="O468" i="2"/>
  <c r="N468" i="2"/>
  <c r="P468" i="2" s="1"/>
  <c r="M468" i="2"/>
  <c r="R467" i="2"/>
  <c r="Q467" i="2"/>
  <c r="P467" i="2"/>
  <c r="O467" i="2"/>
  <c r="N467" i="2"/>
  <c r="M467" i="2"/>
  <c r="R466" i="2"/>
  <c r="Q466" i="2"/>
  <c r="O466" i="2"/>
  <c r="N466" i="2"/>
  <c r="P466" i="2" s="1"/>
  <c r="M466" i="2"/>
  <c r="R465" i="2"/>
  <c r="Q465" i="2"/>
  <c r="P465" i="2"/>
  <c r="O465" i="2"/>
  <c r="N465" i="2"/>
  <c r="M465" i="2"/>
  <c r="R464" i="2"/>
  <c r="Q464" i="2"/>
  <c r="O464" i="2"/>
  <c r="N464" i="2"/>
  <c r="P464" i="2" s="1"/>
  <c r="M464" i="2"/>
  <c r="R463" i="2"/>
  <c r="Q463" i="2"/>
  <c r="P463" i="2"/>
  <c r="O463" i="2"/>
  <c r="N463" i="2"/>
  <c r="M463" i="2"/>
  <c r="R462" i="2"/>
  <c r="Q462" i="2"/>
  <c r="O462" i="2"/>
  <c r="N462" i="2"/>
  <c r="P462" i="2" s="1"/>
  <c r="M462" i="2"/>
  <c r="R461" i="2"/>
  <c r="Q461" i="2"/>
  <c r="P461" i="2"/>
  <c r="O461" i="2"/>
  <c r="N461" i="2"/>
  <c r="M461" i="2"/>
  <c r="R460" i="2"/>
  <c r="Q460" i="2"/>
  <c r="O460" i="2"/>
  <c r="N460" i="2"/>
  <c r="P460" i="2" s="1"/>
  <c r="M460" i="2"/>
  <c r="R459" i="2"/>
  <c r="Q459" i="2"/>
  <c r="P459" i="2"/>
  <c r="O459" i="2"/>
  <c r="N459" i="2"/>
  <c r="M459" i="2"/>
  <c r="R458" i="2"/>
  <c r="Q458" i="2"/>
  <c r="O458" i="2"/>
  <c r="N458" i="2"/>
  <c r="P458" i="2" s="1"/>
  <c r="M458" i="2"/>
  <c r="R457" i="2"/>
  <c r="Q457" i="2"/>
  <c r="P457" i="2"/>
  <c r="O457" i="2"/>
  <c r="N457" i="2"/>
  <c r="M457" i="2"/>
  <c r="R456" i="2"/>
  <c r="Q456" i="2"/>
  <c r="O456" i="2"/>
  <c r="N456" i="2"/>
  <c r="P456" i="2" s="1"/>
  <c r="M456" i="2"/>
  <c r="R455" i="2"/>
  <c r="Q455" i="2"/>
  <c r="P455" i="2"/>
  <c r="O455" i="2"/>
  <c r="N455" i="2"/>
  <c r="M455" i="2"/>
  <c r="R454" i="2"/>
  <c r="Q454" i="2"/>
  <c r="O454" i="2"/>
  <c r="N454" i="2"/>
  <c r="P454" i="2" s="1"/>
  <c r="M454" i="2"/>
  <c r="R453" i="2"/>
  <c r="Q453" i="2"/>
  <c r="P453" i="2"/>
  <c r="O453" i="2"/>
  <c r="N453" i="2"/>
  <c r="M453" i="2"/>
  <c r="R452" i="2"/>
  <c r="Q452" i="2"/>
  <c r="O452" i="2"/>
  <c r="N452" i="2"/>
  <c r="P452" i="2" s="1"/>
  <c r="M452" i="2"/>
  <c r="R451" i="2"/>
  <c r="Q451" i="2"/>
  <c r="P451" i="2"/>
  <c r="O451" i="2"/>
  <c r="N451" i="2"/>
  <c r="M451" i="2"/>
  <c r="R450" i="2"/>
  <c r="Q450" i="2"/>
  <c r="O450" i="2"/>
  <c r="N450" i="2"/>
  <c r="P450" i="2" s="1"/>
  <c r="M450" i="2"/>
  <c r="R449" i="2"/>
  <c r="Q449" i="2"/>
  <c r="P449" i="2"/>
  <c r="O449" i="2"/>
  <c r="N449" i="2"/>
  <c r="M449" i="2"/>
  <c r="R448" i="2"/>
  <c r="Q448" i="2"/>
  <c r="O448" i="2"/>
  <c r="N448" i="2"/>
  <c r="P448" i="2" s="1"/>
  <c r="M448" i="2"/>
  <c r="R447" i="2"/>
  <c r="Q447" i="2"/>
  <c r="P447" i="2"/>
  <c r="O447" i="2"/>
  <c r="N447" i="2"/>
  <c r="M447" i="2"/>
  <c r="R446" i="2"/>
  <c r="Q446" i="2"/>
  <c r="O446" i="2"/>
  <c r="N446" i="2"/>
  <c r="P446" i="2" s="1"/>
  <c r="M446" i="2"/>
  <c r="R445" i="2"/>
  <c r="Q445" i="2"/>
  <c r="P445" i="2"/>
  <c r="O445" i="2"/>
  <c r="N445" i="2"/>
  <c r="M445" i="2"/>
  <c r="R444" i="2"/>
  <c r="Q444" i="2"/>
  <c r="O444" i="2"/>
  <c r="N444" i="2"/>
  <c r="P444" i="2" s="1"/>
  <c r="M444" i="2"/>
  <c r="R443" i="2"/>
  <c r="Q443" i="2"/>
  <c r="P443" i="2"/>
  <c r="O443" i="2"/>
  <c r="N443" i="2"/>
  <c r="M443" i="2"/>
  <c r="R442" i="2"/>
  <c r="Q442" i="2"/>
  <c r="O442" i="2"/>
  <c r="N442" i="2"/>
  <c r="P442" i="2" s="1"/>
  <c r="M442" i="2"/>
  <c r="R441" i="2"/>
  <c r="Q441" i="2"/>
  <c r="P441" i="2"/>
  <c r="O441" i="2"/>
  <c r="N441" i="2"/>
  <c r="M441" i="2"/>
  <c r="R440" i="2"/>
  <c r="Q440" i="2"/>
  <c r="O440" i="2"/>
  <c r="N440" i="2"/>
  <c r="P440" i="2" s="1"/>
  <c r="M440" i="2"/>
  <c r="R439" i="2"/>
  <c r="Q439" i="2"/>
  <c r="P439" i="2"/>
  <c r="O439" i="2"/>
  <c r="N439" i="2"/>
  <c r="M439" i="2"/>
  <c r="R438" i="2"/>
  <c r="Q438" i="2"/>
  <c r="O438" i="2"/>
  <c r="N438" i="2"/>
  <c r="P438" i="2" s="1"/>
  <c r="M438" i="2"/>
  <c r="R437" i="2"/>
  <c r="Q437" i="2"/>
  <c r="P437" i="2"/>
  <c r="O437" i="2"/>
  <c r="N437" i="2"/>
  <c r="M437" i="2"/>
  <c r="R436" i="2"/>
  <c r="Q436" i="2"/>
  <c r="O436" i="2"/>
  <c r="N436" i="2"/>
  <c r="P436" i="2" s="1"/>
  <c r="M436" i="2"/>
  <c r="R435" i="2"/>
  <c r="Q435" i="2"/>
  <c r="P435" i="2"/>
  <c r="O435" i="2"/>
  <c r="N435" i="2"/>
  <c r="M435" i="2"/>
  <c r="R434" i="2"/>
  <c r="Q434" i="2"/>
  <c r="O434" i="2"/>
  <c r="N434" i="2"/>
  <c r="P434" i="2" s="1"/>
  <c r="M434" i="2"/>
  <c r="R433" i="2"/>
  <c r="Q433" i="2"/>
  <c r="P433" i="2"/>
  <c r="O433" i="2"/>
  <c r="N433" i="2"/>
  <c r="M433" i="2"/>
  <c r="R432" i="2"/>
  <c r="Q432" i="2"/>
  <c r="O432" i="2"/>
  <c r="N432" i="2"/>
  <c r="P432" i="2" s="1"/>
  <c r="M432" i="2"/>
  <c r="R431" i="2"/>
  <c r="Q431" i="2"/>
  <c r="O431" i="2"/>
  <c r="N431" i="2"/>
  <c r="P431" i="2" s="1"/>
  <c r="M431" i="2"/>
  <c r="R430" i="2"/>
  <c r="Q430" i="2"/>
  <c r="P430" i="2"/>
  <c r="O430" i="2"/>
  <c r="N430" i="2"/>
  <c r="M430" i="2"/>
  <c r="R429" i="2"/>
  <c r="Q429" i="2"/>
  <c r="O429" i="2"/>
  <c r="N429" i="2"/>
  <c r="P429" i="2" s="1"/>
  <c r="M429" i="2"/>
  <c r="R428" i="2"/>
  <c r="Q428" i="2"/>
  <c r="P428" i="2"/>
  <c r="O428" i="2"/>
  <c r="N428" i="2"/>
  <c r="M428" i="2"/>
  <c r="R427" i="2"/>
  <c r="Q427" i="2"/>
  <c r="O427" i="2"/>
  <c r="N427" i="2"/>
  <c r="P427" i="2" s="1"/>
  <c r="M427" i="2"/>
  <c r="R426" i="2"/>
  <c r="Q426" i="2"/>
  <c r="P426" i="2"/>
  <c r="O426" i="2"/>
  <c r="N426" i="2"/>
  <c r="M426" i="2"/>
  <c r="R425" i="2"/>
  <c r="Q425" i="2"/>
  <c r="O425" i="2"/>
  <c r="N425" i="2"/>
  <c r="P425" i="2" s="1"/>
  <c r="M425" i="2"/>
  <c r="R424" i="2"/>
  <c r="Q424" i="2"/>
  <c r="P424" i="2"/>
  <c r="O424" i="2"/>
  <c r="N424" i="2"/>
  <c r="M424" i="2"/>
  <c r="R423" i="2"/>
  <c r="Q423" i="2"/>
  <c r="O423" i="2"/>
  <c r="N423" i="2"/>
  <c r="P423" i="2" s="1"/>
  <c r="M423" i="2"/>
  <c r="R422" i="2"/>
  <c r="Q422" i="2"/>
  <c r="P422" i="2"/>
  <c r="O422" i="2"/>
  <c r="N422" i="2"/>
  <c r="M422" i="2"/>
  <c r="R421" i="2"/>
  <c r="Q421" i="2"/>
  <c r="O421" i="2"/>
  <c r="N421" i="2"/>
  <c r="P421" i="2" s="1"/>
  <c r="M421" i="2"/>
  <c r="R420" i="2"/>
  <c r="Q420" i="2"/>
  <c r="P420" i="2"/>
  <c r="O420" i="2"/>
  <c r="N420" i="2"/>
  <c r="M420" i="2"/>
  <c r="R419" i="2"/>
  <c r="Q419" i="2"/>
  <c r="O419" i="2"/>
  <c r="N419" i="2"/>
  <c r="P419" i="2" s="1"/>
  <c r="M419" i="2"/>
  <c r="R418" i="2"/>
  <c r="Q418" i="2"/>
  <c r="P418" i="2"/>
  <c r="O418" i="2"/>
  <c r="N418" i="2"/>
  <c r="M418" i="2"/>
  <c r="R417" i="2"/>
  <c r="Q417" i="2"/>
  <c r="O417" i="2"/>
  <c r="N417" i="2"/>
  <c r="P417" i="2" s="1"/>
  <c r="M417" i="2"/>
  <c r="R416" i="2"/>
  <c r="Q416" i="2"/>
  <c r="P416" i="2"/>
  <c r="O416" i="2"/>
  <c r="N416" i="2"/>
  <c r="M416" i="2"/>
  <c r="R415" i="2"/>
  <c r="Q415" i="2"/>
  <c r="O415" i="2"/>
  <c r="N415" i="2"/>
  <c r="P415" i="2" s="1"/>
  <c r="M415" i="2"/>
  <c r="R414" i="2"/>
  <c r="Q414" i="2"/>
  <c r="P414" i="2"/>
  <c r="O414" i="2"/>
  <c r="N414" i="2"/>
  <c r="M414" i="2"/>
  <c r="R413" i="2"/>
  <c r="Q413" i="2"/>
  <c r="O413" i="2"/>
  <c r="N413" i="2"/>
  <c r="P413" i="2" s="1"/>
  <c r="M413" i="2"/>
  <c r="R412" i="2"/>
  <c r="Q412" i="2"/>
  <c r="P412" i="2"/>
  <c r="O412" i="2"/>
  <c r="N412" i="2"/>
  <c r="M412" i="2"/>
  <c r="R411" i="2"/>
  <c r="Q411" i="2"/>
  <c r="O411" i="2"/>
  <c r="N411" i="2"/>
  <c r="P411" i="2" s="1"/>
  <c r="M411" i="2"/>
  <c r="R410" i="2"/>
  <c r="Q410" i="2"/>
  <c r="P410" i="2"/>
  <c r="O410" i="2"/>
  <c r="N410" i="2"/>
  <c r="M410" i="2"/>
  <c r="R409" i="2"/>
  <c r="Q409" i="2"/>
  <c r="O409" i="2"/>
  <c r="N409" i="2"/>
  <c r="P409" i="2" s="1"/>
  <c r="M409" i="2"/>
  <c r="R408" i="2"/>
  <c r="Q408" i="2"/>
  <c r="P408" i="2"/>
  <c r="O408" i="2"/>
  <c r="N408" i="2"/>
  <c r="M408" i="2"/>
  <c r="R407" i="2"/>
  <c r="Q407" i="2"/>
  <c r="O407" i="2"/>
  <c r="N407" i="2"/>
  <c r="P407" i="2" s="1"/>
  <c r="M407" i="2"/>
  <c r="R406" i="2"/>
  <c r="Q406" i="2"/>
  <c r="P406" i="2"/>
  <c r="O406" i="2"/>
  <c r="N406" i="2"/>
  <c r="M406" i="2"/>
  <c r="R405" i="2"/>
  <c r="Q405" i="2"/>
  <c r="O405" i="2"/>
  <c r="N405" i="2"/>
  <c r="P405" i="2" s="1"/>
  <c r="M405" i="2"/>
  <c r="R404" i="2"/>
  <c r="Q404" i="2"/>
  <c r="P404" i="2"/>
  <c r="O404" i="2"/>
  <c r="N404" i="2"/>
  <c r="M404" i="2"/>
  <c r="R403" i="2"/>
  <c r="Q403" i="2"/>
  <c r="O403" i="2"/>
  <c r="N403" i="2"/>
  <c r="P403" i="2" s="1"/>
  <c r="M403" i="2"/>
  <c r="R402" i="2"/>
  <c r="Q402" i="2"/>
  <c r="P402" i="2"/>
  <c r="O402" i="2"/>
  <c r="N402" i="2"/>
  <c r="M402" i="2"/>
  <c r="R401" i="2"/>
  <c r="Q401" i="2"/>
  <c r="O401" i="2"/>
  <c r="N401" i="2"/>
  <c r="P401" i="2" s="1"/>
  <c r="M401" i="2"/>
  <c r="R400" i="2"/>
  <c r="Q400" i="2"/>
  <c r="P400" i="2"/>
  <c r="O400" i="2"/>
  <c r="N400" i="2"/>
  <c r="M400" i="2"/>
  <c r="R399" i="2"/>
  <c r="Q399" i="2"/>
  <c r="O399" i="2"/>
  <c r="N399" i="2"/>
  <c r="P399" i="2" s="1"/>
  <c r="M399" i="2"/>
  <c r="R398" i="2"/>
  <c r="Q398" i="2"/>
  <c r="P398" i="2"/>
  <c r="O398" i="2"/>
  <c r="N398" i="2"/>
  <c r="M398" i="2"/>
  <c r="R397" i="2"/>
  <c r="Q397" i="2"/>
  <c r="O397" i="2"/>
  <c r="N397" i="2"/>
  <c r="P397" i="2" s="1"/>
  <c r="M397" i="2"/>
  <c r="R396" i="2"/>
  <c r="Q396" i="2"/>
  <c r="P396" i="2"/>
  <c r="O396" i="2"/>
  <c r="N396" i="2"/>
  <c r="M396" i="2"/>
  <c r="R395" i="2"/>
  <c r="Q395" i="2"/>
  <c r="O395" i="2"/>
  <c r="N395" i="2"/>
  <c r="P395" i="2" s="1"/>
  <c r="M395" i="2"/>
  <c r="R394" i="2"/>
  <c r="Q394" i="2"/>
  <c r="P394" i="2"/>
  <c r="O394" i="2"/>
  <c r="N394" i="2"/>
  <c r="M394" i="2"/>
  <c r="R393" i="2"/>
  <c r="Q393" i="2"/>
  <c r="O393" i="2"/>
  <c r="N393" i="2"/>
  <c r="P393" i="2" s="1"/>
  <c r="M393" i="2"/>
  <c r="R392" i="2"/>
  <c r="Q392" i="2"/>
  <c r="P392" i="2"/>
  <c r="O392" i="2"/>
  <c r="N392" i="2"/>
  <c r="M392" i="2"/>
  <c r="R391" i="2"/>
  <c r="Q391" i="2"/>
  <c r="O391" i="2"/>
  <c r="N391" i="2"/>
  <c r="P391" i="2" s="1"/>
  <c r="M391" i="2"/>
  <c r="R390" i="2"/>
  <c r="Q390" i="2"/>
  <c r="P390" i="2"/>
  <c r="O390" i="2"/>
  <c r="N390" i="2"/>
  <c r="M390" i="2"/>
  <c r="R389" i="2"/>
  <c r="Q389" i="2"/>
  <c r="O389" i="2"/>
  <c r="N389" i="2"/>
  <c r="P389" i="2" s="1"/>
  <c r="M389" i="2"/>
  <c r="R388" i="2"/>
  <c r="Q388" i="2"/>
  <c r="P388" i="2"/>
  <c r="O388" i="2"/>
  <c r="N388" i="2"/>
  <c r="M388" i="2"/>
  <c r="R387" i="2"/>
  <c r="Q387" i="2"/>
  <c r="O387" i="2"/>
  <c r="N387" i="2"/>
  <c r="P387" i="2" s="1"/>
  <c r="M387" i="2"/>
  <c r="R386" i="2"/>
  <c r="Q386" i="2"/>
  <c r="P386" i="2"/>
  <c r="O386" i="2"/>
  <c r="N386" i="2"/>
  <c r="M386" i="2"/>
  <c r="R385" i="2"/>
  <c r="Q385" i="2"/>
  <c r="O385" i="2"/>
  <c r="N385" i="2"/>
  <c r="P385" i="2" s="1"/>
  <c r="M385" i="2"/>
  <c r="R384" i="2"/>
  <c r="Q384" i="2"/>
  <c r="P384" i="2"/>
  <c r="O384" i="2"/>
  <c r="N384" i="2"/>
  <c r="M384" i="2"/>
  <c r="R383" i="2"/>
  <c r="Q383" i="2"/>
  <c r="O383" i="2"/>
  <c r="N383" i="2"/>
  <c r="P383" i="2" s="1"/>
  <c r="M383" i="2"/>
  <c r="R382" i="2"/>
  <c r="Q382" i="2"/>
  <c r="P382" i="2"/>
  <c r="O382" i="2"/>
  <c r="N382" i="2"/>
  <c r="M382" i="2"/>
  <c r="R381" i="2"/>
  <c r="Q381" i="2"/>
  <c r="O381" i="2"/>
  <c r="N381" i="2"/>
  <c r="P381" i="2" s="1"/>
  <c r="M381" i="2"/>
  <c r="R380" i="2"/>
  <c r="Q380" i="2"/>
  <c r="P380" i="2"/>
  <c r="O380" i="2"/>
  <c r="N380" i="2"/>
  <c r="M380" i="2"/>
  <c r="R379" i="2"/>
  <c r="Q379" i="2"/>
  <c r="O379" i="2"/>
  <c r="N379" i="2"/>
  <c r="P379" i="2" s="1"/>
  <c r="M379" i="2"/>
  <c r="R378" i="2"/>
  <c r="Q378" i="2"/>
  <c r="P378" i="2"/>
  <c r="O378" i="2"/>
  <c r="N378" i="2"/>
  <c r="M378" i="2"/>
  <c r="R377" i="2"/>
  <c r="Q377" i="2"/>
  <c r="O377" i="2"/>
  <c r="N377" i="2"/>
  <c r="P377" i="2" s="1"/>
  <c r="M377" i="2"/>
  <c r="R376" i="2"/>
  <c r="Q376" i="2"/>
  <c r="P376" i="2"/>
  <c r="O376" i="2"/>
  <c r="N376" i="2"/>
  <c r="M376" i="2"/>
  <c r="R375" i="2"/>
  <c r="Q375" i="2"/>
  <c r="O375" i="2"/>
  <c r="N375" i="2"/>
  <c r="P375" i="2" s="1"/>
  <c r="M375" i="2"/>
  <c r="R374" i="2"/>
  <c r="Q374" i="2"/>
  <c r="P374" i="2"/>
  <c r="O374" i="2"/>
  <c r="N374" i="2"/>
  <c r="M374" i="2"/>
  <c r="R373" i="2"/>
  <c r="Q373" i="2"/>
  <c r="O373" i="2"/>
  <c r="N373" i="2"/>
  <c r="P373" i="2" s="1"/>
  <c r="M373" i="2"/>
  <c r="R372" i="2"/>
  <c r="Q372" i="2"/>
  <c r="P372" i="2"/>
  <c r="O372" i="2"/>
  <c r="N372" i="2"/>
  <c r="M372" i="2"/>
  <c r="R371" i="2"/>
  <c r="Q371" i="2"/>
  <c r="O371" i="2"/>
  <c r="N371" i="2"/>
  <c r="P371" i="2" s="1"/>
  <c r="M371" i="2"/>
  <c r="R370" i="2"/>
  <c r="Q370" i="2"/>
  <c r="P370" i="2"/>
  <c r="O370" i="2"/>
  <c r="N370" i="2"/>
  <c r="M370" i="2"/>
  <c r="R369" i="2"/>
  <c r="Q369" i="2"/>
  <c r="O369" i="2"/>
  <c r="N369" i="2"/>
  <c r="P369" i="2" s="1"/>
  <c r="M369" i="2"/>
  <c r="R368" i="2"/>
  <c r="Q368" i="2"/>
  <c r="P368" i="2"/>
  <c r="O368" i="2"/>
  <c r="N368" i="2"/>
  <c r="M368" i="2"/>
  <c r="R367" i="2"/>
  <c r="Q367" i="2"/>
  <c r="O367" i="2"/>
  <c r="N367" i="2"/>
  <c r="P367" i="2" s="1"/>
  <c r="M367" i="2"/>
  <c r="R366" i="2"/>
  <c r="Q366" i="2"/>
  <c r="P366" i="2"/>
  <c r="O366" i="2"/>
  <c r="N366" i="2"/>
  <c r="M366" i="2"/>
  <c r="R365" i="2"/>
  <c r="Q365" i="2"/>
  <c r="O365" i="2"/>
  <c r="N365" i="2"/>
  <c r="P365" i="2" s="1"/>
  <c r="M365" i="2"/>
  <c r="R364" i="2"/>
  <c r="Q364" i="2"/>
  <c r="P364" i="2"/>
  <c r="O364" i="2"/>
  <c r="N364" i="2"/>
  <c r="M364" i="2"/>
  <c r="R363" i="2"/>
  <c r="Q363" i="2"/>
  <c r="O363" i="2"/>
  <c r="N363" i="2"/>
  <c r="P363" i="2" s="1"/>
  <c r="M363" i="2"/>
  <c r="R362" i="2"/>
  <c r="Q362" i="2"/>
  <c r="P362" i="2"/>
  <c r="O362" i="2"/>
  <c r="N362" i="2"/>
  <c r="M362" i="2"/>
  <c r="R361" i="2"/>
  <c r="Q361" i="2"/>
  <c r="O361" i="2"/>
  <c r="N361" i="2"/>
  <c r="P361" i="2" s="1"/>
  <c r="M361" i="2"/>
  <c r="R360" i="2"/>
  <c r="Q360" i="2"/>
  <c r="P360" i="2"/>
  <c r="O360" i="2"/>
  <c r="N360" i="2"/>
  <c r="M360" i="2"/>
  <c r="R359" i="2"/>
  <c r="Q359" i="2"/>
  <c r="O359" i="2"/>
  <c r="N359" i="2"/>
  <c r="P359" i="2" s="1"/>
  <c r="M359" i="2"/>
  <c r="R358" i="2"/>
  <c r="Q358" i="2"/>
  <c r="P358" i="2"/>
  <c r="O358" i="2"/>
  <c r="N358" i="2"/>
  <c r="M358" i="2"/>
  <c r="R357" i="2"/>
  <c r="Q357" i="2"/>
  <c r="O357" i="2"/>
  <c r="N357" i="2"/>
  <c r="P357" i="2" s="1"/>
  <c r="M357" i="2"/>
  <c r="R356" i="2"/>
  <c r="Q356" i="2"/>
  <c r="P356" i="2"/>
  <c r="O356" i="2"/>
  <c r="N356" i="2"/>
  <c r="M356" i="2"/>
  <c r="R355" i="2"/>
  <c r="Q355" i="2"/>
  <c r="O355" i="2"/>
  <c r="N355" i="2"/>
  <c r="P355" i="2" s="1"/>
  <c r="M355" i="2"/>
  <c r="R354" i="2"/>
  <c r="Q354" i="2"/>
  <c r="P354" i="2"/>
  <c r="O354" i="2"/>
  <c r="N354" i="2"/>
  <c r="M354" i="2"/>
  <c r="R353" i="2"/>
  <c r="Q353" i="2"/>
  <c r="O353" i="2"/>
  <c r="N353" i="2"/>
  <c r="P353" i="2" s="1"/>
  <c r="M353" i="2"/>
  <c r="R352" i="2"/>
  <c r="Q352" i="2"/>
  <c r="P352" i="2"/>
  <c r="O352" i="2"/>
  <c r="N352" i="2"/>
  <c r="M352" i="2"/>
  <c r="R351" i="2"/>
  <c r="Q351" i="2"/>
  <c r="O351" i="2"/>
  <c r="N351" i="2"/>
  <c r="P351" i="2" s="1"/>
  <c r="M351" i="2"/>
  <c r="R350" i="2"/>
  <c r="Q350" i="2"/>
  <c r="P350" i="2"/>
  <c r="O350" i="2"/>
  <c r="N350" i="2"/>
  <c r="M350" i="2"/>
  <c r="R349" i="2"/>
  <c r="Q349" i="2"/>
  <c r="O349" i="2"/>
  <c r="N349" i="2"/>
  <c r="P349" i="2" s="1"/>
  <c r="M349" i="2"/>
  <c r="R348" i="2"/>
  <c r="Q348" i="2"/>
  <c r="P348" i="2"/>
  <c r="O348" i="2"/>
  <c r="N348" i="2"/>
  <c r="M348" i="2"/>
  <c r="R347" i="2"/>
  <c r="Q347" i="2"/>
  <c r="O347" i="2"/>
  <c r="N347" i="2"/>
  <c r="P347" i="2" s="1"/>
  <c r="M347" i="2"/>
  <c r="R346" i="2"/>
  <c r="Q346" i="2"/>
  <c r="P346" i="2"/>
  <c r="O346" i="2"/>
  <c r="N346" i="2"/>
  <c r="M346" i="2"/>
  <c r="R345" i="2"/>
  <c r="Q345" i="2"/>
  <c r="O345" i="2"/>
  <c r="N345" i="2"/>
  <c r="P345" i="2" s="1"/>
  <c r="M345" i="2"/>
  <c r="R344" i="2"/>
  <c r="Q344" i="2"/>
  <c r="P344" i="2"/>
  <c r="O344" i="2"/>
  <c r="N344" i="2"/>
  <c r="M344" i="2"/>
  <c r="R343" i="2"/>
  <c r="Q343" i="2"/>
  <c r="O343" i="2"/>
  <c r="N343" i="2"/>
  <c r="P343" i="2" s="1"/>
  <c r="M343" i="2"/>
  <c r="R342" i="2"/>
  <c r="Q342" i="2"/>
  <c r="P342" i="2"/>
  <c r="O342" i="2"/>
  <c r="N342" i="2"/>
  <c r="M342" i="2"/>
  <c r="R341" i="2"/>
  <c r="Q341" i="2"/>
  <c r="O341" i="2"/>
  <c r="N341" i="2"/>
  <c r="P341" i="2" s="1"/>
  <c r="M341" i="2"/>
  <c r="R340" i="2"/>
  <c r="Q340" i="2"/>
  <c r="P340" i="2"/>
  <c r="O340" i="2"/>
  <c r="N340" i="2"/>
  <c r="M340" i="2"/>
  <c r="R339" i="2"/>
  <c r="Q339" i="2"/>
  <c r="O339" i="2"/>
  <c r="N339" i="2"/>
  <c r="P339" i="2" s="1"/>
  <c r="M339" i="2"/>
  <c r="R338" i="2"/>
  <c r="Q338" i="2"/>
  <c r="P338" i="2"/>
  <c r="O338" i="2"/>
  <c r="N338" i="2"/>
  <c r="M338" i="2"/>
  <c r="R337" i="2"/>
  <c r="Q337" i="2"/>
  <c r="O337" i="2"/>
  <c r="N337" i="2"/>
  <c r="P337" i="2" s="1"/>
  <c r="M337" i="2"/>
  <c r="R336" i="2"/>
  <c r="Q336" i="2"/>
  <c r="P336" i="2"/>
  <c r="O336" i="2"/>
  <c r="N336" i="2"/>
  <c r="M336" i="2"/>
  <c r="R335" i="2"/>
  <c r="Q335" i="2"/>
  <c r="O335" i="2"/>
  <c r="N335" i="2"/>
  <c r="P335" i="2" s="1"/>
  <c r="M335" i="2"/>
  <c r="R334" i="2"/>
  <c r="Q334" i="2"/>
  <c r="P334" i="2"/>
  <c r="O334" i="2"/>
  <c r="N334" i="2"/>
  <c r="M334" i="2"/>
  <c r="R333" i="2"/>
  <c r="Q333" i="2"/>
  <c r="O333" i="2"/>
  <c r="N333" i="2"/>
  <c r="P333" i="2" s="1"/>
  <c r="M333" i="2"/>
  <c r="R332" i="2"/>
  <c r="Q332" i="2"/>
  <c r="P332" i="2"/>
  <c r="O332" i="2"/>
  <c r="N332" i="2"/>
  <c r="M332" i="2"/>
  <c r="R331" i="2"/>
  <c r="Q331" i="2"/>
  <c r="O331" i="2"/>
  <c r="N331" i="2"/>
  <c r="P331" i="2" s="1"/>
  <c r="M331" i="2"/>
  <c r="R330" i="2"/>
  <c r="Q330" i="2"/>
  <c r="P330" i="2"/>
  <c r="O330" i="2"/>
  <c r="N330" i="2"/>
  <c r="M330" i="2"/>
  <c r="R329" i="2"/>
  <c r="Q329" i="2"/>
  <c r="O329" i="2"/>
  <c r="N329" i="2"/>
  <c r="P329" i="2" s="1"/>
  <c r="M329" i="2"/>
  <c r="R328" i="2"/>
  <c r="Q328" i="2"/>
  <c r="P328" i="2"/>
  <c r="O328" i="2"/>
  <c r="N328" i="2"/>
  <c r="M328" i="2"/>
  <c r="R327" i="2"/>
  <c r="Q327" i="2"/>
  <c r="O327" i="2"/>
  <c r="N327" i="2"/>
  <c r="P327" i="2" s="1"/>
  <c r="M327" i="2"/>
  <c r="R326" i="2"/>
  <c r="Q326" i="2"/>
  <c r="P326" i="2"/>
  <c r="O326" i="2"/>
  <c r="N326" i="2"/>
  <c r="M326" i="2"/>
  <c r="R325" i="2"/>
  <c r="Q325" i="2"/>
  <c r="O325" i="2"/>
  <c r="N325" i="2"/>
  <c r="P325" i="2" s="1"/>
  <c r="M325" i="2"/>
  <c r="R324" i="2"/>
  <c r="Q324" i="2"/>
  <c r="P324" i="2"/>
  <c r="O324" i="2"/>
  <c r="N324" i="2"/>
  <c r="M324" i="2"/>
  <c r="R323" i="2"/>
  <c r="Q323" i="2"/>
  <c r="O323" i="2"/>
  <c r="N323" i="2"/>
  <c r="P323" i="2" s="1"/>
  <c r="M323" i="2"/>
  <c r="R322" i="2"/>
  <c r="Q322" i="2"/>
  <c r="P322" i="2"/>
  <c r="O322" i="2"/>
  <c r="N322" i="2"/>
  <c r="M322" i="2"/>
  <c r="R321" i="2"/>
  <c r="Q321" i="2"/>
  <c r="O321" i="2"/>
  <c r="N321" i="2"/>
  <c r="P321" i="2" s="1"/>
  <c r="M321" i="2"/>
  <c r="R320" i="2"/>
  <c r="Q320" i="2"/>
  <c r="P320" i="2"/>
  <c r="O320" i="2"/>
  <c r="N320" i="2"/>
  <c r="M320" i="2"/>
  <c r="R319" i="2"/>
  <c r="Q319" i="2"/>
  <c r="O319" i="2"/>
  <c r="N319" i="2"/>
  <c r="P319" i="2" s="1"/>
  <c r="M319" i="2"/>
  <c r="R318" i="2"/>
  <c r="Q318" i="2"/>
  <c r="P318" i="2"/>
  <c r="O318" i="2"/>
  <c r="N318" i="2"/>
  <c r="M318" i="2"/>
  <c r="R317" i="2"/>
  <c r="Q317" i="2"/>
  <c r="O317" i="2"/>
  <c r="N317" i="2"/>
  <c r="P317" i="2" s="1"/>
  <c r="M317" i="2"/>
  <c r="R316" i="2"/>
  <c r="Q316" i="2"/>
  <c r="P316" i="2"/>
  <c r="O316" i="2"/>
  <c r="N316" i="2"/>
  <c r="M316" i="2"/>
  <c r="R315" i="2"/>
  <c r="Q315" i="2"/>
  <c r="O315" i="2"/>
  <c r="N315" i="2"/>
  <c r="P315" i="2" s="1"/>
  <c r="M315" i="2"/>
  <c r="R314" i="2"/>
  <c r="Q314" i="2"/>
  <c r="P314" i="2"/>
  <c r="O314" i="2"/>
  <c r="N314" i="2"/>
  <c r="M314" i="2"/>
  <c r="R313" i="2"/>
  <c r="Q313" i="2"/>
  <c r="O313" i="2"/>
  <c r="N313" i="2"/>
  <c r="P313" i="2" s="1"/>
  <c r="M313" i="2"/>
  <c r="R312" i="2"/>
  <c r="Q312" i="2"/>
  <c r="P312" i="2"/>
  <c r="O312" i="2"/>
  <c r="N312" i="2"/>
  <c r="M312" i="2"/>
  <c r="R311" i="2"/>
  <c r="Q311" i="2"/>
  <c r="O311" i="2"/>
  <c r="N311" i="2"/>
  <c r="P311" i="2" s="1"/>
  <c r="M311" i="2"/>
  <c r="R310" i="2"/>
  <c r="Q310" i="2"/>
  <c r="P310" i="2"/>
  <c r="O310" i="2"/>
  <c r="N310" i="2"/>
  <c r="M310" i="2"/>
  <c r="R309" i="2"/>
  <c r="Q309" i="2"/>
  <c r="O309" i="2"/>
  <c r="N309" i="2"/>
  <c r="P309" i="2" s="1"/>
  <c r="M309" i="2"/>
  <c r="R308" i="2"/>
  <c r="Q308" i="2"/>
  <c r="P308" i="2"/>
  <c r="O308" i="2"/>
  <c r="N308" i="2"/>
  <c r="M308" i="2"/>
  <c r="R307" i="2"/>
  <c r="Q307" i="2"/>
  <c r="O307" i="2"/>
  <c r="N307" i="2"/>
  <c r="P307" i="2" s="1"/>
  <c r="M307" i="2"/>
  <c r="R306" i="2"/>
  <c r="Q306" i="2"/>
  <c r="P306" i="2"/>
  <c r="O306" i="2"/>
  <c r="N306" i="2"/>
  <c r="M306" i="2"/>
  <c r="R305" i="2"/>
  <c r="Q305" i="2"/>
  <c r="O305" i="2"/>
  <c r="N305" i="2"/>
  <c r="P305" i="2" s="1"/>
  <c r="M305" i="2"/>
  <c r="R304" i="2"/>
  <c r="Q304" i="2"/>
  <c r="P304" i="2"/>
  <c r="O304" i="2"/>
  <c r="N304" i="2"/>
  <c r="M304" i="2"/>
  <c r="R303" i="2"/>
  <c r="Q303" i="2"/>
  <c r="O303" i="2"/>
  <c r="N303" i="2"/>
  <c r="P303" i="2" s="1"/>
  <c r="M303" i="2"/>
  <c r="R302" i="2"/>
  <c r="Q302" i="2"/>
  <c r="P302" i="2"/>
  <c r="O302" i="2"/>
  <c r="N302" i="2"/>
  <c r="M302" i="2"/>
  <c r="R301" i="2"/>
  <c r="Q301" i="2"/>
  <c r="O301" i="2"/>
  <c r="N301" i="2"/>
  <c r="P301" i="2" s="1"/>
  <c r="M301" i="2"/>
  <c r="R300" i="2"/>
  <c r="Q300" i="2"/>
  <c r="P300" i="2"/>
  <c r="O300" i="2"/>
  <c r="N300" i="2"/>
  <c r="M300" i="2"/>
  <c r="R299" i="2"/>
  <c r="Q299" i="2"/>
  <c r="O299" i="2"/>
  <c r="N299" i="2"/>
  <c r="P299" i="2" s="1"/>
  <c r="M299" i="2"/>
  <c r="R298" i="2"/>
  <c r="Q298" i="2"/>
  <c r="P298" i="2"/>
  <c r="O298" i="2"/>
  <c r="N298" i="2"/>
  <c r="M298" i="2"/>
  <c r="R297" i="2"/>
  <c r="Q297" i="2"/>
  <c r="O297" i="2"/>
  <c r="N297" i="2"/>
  <c r="P297" i="2" s="1"/>
  <c r="M297" i="2"/>
  <c r="R296" i="2"/>
  <c r="Q296" i="2"/>
  <c r="P296" i="2"/>
  <c r="O296" i="2"/>
  <c r="N296" i="2"/>
  <c r="M296" i="2"/>
  <c r="R295" i="2"/>
  <c r="Q295" i="2"/>
  <c r="O295" i="2"/>
  <c r="N295" i="2"/>
  <c r="P295" i="2" s="1"/>
  <c r="M295" i="2"/>
  <c r="R294" i="2"/>
  <c r="Q294" i="2"/>
  <c r="P294" i="2"/>
  <c r="O294" i="2"/>
  <c r="N294" i="2"/>
  <c r="M294" i="2"/>
  <c r="R293" i="2"/>
  <c r="Q293" i="2"/>
  <c r="O293" i="2"/>
  <c r="N293" i="2"/>
  <c r="P293" i="2" s="1"/>
  <c r="M293" i="2"/>
  <c r="R292" i="2"/>
  <c r="Q292" i="2"/>
  <c r="P292" i="2"/>
  <c r="O292" i="2"/>
  <c r="N292" i="2"/>
  <c r="M292" i="2"/>
  <c r="R291" i="2"/>
  <c r="Q291" i="2"/>
  <c r="O291" i="2"/>
  <c r="N291" i="2"/>
  <c r="P291" i="2" s="1"/>
  <c r="M291" i="2"/>
  <c r="R290" i="2"/>
  <c r="Q290" i="2"/>
  <c r="P290" i="2"/>
  <c r="O290" i="2"/>
  <c r="N290" i="2"/>
  <c r="M290" i="2"/>
  <c r="R289" i="2"/>
  <c r="Q289" i="2"/>
  <c r="O289" i="2"/>
  <c r="N289" i="2"/>
  <c r="P289" i="2" s="1"/>
  <c r="M289" i="2"/>
  <c r="R288" i="2"/>
  <c r="Q288" i="2"/>
  <c r="P288" i="2"/>
  <c r="O288" i="2"/>
  <c r="N288" i="2"/>
  <c r="M288" i="2"/>
  <c r="R287" i="2"/>
  <c r="Q287" i="2"/>
  <c r="O287" i="2"/>
  <c r="N287" i="2"/>
  <c r="P287" i="2" s="1"/>
  <c r="M287" i="2"/>
  <c r="R286" i="2"/>
  <c r="Q286" i="2"/>
  <c r="P286" i="2"/>
  <c r="O286" i="2"/>
  <c r="N286" i="2"/>
  <c r="M286" i="2"/>
  <c r="R285" i="2"/>
  <c r="Q285" i="2"/>
  <c r="O285" i="2"/>
  <c r="N285" i="2"/>
  <c r="P285" i="2" s="1"/>
  <c r="M285" i="2"/>
  <c r="R284" i="2"/>
  <c r="Q284" i="2"/>
  <c r="P284" i="2"/>
  <c r="O284" i="2"/>
  <c r="N284" i="2"/>
  <c r="M284" i="2"/>
  <c r="R283" i="2"/>
  <c r="Q283" i="2"/>
  <c r="O283" i="2"/>
  <c r="N283" i="2"/>
  <c r="P283" i="2" s="1"/>
  <c r="M283" i="2"/>
  <c r="R282" i="2"/>
  <c r="Q282" i="2"/>
  <c r="P282" i="2"/>
  <c r="O282" i="2"/>
  <c r="N282" i="2"/>
  <c r="M282" i="2"/>
  <c r="R281" i="2"/>
  <c r="Q281" i="2"/>
  <c r="O281" i="2"/>
  <c r="N281" i="2"/>
  <c r="P281" i="2" s="1"/>
  <c r="M281" i="2"/>
  <c r="R280" i="2"/>
  <c r="Q280" i="2"/>
  <c r="P280" i="2"/>
  <c r="O280" i="2"/>
  <c r="N280" i="2"/>
  <c r="M280" i="2"/>
  <c r="R279" i="2"/>
  <c r="Q279" i="2"/>
  <c r="O279" i="2"/>
  <c r="N279" i="2"/>
  <c r="P279" i="2" s="1"/>
  <c r="M279" i="2"/>
  <c r="R278" i="2"/>
  <c r="Q278" i="2"/>
  <c r="P278" i="2"/>
  <c r="O278" i="2"/>
  <c r="N278" i="2"/>
  <c r="M278" i="2"/>
  <c r="R277" i="2"/>
  <c r="Q277" i="2"/>
  <c r="O277" i="2"/>
  <c r="N277" i="2"/>
  <c r="P277" i="2" s="1"/>
  <c r="M277" i="2"/>
  <c r="R276" i="2"/>
  <c r="Q276" i="2"/>
  <c r="P276" i="2"/>
  <c r="O276" i="2"/>
  <c r="N276" i="2"/>
  <c r="M276" i="2"/>
  <c r="R275" i="2"/>
  <c r="Q275" i="2"/>
  <c r="O275" i="2"/>
  <c r="N275" i="2"/>
  <c r="P275" i="2" s="1"/>
  <c r="M275" i="2"/>
  <c r="R274" i="2"/>
  <c r="Q274" i="2"/>
  <c r="P274" i="2"/>
  <c r="O274" i="2"/>
  <c r="N274" i="2"/>
  <c r="M274" i="2"/>
  <c r="R273" i="2"/>
  <c r="Q273" i="2"/>
  <c r="O273" i="2"/>
  <c r="N273" i="2"/>
  <c r="P273" i="2" s="1"/>
  <c r="M273" i="2"/>
  <c r="R272" i="2"/>
  <c r="Q272" i="2"/>
  <c r="P272" i="2"/>
  <c r="O272" i="2"/>
  <c r="N272" i="2"/>
  <c r="M272" i="2"/>
  <c r="R271" i="2"/>
  <c r="Q271" i="2"/>
  <c r="O271" i="2"/>
  <c r="N271" i="2"/>
  <c r="P271" i="2" s="1"/>
  <c r="M271" i="2"/>
  <c r="R270" i="2"/>
  <c r="Q270" i="2"/>
  <c r="P270" i="2"/>
  <c r="O270" i="2"/>
  <c r="N270" i="2"/>
  <c r="M270" i="2"/>
  <c r="R269" i="2"/>
  <c r="Q269" i="2"/>
  <c r="O269" i="2"/>
  <c r="N269" i="2"/>
  <c r="P269" i="2" s="1"/>
  <c r="M269" i="2"/>
  <c r="R268" i="2"/>
  <c r="Q268" i="2"/>
  <c r="P268" i="2"/>
  <c r="O268" i="2"/>
  <c r="N268" i="2"/>
  <c r="M268" i="2"/>
  <c r="R267" i="2"/>
  <c r="Q267" i="2"/>
  <c r="O267" i="2"/>
  <c r="N267" i="2"/>
  <c r="P267" i="2" s="1"/>
  <c r="M267" i="2"/>
  <c r="R266" i="2"/>
  <c r="Q266" i="2"/>
  <c r="P266" i="2"/>
  <c r="O266" i="2"/>
  <c r="N266" i="2"/>
  <c r="M266" i="2"/>
  <c r="R265" i="2"/>
  <c r="Q265" i="2"/>
  <c r="O265" i="2"/>
  <c r="N265" i="2"/>
  <c r="P265" i="2" s="1"/>
  <c r="M265" i="2"/>
  <c r="R264" i="2"/>
  <c r="Q264" i="2"/>
  <c r="P264" i="2"/>
  <c r="O264" i="2"/>
  <c r="N264" i="2"/>
  <c r="M264" i="2"/>
  <c r="R263" i="2"/>
  <c r="Q263" i="2"/>
  <c r="O263" i="2"/>
  <c r="N263" i="2"/>
  <c r="P263" i="2" s="1"/>
  <c r="M263" i="2"/>
  <c r="R262" i="2"/>
  <c r="Q262" i="2"/>
  <c r="O262" i="2"/>
  <c r="N262" i="2"/>
  <c r="P262" i="2" s="1"/>
  <c r="M262" i="2"/>
  <c r="R261" i="2"/>
  <c r="Q261" i="2"/>
  <c r="P261" i="2"/>
  <c r="O261" i="2"/>
  <c r="N261" i="2"/>
  <c r="M261" i="2"/>
  <c r="R260" i="2"/>
  <c r="Q260" i="2"/>
  <c r="O260" i="2"/>
  <c r="N260" i="2"/>
  <c r="P260" i="2" s="1"/>
  <c r="M260" i="2"/>
  <c r="R259" i="2"/>
  <c r="Q259" i="2"/>
  <c r="P259" i="2"/>
  <c r="O259" i="2"/>
  <c r="N259" i="2"/>
  <c r="M259" i="2"/>
  <c r="R258" i="2"/>
  <c r="Q258" i="2"/>
  <c r="O258" i="2"/>
  <c r="N258" i="2"/>
  <c r="P258" i="2" s="1"/>
  <c r="M258" i="2"/>
  <c r="R257" i="2"/>
  <c r="Q257" i="2"/>
  <c r="P257" i="2"/>
  <c r="O257" i="2"/>
  <c r="N257" i="2"/>
  <c r="M257" i="2"/>
  <c r="R256" i="2"/>
  <c r="Q256" i="2"/>
  <c r="O256" i="2"/>
  <c r="N256" i="2"/>
  <c r="P256" i="2" s="1"/>
  <c r="M256" i="2"/>
  <c r="R255" i="2"/>
  <c r="Q255" i="2"/>
  <c r="P255" i="2"/>
  <c r="O255" i="2"/>
  <c r="N255" i="2"/>
  <c r="M255" i="2"/>
  <c r="R254" i="2"/>
  <c r="Q254" i="2"/>
  <c r="O254" i="2"/>
  <c r="N254" i="2"/>
  <c r="P254" i="2" s="1"/>
  <c r="M254" i="2"/>
  <c r="R253" i="2"/>
  <c r="Q253" i="2"/>
  <c r="P253" i="2"/>
  <c r="O253" i="2"/>
  <c r="N253" i="2"/>
  <c r="M253" i="2"/>
  <c r="R252" i="2"/>
  <c r="Q252" i="2"/>
  <c r="O252" i="2"/>
  <c r="N252" i="2"/>
  <c r="P252" i="2" s="1"/>
  <c r="M252" i="2"/>
  <c r="R251" i="2"/>
  <c r="Q251" i="2"/>
  <c r="P251" i="2"/>
  <c r="O251" i="2"/>
  <c r="N251" i="2"/>
  <c r="M251" i="2"/>
  <c r="R250" i="2"/>
  <c r="Q250" i="2"/>
  <c r="O250" i="2"/>
  <c r="N250" i="2"/>
  <c r="P250" i="2" s="1"/>
  <c r="M250" i="2"/>
  <c r="R249" i="2"/>
  <c r="Q249" i="2"/>
  <c r="P249" i="2"/>
  <c r="O249" i="2"/>
  <c r="N249" i="2"/>
  <c r="M249" i="2"/>
  <c r="R248" i="2"/>
  <c r="Q248" i="2"/>
  <c r="O248" i="2"/>
  <c r="N248" i="2"/>
  <c r="P248" i="2" s="1"/>
  <c r="M248" i="2"/>
  <c r="R247" i="2"/>
  <c r="Q247" i="2"/>
  <c r="P247" i="2"/>
  <c r="O247" i="2"/>
  <c r="N247" i="2"/>
  <c r="M247" i="2"/>
  <c r="R246" i="2"/>
  <c r="Q246" i="2"/>
  <c r="O246" i="2"/>
  <c r="N246" i="2"/>
  <c r="P246" i="2" s="1"/>
  <c r="M246" i="2"/>
  <c r="R245" i="2"/>
  <c r="Q245" i="2"/>
  <c r="P245" i="2"/>
  <c r="O245" i="2"/>
  <c r="N245" i="2"/>
  <c r="M245" i="2"/>
  <c r="R244" i="2"/>
  <c r="Q244" i="2"/>
  <c r="O244" i="2"/>
  <c r="N244" i="2"/>
  <c r="P244" i="2" s="1"/>
  <c r="M244" i="2"/>
  <c r="R243" i="2"/>
  <c r="Q243" i="2"/>
  <c r="P243" i="2"/>
  <c r="O243" i="2"/>
  <c r="N243" i="2"/>
  <c r="M243" i="2"/>
  <c r="R242" i="2"/>
  <c r="Q242" i="2"/>
  <c r="O242" i="2"/>
  <c r="N242" i="2"/>
  <c r="P242" i="2" s="1"/>
  <c r="M242" i="2"/>
  <c r="R241" i="2"/>
  <c r="Q241" i="2"/>
  <c r="P241" i="2"/>
  <c r="O241" i="2"/>
  <c r="N241" i="2"/>
  <c r="M241" i="2"/>
  <c r="R240" i="2"/>
  <c r="Q240" i="2"/>
  <c r="O240" i="2"/>
  <c r="N240" i="2"/>
  <c r="P240" i="2" s="1"/>
  <c r="M240" i="2"/>
  <c r="R239" i="2"/>
  <c r="Q239" i="2"/>
  <c r="P239" i="2"/>
  <c r="O239" i="2"/>
  <c r="N239" i="2"/>
  <c r="M239" i="2"/>
  <c r="R238" i="2"/>
  <c r="Q238" i="2"/>
  <c r="O238" i="2"/>
  <c r="N238" i="2"/>
  <c r="P238" i="2" s="1"/>
  <c r="M238" i="2"/>
  <c r="R237" i="2"/>
  <c r="Q237" i="2"/>
  <c r="P237" i="2"/>
  <c r="O237" i="2"/>
  <c r="N237" i="2"/>
  <c r="M237" i="2"/>
  <c r="R236" i="2"/>
  <c r="Q236" i="2"/>
  <c r="O236" i="2"/>
  <c r="N236" i="2"/>
  <c r="P236" i="2" s="1"/>
  <c r="M236" i="2"/>
  <c r="R235" i="2"/>
  <c r="Q235" i="2"/>
  <c r="P235" i="2"/>
  <c r="O235" i="2"/>
  <c r="N235" i="2"/>
  <c r="M235" i="2"/>
  <c r="R234" i="2"/>
  <c r="Q234" i="2"/>
  <c r="O234" i="2"/>
  <c r="N234" i="2"/>
  <c r="P234" i="2" s="1"/>
  <c r="M234" i="2"/>
  <c r="R233" i="2"/>
  <c r="Q233" i="2"/>
  <c r="P233" i="2"/>
  <c r="O233" i="2"/>
  <c r="N233" i="2"/>
  <c r="M233" i="2"/>
  <c r="R232" i="2"/>
  <c r="Q232" i="2"/>
  <c r="O232" i="2"/>
  <c r="N232" i="2"/>
  <c r="P232" i="2" s="1"/>
  <c r="M232" i="2"/>
  <c r="R231" i="2"/>
  <c r="Q231" i="2"/>
  <c r="P231" i="2"/>
  <c r="O231" i="2"/>
  <c r="N231" i="2"/>
  <c r="M231" i="2"/>
  <c r="R230" i="2"/>
  <c r="Q230" i="2"/>
  <c r="O230" i="2"/>
  <c r="N230" i="2"/>
  <c r="P230" i="2" s="1"/>
  <c r="M230" i="2"/>
  <c r="R229" i="2"/>
  <c r="Q229" i="2"/>
  <c r="P229" i="2"/>
  <c r="O229" i="2"/>
  <c r="N229" i="2"/>
  <c r="M229" i="2"/>
  <c r="R228" i="2"/>
  <c r="Q228" i="2"/>
  <c r="O228" i="2"/>
  <c r="N228" i="2"/>
  <c r="P228" i="2" s="1"/>
  <c r="M228" i="2"/>
  <c r="R227" i="2"/>
  <c r="Q227" i="2"/>
  <c r="P227" i="2"/>
  <c r="O227" i="2"/>
  <c r="N227" i="2"/>
  <c r="M227" i="2"/>
  <c r="R226" i="2"/>
  <c r="Q226" i="2"/>
  <c r="O226" i="2"/>
  <c r="N226" i="2"/>
  <c r="P226" i="2" s="1"/>
  <c r="M226" i="2"/>
  <c r="R225" i="2"/>
  <c r="Q225" i="2"/>
  <c r="P225" i="2"/>
  <c r="O225" i="2"/>
  <c r="N225" i="2"/>
  <c r="M225" i="2"/>
  <c r="R224" i="2"/>
  <c r="Q224" i="2"/>
  <c r="O224" i="2"/>
  <c r="N224" i="2"/>
  <c r="P224" i="2" s="1"/>
  <c r="M224" i="2"/>
  <c r="R223" i="2"/>
  <c r="Q223" i="2"/>
  <c r="P223" i="2"/>
  <c r="O223" i="2"/>
  <c r="N223" i="2"/>
  <c r="M223" i="2"/>
  <c r="R222" i="2"/>
  <c r="Q222" i="2"/>
  <c r="O222" i="2"/>
  <c r="N222" i="2"/>
  <c r="P222" i="2" s="1"/>
  <c r="M222" i="2"/>
  <c r="R221" i="2"/>
  <c r="Q221" i="2"/>
  <c r="P221" i="2"/>
  <c r="O221" i="2"/>
  <c r="N221" i="2"/>
  <c r="M221" i="2"/>
  <c r="R220" i="2"/>
  <c r="Q220" i="2"/>
  <c r="O220" i="2"/>
  <c r="N220" i="2"/>
  <c r="P220" i="2" s="1"/>
  <c r="M220" i="2"/>
  <c r="R219" i="2"/>
  <c r="Q219" i="2"/>
  <c r="P219" i="2"/>
  <c r="O219" i="2"/>
  <c r="N219" i="2"/>
  <c r="M219" i="2"/>
  <c r="R218" i="2"/>
  <c r="Q218" i="2"/>
  <c r="O218" i="2"/>
  <c r="N218" i="2"/>
  <c r="P218" i="2" s="1"/>
  <c r="M218" i="2"/>
  <c r="R217" i="2"/>
  <c r="Q217" i="2"/>
  <c r="P217" i="2"/>
  <c r="O217" i="2"/>
  <c r="N217" i="2"/>
  <c r="M217" i="2"/>
  <c r="R216" i="2"/>
  <c r="Q216" i="2"/>
  <c r="O216" i="2"/>
  <c r="N216" i="2"/>
  <c r="P216" i="2" s="1"/>
  <c r="M216" i="2"/>
  <c r="R215" i="2"/>
  <c r="Q215" i="2"/>
  <c r="P215" i="2"/>
  <c r="O215" i="2"/>
  <c r="N215" i="2"/>
  <c r="M215" i="2"/>
  <c r="R214" i="2"/>
  <c r="Q214" i="2"/>
  <c r="O214" i="2"/>
  <c r="N214" i="2"/>
  <c r="P214" i="2" s="1"/>
  <c r="M214" i="2"/>
  <c r="R213" i="2"/>
  <c r="Q213" i="2"/>
  <c r="P213" i="2"/>
  <c r="O213" i="2"/>
  <c r="N213" i="2"/>
  <c r="M213" i="2"/>
  <c r="R212" i="2"/>
  <c r="Q212" i="2"/>
  <c r="O212" i="2"/>
  <c r="N212" i="2"/>
  <c r="P212" i="2" s="1"/>
  <c r="M212" i="2"/>
  <c r="R211" i="2"/>
  <c r="Q211" i="2"/>
  <c r="P211" i="2"/>
  <c r="O211" i="2"/>
  <c r="N211" i="2"/>
  <c r="M211" i="2"/>
  <c r="R210" i="2"/>
  <c r="Q210" i="2"/>
  <c r="O210" i="2"/>
  <c r="N210" i="2"/>
  <c r="P210" i="2" s="1"/>
  <c r="M210" i="2"/>
  <c r="R209" i="2"/>
  <c r="Q209" i="2"/>
  <c r="P209" i="2"/>
  <c r="O209" i="2"/>
  <c r="N209" i="2"/>
  <c r="M209" i="2"/>
  <c r="R208" i="2"/>
  <c r="Q208" i="2"/>
  <c r="O208" i="2"/>
  <c r="N208" i="2"/>
  <c r="P208" i="2" s="1"/>
  <c r="M208" i="2"/>
  <c r="R207" i="2"/>
  <c r="Q207" i="2"/>
  <c r="P207" i="2"/>
  <c r="O207" i="2"/>
  <c r="N207" i="2"/>
  <c r="M207" i="2"/>
  <c r="R206" i="2"/>
  <c r="Q206" i="2"/>
  <c r="O206" i="2"/>
  <c r="N206" i="2"/>
  <c r="P206" i="2" s="1"/>
  <c r="M206" i="2"/>
  <c r="R205" i="2"/>
  <c r="Q205" i="2"/>
  <c r="P205" i="2"/>
  <c r="O205" i="2"/>
  <c r="N205" i="2"/>
  <c r="M205" i="2"/>
  <c r="R204" i="2"/>
  <c r="Q204" i="2"/>
  <c r="O204" i="2"/>
  <c r="N204" i="2"/>
  <c r="P204" i="2" s="1"/>
  <c r="M204" i="2"/>
  <c r="R203" i="2"/>
  <c r="Q203" i="2"/>
  <c r="P203" i="2"/>
  <c r="O203" i="2"/>
  <c r="N203" i="2"/>
  <c r="M203" i="2"/>
  <c r="R202" i="2"/>
  <c r="Q202" i="2"/>
  <c r="O202" i="2"/>
  <c r="N202" i="2"/>
  <c r="P202" i="2" s="1"/>
  <c r="M202" i="2"/>
  <c r="R201" i="2"/>
  <c r="Q201" i="2"/>
  <c r="P201" i="2"/>
  <c r="O201" i="2"/>
  <c r="N201" i="2"/>
  <c r="M201" i="2"/>
  <c r="R200" i="2"/>
  <c r="Q200" i="2"/>
  <c r="O200" i="2"/>
  <c r="N200" i="2"/>
  <c r="P200" i="2" s="1"/>
  <c r="M200" i="2"/>
  <c r="R199" i="2"/>
  <c r="Q199" i="2"/>
  <c r="P199" i="2"/>
  <c r="O199" i="2"/>
  <c r="N199" i="2"/>
  <c r="M199" i="2"/>
  <c r="R198" i="2"/>
  <c r="Q198" i="2"/>
  <c r="O198" i="2"/>
  <c r="N198" i="2"/>
  <c r="P198" i="2" s="1"/>
  <c r="M198" i="2"/>
  <c r="R197" i="2"/>
  <c r="Q197" i="2"/>
  <c r="P197" i="2"/>
  <c r="O197" i="2"/>
  <c r="N197" i="2"/>
  <c r="M197" i="2"/>
  <c r="R196" i="2"/>
  <c r="Q196" i="2"/>
  <c r="O196" i="2"/>
  <c r="N196" i="2"/>
  <c r="P196" i="2" s="1"/>
  <c r="M196" i="2"/>
  <c r="R195" i="2"/>
  <c r="Q195" i="2"/>
  <c r="P195" i="2"/>
  <c r="O195" i="2"/>
  <c r="N195" i="2"/>
  <c r="M195" i="2"/>
  <c r="R194" i="2"/>
  <c r="Q194" i="2"/>
  <c r="O194" i="2"/>
  <c r="N194" i="2"/>
  <c r="P194" i="2" s="1"/>
  <c r="M194" i="2"/>
  <c r="R193" i="2"/>
  <c r="Q193" i="2"/>
  <c r="P193" i="2"/>
  <c r="O193" i="2"/>
  <c r="N193" i="2"/>
  <c r="M193" i="2"/>
  <c r="R192" i="2"/>
  <c r="Q192" i="2"/>
  <c r="O192" i="2"/>
  <c r="N192" i="2"/>
  <c r="P192" i="2" s="1"/>
  <c r="M192" i="2"/>
  <c r="R191" i="2"/>
  <c r="Q191" i="2"/>
  <c r="P191" i="2"/>
  <c r="O191" i="2"/>
  <c r="N191" i="2"/>
  <c r="M191" i="2"/>
  <c r="R190" i="2"/>
  <c r="Q190" i="2"/>
  <c r="O190" i="2"/>
  <c r="N190" i="2"/>
  <c r="P190" i="2" s="1"/>
  <c r="M190" i="2"/>
  <c r="R189" i="2"/>
  <c r="Q189" i="2"/>
  <c r="P189" i="2"/>
  <c r="O189" i="2"/>
  <c r="N189" i="2"/>
  <c r="M189" i="2"/>
  <c r="R188" i="2"/>
  <c r="Q188" i="2"/>
  <c r="O188" i="2"/>
  <c r="N188" i="2"/>
  <c r="P188" i="2" s="1"/>
  <c r="M188" i="2"/>
  <c r="R187" i="2"/>
  <c r="Q187" i="2"/>
  <c r="P187" i="2"/>
  <c r="O187" i="2"/>
  <c r="N187" i="2"/>
  <c r="M187" i="2"/>
  <c r="R186" i="2"/>
  <c r="Q186" i="2"/>
  <c r="O186" i="2"/>
  <c r="N186" i="2"/>
  <c r="P186" i="2" s="1"/>
  <c r="M186" i="2"/>
  <c r="R185" i="2"/>
  <c r="Q185" i="2"/>
  <c r="P185" i="2"/>
  <c r="O185" i="2"/>
  <c r="N185" i="2"/>
  <c r="M185" i="2"/>
  <c r="R184" i="2"/>
  <c r="Q184" i="2"/>
  <c r="O184" i="2"/>
  <c r="N184" i="2"/>
  <c r="P184" i="2" s="1"/>
  <c r="M184" i="2"/>
  <c r="R183" i="2"/>
  <c r="Q183" i="2"/>
  <c r="P183" i="2"/>
  <c r="O183" i="2"/>
  <c r="N183" i="2"/>
  <c r="M183" i="2"/>
  <c r="R182" i="2"/>
  <c r="Q182" i="2"/>
  <c r="O182" i="2"/>
  <c r="N182" i="2"/>
  <c r="P182" i="2" s="1"/>
  <c r="M182" i="2"/>
  <c r="R181" i="2"/>
  <c r="Q181" i="2"/>
  <c r="P181" i="2"/>
  <c r="O181" i="2"/>
  <c r="N181" i="2"/>
  <c r="M181" i="2"/>
  <c r="R180" i="2"/>
  <c r="Q180" i="2"/>
  <c r="O180" i="2"/>
  <c r="N180" i="2"/>
  <c r="P180" i="2" s="1"/>
  <c r="M180" i="2"/>
  <c r="R179" i="2"/>
  <c r="Q179" i="2"/>
  <c r="P179" i="2"/>
  <c r="O179" i="2"/>
  <c r="N179" i="2"/>
  <c r="M179" i="2"/>
  <c r="R178" i="2"/>
  <c r="Q178" i="2"/>
  <c r="O178" i="2"/>
  <c r="N178" i="2"/>
  <c r="P178" i="2" s="1"/>
  <c r="M178" i="2"/>
  <c r="R177" i="2"/>
  <c r="Q177" i="2"/>
  <c r="P177" i="2"/>
  <c r="O177" i="2"/>
  <c r="N177" i="2"/>
  <c r="M177" i="2"/>
  <c r="R176" i="2"/>
  <c r="Q176" i="2"/>
  <c r="O176" i="2"/>
  <c r="N176" i="2"/>
  <c r="P176" i="2" s="1"/>
  <c r="M176" i="2"/>
  <c r="R175" i="2"/>
  <c r="Q175" i="2"/>
  <c r="P175" i="2"/>
  <c r="O175" i="2"/>
  <c r="N175" i="2"/>
  <c r="M175" i="2"/>
  <c r="R174" i="2"/>
  <c r="Q174" i="2"/>
  <c r="O174" i="2"/>
  <c r="N174" i="2"/>
  <c r="P174" i="2" s="1"/>
  <c r="M174" i="2"/>
  <c r="R173" i="2"/>
  <c r="Q173" i="2"/>
  <c r="P173" i="2"/>
  <c r="O173" i="2"/>
  <c r="N173" i="2"/>
  <c r="M173" i="2"/>
  <c r="R172" i="2"/>
  <c r="Q172" i="2"/>
  <c r="O172" i="2"/>
  <c r="N172" i="2"/>
  <c r="P172" i="2" s="1"/>
  <c r="M172" i="2"/>
  <c r="R171" i="2"/>
  <c r="Q171" i="2"/>
  <c r="P171" i="2"/>
  <c r="O171" i="2"/>
  <c r="N171" i="2"/>
  <c r="M171" i="2"/>
  <c r="R170" i="2"/>
  <c r="Q170" i="2"/>
  <c r="O170" i="2"/>
  <c r="N170" i="2"/>
  <c r="P170" i="2" s="1"/>
  <c r="M170" i="2"/>
  <c r="R169" i="2"/>
  <c r="Q169" i="2"/>
  <c r="P169" i="2"/>
  <c r="O169" i="2"/>
  <c r="N169" i="2"/>
  <c r="M169" i="2"/>
  <c r="R168" i="2"/>
  <c r="Q168" i="2"/>
  <c r="O168" i="2"/>
  <c r="N168" i="2"/>
  <c r="P168" i="2" s="1"/>
  <c r="M168" i="2"/>
  <c r="R167" i="2"/>
  <c r="Q167" i="2"/>
  <c r="P167" i="2"/>
  <c r="O167" i="2"/>
  <c r="N167" i="2"/>
  <c r="M167" i="2"/>
  <c r="R166" i="2"/>
  <c r="Q166" i="2"/>
  <c r="O166" i="2"/>
  <c r="N166" i="2"/>
  <c r="P166" i="2" s="1"/>
  <c r="M166" i="2"/>
  <c r="R165" i="2"/>
  <c r="Q165" i="2"/>
  <c r="P165" i="2"/>
  <c r="O165" i="2"/>
  <c r="N165" i="2"/>
  <c r="M165" i="2"/>
  <c r="R164" i="2"/>
  <c r="Q164" i="2"/>
  <c r="O164" i="2"/>
  <c r="N164" i="2"/>
  <c r="P164" i="2" s="1"/>
  <c r="M164" i="2"/>
  <c r="R163" i="2"/>
  <c r="Q163" i="2"/>
  <c r="P163" i="2"/>
  <c r="O163" i="2"/>
  <c r="N163" i="2"/>
  <c r="M163" i="2"/>
  <c r="R162" i="2"/>
  <c r="Q162" i="2"/>
  <c r="O162" i="2"/>
  <c r="N162" i="2"/>
  <c r="P162" i="2" s="1"/>
  <c r="M162" i="2"/>
  <c r="R161" i="2"/>
  <c r="Q161" i="2"/>
  <c r="P161" i="2"/>
  <c r="O161" i="2"/>
  <c r="N161" i="2"/>
  <c r="M161" i="2"/>
  <c r="R160" i="2"/>
  <c r="Q160" i="2"/>
  <c r="O160" i="2"/>
  <c r="N160" i="2"/>
  <c r="P160" i="2" s="1"/>
  <c r="M160" i="2"/>
  <c r="R159" i="2"/>
  <c r="Q159" i="2"/>
  <c r="P159" i="2"/>
  <c r="O159" i="2"/>
  <c r="N159" i="2"/>
  <c r="M159" i="2"/>
  <c r="R158" i="2"/>
  <c r="Q158" i="2"/>
  <c r="O158" i="2"/>
  <c r="N158" i="2"/>
  <c r="P158" i="2" s="1"/>
  <c r="M158" i="2"/>
  <c r="R157" i="2"/>
  <c r="Q157" i="2"/>
  <c r="P157" i="2"/>
  <c r="O157" i="2"/>
  <c r="N157" i="2"/>
  <c r="M157" i="2"/>
  <c r="R156" i="2"/>
  <c r="Q156" i="2"/>
  <c r="O156" i="2"/>
  <c r="N156" i="2"/>
  <c r="P156" i="2" s="1"/>
  <c r="M156" i="2"/>
  <c r="R155" i="2"/>
  <c r="Q155" i="2"/>
  <c r="P155" i="2"/>
  <c r="O155" i="2"/>
  <c r="N155" i="2"/>
  <c r="M155" i="2"/>
  <c r="R154" i="2"/>
  <c r="Q154" i="2"/>
  <c r="O154" i="2"/>
  <c r="N154" i="2"/>
  <c r="P154" i="2" s="1"/>
  <c r="M154" i="2"/>
  <c r="R153" i="2"/>
  <c r="Q153" i="2"/>
  <c r="P153" i="2"/>
  <c r="O153" i="2"/>
  <c r="N153" i="2"/>
  <c r="M153" i="2"/>
  <c r="R152" i="2"/>
  <c r="Q152" i="2"/>
  <c r="O152" i="2"/>
  <c r="N152" i="2"/>
  <c r="P152" i="2" s="1"/>
  <c r="M152" i="2"/>
  <c r="R151" i="2"/>
  <c r="Q151" i="2"/>
  <c r="P151" i="2"/>
  <c r="O151" i="2"/>
  <c r="N151" i="2"/>
  <c r="M151" i="2"/>
  <c r="R150" i="2"/>
  <c r="Q150" i="2"/>
  <c r="O150" i="2"/>
  <c r="N150" i="2"/>
  <c r="P150" i="2" s="1"/>
  <c r="M150" i="2"/>
  <c r="R149" i="2"/>
  <c r="Q149" i="2"/>
  <c r="P149" i="2"/>
  <c r="O149" i="2"/>
  <c r="N149" i="2"/>
  <c r="M149" i="2"/>
  <c r="R148" i="2"/>
  <c r="Q148" i="2"/>
  <c r="O148" i="2"/>
  <c r="N148" i="2"/>
  <c r="P148" i="2" s="1"/>
  <c r="M148" i="2"/>
  <c r="R147" i="2"/>
  <c r="Q147" i="2"/>
  <c r="P147" i="2"/>
  <c r="O147" i="2"/>
  <c r="N147" i="2"/>
  <c r="M147" i="2"/>
  <c r="R146" i="2"/>
  <c r="Q146" i="2"/>
  <c r="O146" i="2"/>
  <c r="N146" i="2"/>
  <c r="P146" i="2" s="1"/>
  <c r="M146" i="2"/>
  <c r="R145" i="2"/>
  <c r="Q145" i="2"/>
  <c r="P145" i="2"/>
  <c r="O145" i="2"/>
  <c r="N145" i="2"/>
  <c r="M145" i="2"/>
  <c r="R144" i="2"/>
  <c r="Q144" i="2"/>
  <c r="O144" i="2"/>
  <c r="N144" i="2"/>
  <c r="P144" i="2" s="1"/>
  <c r="M144" i="2"/>
  <c r="R143" i="2"/>
  <c r="Q143" i="2"/>
  <c r="P143" i="2"/>
  <c r="O143" i="2"/>
  <c r="N143" i="2"/>
  <c r="M143" i="2"/>
  <c r="R142" i="2"/>
  <c r="Q142" i="2"/>
  <c r="O142" i="2"/>
  <c r="N142" i="2"/>
  <c r="P142" i="2" s="1"/>
  <c r="M142" i="2"/>
  <c r="R141" i="2"/>
  <c r="Q141" i="2"/>
  <c r="P141" i="2"/>
  <c r="O141" i="2"/>
  <c r="N141" i="2"/>
  <c r="M141" i="2"/>
  <c r="R140" i="2"/>
  <c r="Q140" i="2"/>
  <c r="O140" i="2"/>
  <c r="N140" i="2"/>
  <c r="P140" i="2" s="1"/>
  <c r="M140" i="2"/>
  <c r="R139" i="2"/>
  <c r="Q139" i="2"/>
  <c r="P139" i="2"/>
  <c r="O139" i="2"/>
  <c r="N139" i="2"/>
  <c r="M139" i="2"/>
  <c r="R138" i="2"/>
  <c r="Q138" i="2"/>
  <c r="O138" i="2"/>
  <c r="N138" i="2"/>
  <c r="P138" i="2" s="1"/>
  <c r="M138" i="2"/>
  <c r="R137" i="2"/>
  <c r="Q137" i="2"/>
  <c r="P137" i="2"/>
  <c r="O137" i="2"/>
  <c r="N137" i="2"/>
  <c r="M137" i="2"/>
  <c r="R136" i="2"/>
  <c r="Q136" i="2"/>
  <c r="O136" i="2"/>
  <c r="N136" i="2"/>
  <c r="P136" i="2" s="1"/>
  <c r="M136" i="2"/>
  <c r="R135" i="2"/>
  <c r="Q135" i="2"/>
  <c r="P135" i="2"/>
  <c r="O135" i="2"/>
  <c r="N135" i="2"/>
  <c r="M135" i="2"/>
  <c r="R134" i="2"/>
  <c r="Q134" i="2"/>
  <c r="O134" i="2"/>
  <c r="N134" i="2"/>
  <c r="P134" i="2" s="1"/>
  <c r="M134" i="2"/>
  <c r="R133" i="2"/>
  <c r="Q133" i="2"/>
  <c r="P133" i="2"/>
  <c r="O133" i="2"/>
  <c r="N133" i="2"/>
  <c r="M133" i="2"/>
  <c r="R132" i="2"/>
  <c r="Q132" i="2"/>
  <c r="O132" i="2"/>
  <c r="N132" i="2"/>
  <c r="P132" i="2" s="1"/>
  <c r="M132" i="2"/>
  <c r="R131" i="2"/>
  <c r="Q131" i="2"/>
  <c r="P131" i="2"/>
  <c r="O131" i="2"/>
  <c r="N131" i="2"/>
  <c r="M131" i="2"/>
  <c r="R130" i="2"/>
  <c r="Q130" i="2"/>
  <c r="O130" i="2"/>
  <c r="N130" i="2"/>
  <c r="P130" i="2" s="1"/>
  <c r="M130" i="2"/>
  <c r="R129" i="2"/>
  <c r="Q129" i="2"/>
  <c r="P129" i="2"/>
  <c r="O129" i="2"/>
  <c r="N129" i="2"/>
  <c r="M129" i="2"/>
  <c r="R128" i="2"/>
  <c r="Q128" i="2"/>
  <c r="O128" i="2"/>
  <c r="N128" i="2"/>
  <c r="P128" i="2" s="1"/>
  <c r="M128" i="2"/>
  <c r="R127" i="2"/>
  <c r="Q127" i="2"/>
  <c r="P127" i="2"/>
  <c r="O127" i="2"/>
  <c r="N127" i="2"/>
  <c r="M127" i="2"/>
  <c r="R126" i="2"/>
  <c r="Q126" i="2"/>
  <c r="O126" i="2"/>
  <c r="N126" i="2"/>
  <c r="P126" i="2" s="1"/>
  <c r="M126" i="2"/>
  <c r="R125" i="2"/>
  <c r="Q125" i="2"/>
  <c r="P125" i="2"/>
  <c r="O125" i="2"/>
  <c r="N125" i="2"/>
  <c r="M125" i="2"/>
  <c r="R124" i="2"/>
  <c r="Q124" i="2"/>
  <c r="O124" i="2"/>
  <c r="N124" i="2"/>
  <c r="P124" i="2" s="1"/>
  <c r="M124" i="2"/>
  <c r="R123" i="2"/>
  <c r="Q123" i="2"/>
  <c r="P123" i="2"/>
  <c r="O123" i="2"/>
  <c r="N123" i="2"/>
  <c r="M123" i="2"/>
  <c r="R122" i="2"/>
  <c r="Q122" i="2"/>
  <c r="O122" i="2"/>
  <c r="N122" i="2"/>
  <c r="P122" i="2" s="1"/>
  <c r="M122" i="2"/>
  <c r="R121" i="2"/>
  <c r="Q121" i="2"/>
  <c r="P121" i="2"/>
  <c r="O121" i="2"/>
  <c r="N121" i="2"/>
  <c r="M121" i="2"/>
  <c r="R120" i="2"/>
  <c r="Q120" i="2"/>
  <c r="O120" i="2"/>
  <c r="N120" i="2"/>
  <c r="P120" i="2" s="1"/>
  <c r="M120" i="2"/>
  <c r="R119" i="2"/>
  <c r="Q119" i="2"/>
  <c r="P119" i="2"/>
  <c r="O119" i="2"/>
  <c r="N119" i="2"/>
  <c r="M119" i="2"/>
  <c r="R118" i="2"/>
  <c r="Q118" i="2"/>
  <c r="O118" i="2"/>
  <c r="N118" i="2"/>
  <c r="P118" i="2" s="1"/>
  <c r="M118" i="2"/>
  <c r="R117" i="2"/>
  <c r="Q117" i="2"/>
  <c r="P117" i="2"/>
  <c r="O117" i="2"/>
  <c r="N117" i="2"/>
  <c r="M117" i="2"/>
  <c r="R116" i="2"/>
  <c r="Q116" i="2"/>
  <c r="O116" i="2"/>
  <c r="N116" i="2"/>
  <c r="P116" i="2" s="1"/>
  <c r="M116" i="2"/>
  <c r="R115" i="2"/>
  <c r="Q115" i="2"/>
  <c r="P115" i="2"/>
  <c r="O115" i="2"/>
  <c r="N115" i="2"/>
  <c r="M115" i="2"/>
  <c r="R114" i="2"/>
  <c r="Q114" i="2"/>
  <c r="O114" i="2"/>
  <c r="N114" i="2"/>
  <c r="P114" i="2" s="1"/>
  <c r="M114" i="2"/>
  <c r="R113" i="2"/>
  <c r="Q113" i="2"/>
  <c r="P113" i="2"/>
  <c r="O113" i="2"/>
  <c r="N113" i="2"/>
  <c r="M113" i="2"/>
  <c r="R112" i="2"/>
  <c r="Q112" i="2"/>
  <c r="O112" i="2"/>
  <c r="N112" i="2"/>
  <c r="P112" i="2" s="1"/>
  <c r="M112" i="2"/>
  <c r="R111" i="2"/>
  <c r="Q111" i="2"/>
  <c r="P111" i="2"/>
  <c r="O111" i="2"/>
  <c r="N111" i="2"/>
  <c r="M111" i="2"/>
  <c r="R110" i="2"/>
  <c r="Q110" i="2"/>
  <c r="O110" i="2"/>
  <c r="N110" i="2"/>
  <c r="P110" i="2" s="1"/>
  <c r="M110" i="2"/>
  <c r="R109" i="2"/>
  <c r="Q109" i="2"/>
  <c r="P109" i="2"/>
  <c r="O109" i="2"/>
  <c r="N109" i="2"/>
  <c r="M109" i="2"/>
  <c r="R108" i="2"/>
  <c r="Q108" i="2"/>
  <c r="O108" i="2"/>
  <c r="N108" i="2"/>
  <c r="P108" i="2" s="1"/>
  <c r="M108" i="2"/>
  <c r="R107" i="2"/>
  <c r="Q107" i="2"/>
  <c r="P107" i="2"/>
  <c r="O107" i="2"/>
  <c r="N107" i="2"/>
  <c r="M107" i="2"/>
  <c r="R106" i="2"/>
  <c r="Q106" i="2"/>
  <c r="O106" i="2"/>
  <c r="N106" i="2"/>
  <c r="P106" i="2" s="1"/>
  <c r="M106" i="2"/>
  <c r="R105" i="2"/>
  <c r="Q105" i="2"/>
  <c r="P105" i="2"/>
  <c r="O105" i="2"/>
  <c r="N105" i="2"/>
  <c r="M105" i="2"/>
  <c r="R104" i="2"/>
  <c r="Q104" i="2"/>
  <c r="O104" i="2"/>
  <c r="N104" i="2"/>
  <c r="P104" i="2" s="1"/>
  <c r="M104" i="2"/>
  <c r="R103" i="2"/>
  <c r="Q103" i="2"/>
  <c r="P103" i="2"/>
  <c r="O103" i="2"/>
  <c r="N103" i="2"/>
  <c r="M103" i="2"/>
  <c r="R102" i="2"/>
  <c r="Q102" i="2"/>
  <c r="O102" i="2"/>
  <c r="N102" i="2"/>
  <c r="P102" i="2" s="1"/>
  <c r="M102" i="2"/>
  <c r="R101" i="2"/>
  <c r="Q101" i="2"/>
  <c r="P101" i="2"/>
  <c r="O101" i="2"/>
  <c r="N101" i="2"/>
  <c r="M101" i="2"/>
  <c r="R100" i="2"/>
  <c r="Q100" i="2"/>
  <c r="O100" i="2"/>
  <c r="N100" i="2"/>
  <c r="P100" i="2" s="1"/>
  <c r="M100" i="2"/>
  <c r="R99" i="2"/>
  <c r="Q99" i="2"/>
  <c r="P99" i="2"/>
  <c r="O99" i="2"/>
  <c r="N99" i="2"/>
  <c r="M99" i="2"/>
  <c r="R98" i="2"/>
  <c r="Q98" i="2"/>
  <c r="O98" i="2"/>
  <c r="N98" i="2"/>
  <c r="P98" i="2" s="1"/>
  <c r="M98" i="2"/>
  <c r="R97" i="2"/>
  <c r="Q97" i="2"/>
  <c r="P97" i="2"/>
  <c r="O97" i="2"/>
  <c r="N97" i="2"/>
  <c r="M97" i="2"/>
  <c r="R96" i="2"/>
  <c r="Q96" i="2"/>
  <c r="O96" i="2"/>
  <c r="N96" i="2"/>
  <c r="P96" i="2" s="1"/>
  <c r="M96" i="2"/>
  <c r="R95" i="2"/>
  <c r="Q95" i="2"/>
  <c r="P95" i="2"/>
  <c r="O95" i="2"/>
  <c r="N95" i="2"/>
  <c r="M95" i="2"/>
  <c r="R94" i="2"/>
  <c r="Q94" i="2"/>
  <c r="O94" i="2"/>
  <c r="N94" i="2"/>
  <c r="P94" i="2" s="1"/>
  <c r="M94" i="2"/>
  <c r="R93" i="2"/>
  <c r="Q93" i="2"/>
  <c r="P93" i="2"/>
  <c r="O93" i="2"/>
  <c r="N93" i="2"/>
  <c r="M93" i="2"/>
  <c r="R92" i="2"/>
  <c r="Q92" i="2"/>
  <c r="O92" i="2"/>
  <c r="N92" i="2"/>
  <c r="P92" i="2" s="1"/>
  <c r="M92" i="2"/>
  <c r="R91" i="2"/>
  <c r="Q91" i="2"/>
  <c r="P91" i="2"/>
  <c r="O91" i="2"/>
  <c r="N91" i="2"/>
  <c r="M91" i="2"/>
  <c r="R90" i="2"/>
  <c r="Q90" i="2"/>
  <c r="O90" i="2"/>
  <c r="N90" i="2"/>
  <c r="P90" i="2" s="1"/>
  <c r="M90" i="2"/>
  <c r="R89" i="2"/>
  <c r="Q89" i="2"/>
  <c r="P89" i="2"/>
  <c r="O89" i="2"/>
  <c r="N89" i="2"/>
  <c r="M89" i="2"/>
  <c r="R88" i="2"/>
  <c r="Q88" i="2"/>
  <c r="O88" i="2"/>
  <c r="N88" i="2"/>
  <c r="P88" i="2" s="1"/>
  <c r="M88" i="2"/>
  <c r="R87" i="2"/>
  <c r="Q87" i="2"/>
  <c r="P87" i="2"/>
  <c r="O87" i="2"/>
  <c r="N87" i="2"/>
  <c r="M87" i="2"/>
  <c r="R86" i="2"/>
  <c r="Q86" i="2"/>
  <c r="O86" i="2"/>
  <c r="N86" i="2"/>
  <c r="P86" i="2" s="1"/>
  <c r="M86" i="2"/>
  <c r="R85" i="2"/>
  <c r="Q85" i="2"/>
  <c r="P85" i="2"/>
  <c r="O85" i="2"/>
  <c r="N85" i="2"/>
  <c r="M85" i="2"/>
  <c r="R84" i="2"/>
  <c r="Q84" i="2"/>
  <c r="O84" i="2"/>
  <c r="N84" i="2"/>
  <c r="P84" i="2" s="1"/>
  <c r="M84" i="2"/>
  <c r="R83" i="2"/>
  <c r="Q83" i="2"/>
  <c r="P83" i="2"/>
  <c r="O83" i="2"/>
  <c r="N83" i="2"/>
  <c r="M83" i="2"/>
  <c r="R82" i="2"/>
  <c r="Q82" i="2"/>
  <c r="O82" i="2"/>
  <c r="N82" i="2"/>
  <c r="P82" i="2" s="1"/>
  <c r="M82" i="2"/>
  <c r="R81" i="2"/>
  <c r="Q81" i="2"/>
  <c r="P81" i="2"/>
  <c r="O81" i="2"/>
  <c r="N81" i="2"/>
  <c r="M81" i="2"/>
  <c r="R80" i="2"/>
  <c r="Q80" i="2"/>
  <c r="O80" i="2"/>
  <c r="N80" i="2"/>
  <c r="P80" i="2" s="1"/>
  <c r="M80" i="2"/>
  <c r="R79" i="2"/>
  <c r="Q79" i="2"/>
  <c r="P79" i="2"/>
  <c r="O79" i="2"/>
  <c r="N79" i="2"/>
  <c r="M79" i="2"/>
  <c r="R78" i="2"/>
  <c r="Q78" i="2"/>
  <c r="O78" i="2"/>
  <c r="N78" i="2"/>
  <c r="P78" i="2" s="1"/>
  <c r="M78" i="2"/>
  <c r="R77" i="2"/>
  <c r="Q77" i="2"/>
  <c r="P77" i="2"/>
  <c r="O77" i="2"/>
  <c r="N77" i="2"/>
  <c r="M77" i="2"/>
  <c r="R76" i="2"/>
  <c r="Q76" i="2"/>
  <c r="O76" i="2"/>
  <c r="N76" i="2"/>
  <c r="P76" i="2" s="1"/>
  <c r="M76" i="2"/>
  <c r="R75" i="2"/>
  <c r="Q75" i="2"/>
  <c r="P75" i="2"/>
  <c r="O75" i="2"/>
  <c r="N75" i="2"/>
  <c r="M75" i="2"/>
  <c r="R74" i="2"/>
  <c r="Q74" i="2"/>
  <c r="O74" i="2"/>
  <c r="N74" i="2"/>
  <c r="P74" i="2" s="1"/>
  <c r="M74" i="2"/>
  <c r="R73" i="2"/>
  <c r="Q73" i="2"/>
  <c r="P73" i="2"/>
  <c r="O73" i="2"/>
  <c r="N73" i="2"/>
  <c r="M73" i="2"/>
  <c r="R72" i="2"/>
  <c r="Q72" i="2"/>
  <c r="O72" i="2"/>
  <c r="N72" i="2"/>
  <c r="P72" i="2" s="1"/>
  <c r="M72" i="2"/>
  <c r="R71" i="2"/>
  <c r="Q71" i="2"/>
  <c r="P71" i="2"/>
  <c r="O71" i="2"/>
  <c r="N71" i="2"/>
  <c r="M71" i="2"/>
  <c r="R70" i="2"/>
  <c r="Q70" i="2"/>
  <c r="O70" i="2"/>
  <c r="N70" i="2"/>
  <c r="P70" i="2" s="1"/>
  <c r="M70" i="2"/>
  <c r="R69" i="2"/>
  <c r="Q69" i="2"/>
  <c r="P69" i="2"/>
  <c r="O69" i="2"/>
  <c r="N69" i="2"/>
  <c r="M69" i="2"/>
  <c r="R68" i="2"/>
  <c r="Q68" i="2"/>
  <c r="O68" i="2"/>
  <c r="N68" i="2"/>
  <c r="P68" i="2" s="1"/>
  <c r="M68" i="2"/>
  <c r="R67" i="2"/>
  <c r="Q67" i="2"/>
  <c r="P67" i="2"/>
  <c r="O67" i="2"/>
  <c r="N67" i="2"/>
  <c r="M67" i="2"/>
  <c r="R66" i="2"/>
  <c r="Q66" i="2"/>
  <c r="O66" i="2"/>
  <c r="N66" i="2"/>
  <c r="P66" i="2" s="1"/>
  <c r="M66" i="2"/>
  <c r="R65" i="2"/>
  <c r="Q65" i="2"/>
  <c r="P65" i="2"/>
  <c r="O65" i="2"/>
  <c r="N65" i="2"/>
  <c r="M65" i="2"/>
  <c r="R64" i="2"/>
  <c r="Q64" i="2"/>
  <c r="O64" i="2"/>
  <c r="N64" i="2"/>
  <c r="P64" i="2" s="1"/>
  <c r="M64" i="2"/>
  <c r="R63" i="2"/>
  <c r="Q63" i="2"/>
  <c r="P63" i="2"/>
  <c r="O63" i="2"/>
  <c r="N63" i="2"/>
  <c r="M63" i="2"/>
  <c r="R62" i="2"/>
  <c r="Q62" i="2"/>
  <c r="O62" i="2"/>
  <c r="N62" i="2"/>
  <c r="P62" i="2" s="1"/>
  <c r="M62" i="2"/>
  <c r="R61" i="2"/>
  <c r="Q61" i="2"/>
  <c r="P61" i="2"/>
  <c r="O61" i="2"/>
  <c r="N61" i="2"/>
  <c r="M61" i="2"/>
  <c r="R60" i="2"/>
  <c r="Q60" i="2"/>
  <c r="O60" i="2"/>
  <c r="N60" i="2"/>
  <c r="P60" i="2" s="1"/>
  <c r="M60" i="2"/>
  <c r="R59" i="2"/>
  <c r="Q59" i="2"/>
  <c r="P59" i="2"/>
  <c r="O59" i="2"/>
  <c r="N59" i="2"/>
  <c r="M59" i="2"/>
  <c r="R58" i="2"/>
  <c r="Q58" i="2"/>
  <c r="O58" i="2"/>
  <c r="N58" i="2"/>
  <c r="P58" i="2" s="1"/>
  <c r="M58" i="2"/>
  <c r="R57" i="2"/>
  <c r="Q57" i="2"/>
  <c r="P57" i="2"/>
  <c r="O57" i="2"/>
  <c r="N57" i="2"/>
  <c r="M57" i="2"/>
  <c r="R56" i="2"/>
  <c r="Q56" i="2"/>
  <c r="O56" i="2"/>
  <c r="N56" i="2"/>
  <c r="P56" i="2" s="1"/>
  <c r="M56" i="2"/>
  <c r="R55" i="2"/>
  <c r="Q55" i="2"/>
  <c r="P55" i="2"/>
  <c r="O55" i="2"/>
  <c r="N55" i="2"/>
  <c r="M55" i="2"/>
  <c r="R54" i="2"/>
  <c r="Q54" i="2"/>
  <c r="O54" i="2"/>
  <c r="N54" i="2"/>
  <c r="P54" i="2" s="1"/>
  <c r="M54" i="2"/>
  <c r="R53" i="2"/>
  <c r="Q53" i="2"/>
  <c r="P53" i="2"/>
  <c r="O53" i="2"/>
  <c r="N53" i="2"/>
  <c r="M53" i="2"/>
  <c r="R52" i="2"/>
  <c r="Q52" i="2"/>
  <c r="O52" i="2"/>
  <c r="N52" i="2"/>
  <c r="P52" i="2" s="1"/>
  <c r="M52" i="2"/>
  <c r="R51" i="2"/>
  <c r="Q51" i="2"/>
  <c r="P51" i="2"/>
  <c r="O51" i="2"/>
  <c r="N51" i="2"/>
  <c r="M51" i="2"/>
  <c r="R50" i="2"/>
  <c r="Q50" i="2"/>
  <c r="O50" i="2"/>
  <c r="N50" i="2"/>
  <c r="P50" i="2" s="1"/>
  <c r="M50" i="2"/>
  <c r="R49" i="2"/>
  <c r="Q49" i="2"/>
  <c r="P49" i="2"/>
  <c r="O49" i="2"/>
  <c r="N49" i="2"/>
  <c r="M49" i="2"/>
  <c r="R48" i="2"/>
  <c r="Q48" i="2"/>
  <c r="O48" i="2"/>
  <c r="N48" i="2"/>
  <c r="P48" i="2" s="1"/>
  <c r="M48" i="2"/>
  <c r="R47" i="2"/>
  <c r="Q47" i="2"/>
  <c r="P47" i="2"/>
  <c r="O47" i="2"/>
  <c r="N47" i="2"/>
  <c r="M47" i="2"/>
  <c r="R46" i="2"/>
  <c r="Q46" i="2"/>
  <c r="O46" i="2"/>
  <c r="N46" i="2"/>
  <c r="P46" i="2" s="1"/>
  <c r="M46" i="2"/>
  <c r="R45" i="2"/>
  <c r="Q45" i="2"/>
  <c r="P45" i="2"/>
  <c r="O45" i="2"/>
  <c r="N45" i="2"/>
  <c r="M45" i="2"/>
  <c r="R44" i="2"/>
  <c r="Q44" i="2"/>
  <c r="O44" i="2"/>
  <c r="N44" i="2"/>
  <c r="P44" i="2" s="1"/>
  <c r="M44" i="2"/>
  <c r="R43" i="2"/>
  <c r="Q43" i="2"/>
  <c r="P43" i="2"/>
  <c r="O43" i="2"/>
  <c r="N43" i="2"/>
  <c r="M43" i="2"/>
  <c r="R42" i="2"/>
  <c r="Q42" i="2"/>
  <c r="O42" i="2"/>
  <c r="N42" i="2"/>
  <c r="P42" i="2" s="1"/>
  <c r="M42" i="2"/>
  <c r="R41" i="2"/>
  <c r="Q41" i="2"/>
  <c r="P41" i="2"/>
  <c r="O41" i="2"/>
  <c r="N41" i="2"/>
  <c r="M41" i="2"/>
  <c r="R40" i="2"/>
  <c r="Q40" i="2"/>
  <c r="O40" i="2"/>
  <c r="N40" i="2"/>
  <c r="P40" i="2" s="1"/>
  <c r="M40" i="2"/>
  <c r="R39" i="2"/>
  <c r="Q39" i="2"/>
  <c r="P39" i="2"/>
  <c r="O39" i="2"/>
  <c r="N39" i="2"/>
  <c r="M39" i="2"/>
  <c r="R38" i="2"/>
  <c r="Q38" i="2"/>
  <c r="O38" i="2"/>
  <c r="N38" i="2"/>
  <c r="P38" i="2" s="1"/>
  <c r="M38" i="2"/>
  <c r="R37" i="2"/>
  <c r="Q37" i="2"/>
  <c r="P37" i="2"/>
  <c r="O37" i="2"/>
  <c r="N37" i="2"/>
  <c r="M37" i="2"/>
  <c r="R36" i="2"/>
  <c r="Q36" i="2"/>
  <c r="O36" i="2"/>
  <c r="N36" i="2"/>
  <c r="P36" i="2" s="1"/>
  <c r="M36" i="2"/>
  <c r="R35" i="2"/>
  <c r="Q35" i="2"/>
  <c r="P35" i="2"/>
  <c r="O35" i="2"/>
  <c r="N35" i="2"/>
  <c r="M35" i="2"/>
  <c r="R34" i="2"/>
  <c r="Q34" i="2"/>
  <c r="O34" i="2"/>
  <c r="N34" i="2"/>
  <c r="P34" i="2" s="1"/>
  <c r="M34" i="2"/>
  <c r="R33" i="2"/>
  <c r="Q33" i="2"/>
  <c r="P33" i="2"/>
  <c r="O33" i="2"/>
  <c r="N33" i="2"/>
  <c r="M33" i="2"/>
  <c r="R32" i="2"/>
  <c r="Q32" i="2"/>
  <c r="O32" i="2"/>
  <c r="N32" i="2"/>
  <c r="P32" i="2" s="1"/>
  <c r="M32" i="2"/>
  <c r="R31" i="2"/>
  <c r="Q31" i="2"/>
  <c r="P31" i="2"/>
  <c r="O31" i="2"/>
  <c r="N31" i="2"/>
  <c r="M31" i="2"/>
  <c r="R30" i="2"/>
  <c r="Q30" i="2"/>
  <c r="O30" i="2"/>
  <c r="N30" i="2"/>
  <c r="P30" i="2" s="1"/>
  <c r="M30" i="2"/>
  <c r="R29" i="2"/>
  <c r="Q29" i="2"/>
  <c r="P29" i="2"/>
  <c r="O29" i="2"/>
  <c r="N29" i="2"/>
  <c r="M29" i="2"/>
  <c r="R28" i="2"/>
  <c r="Q28" i="2"/>
  <c r="O28" i="2"/>
  <c r="N28" i="2"/>
  <c r="P28" i="2" s="1"/>
  <c r="M28" i="2"/>
  <c r="R27" i="2"/>
  <c r="Q27" i="2"/>
  <c r="P27" i="2"/>
  <c r="O27" i="2"/>
  <c r="N27" i="2"/>
  <c r="M27" i="2"/>
  <c r="R26" i="2"/>
  <c r="Q26" i="2"/>
  <c r="O26" i="2"/>
  <c r="N26" i="2"/>
  <c r="P26" i="2" s="1"/>
  <c r="M26" i="2"/>
  <c r="R25" i="2"/>
  <c r="Q25" i="2"/>
  <c r="P25" i="2"/>
  <c r="O25" i="2"/>
  <c r="N25" i="2"/>
  <c r="M25" i="2"/>
  <c r="R24" i="2"/>
  <c r="Q24" i="2"/>
  <c r="O24" i="2"/>
  <c r="N24" i="2"/>
  <c r="P24" i="2" s="1"/>
  <c r="M24" i="2"/>
  <c r="R23" i="2"/>
  <c r="Q23" i="2"/>
  <c r="P23" i="2"/>
  <c r="O23" i="2"/>
  <c r="N23" i="2"/>
  <c r="M23" i="2"/>
  <c r="R22" i="2"/>
  <c r="Q22" i="2"/>
  <c r="O22" i="2"/>
  <c r="N22" i="2"/>
  <c r="P22" i="2" s="1"/>
  <c r="M22" i="2"/>
  <c r="R21" i="2"/>
  <c r="Q21" i="2"/>
  <c r="P21" i="2"/>
  <c r="O21" i="2"/>
  <c r="N21" i="2"/>
  <c r="M21" i="2"/>
  <c r="R20" i="2"/>
  <c r="Q20" i="2"/>
  <c r="O20" i="2"/>
  <c r="N20" i="2"/>
  <c r="P20" i="2" s="1"/>
  <c r="M20" i="2"/>
  <c r="R19" i="2"/>
  <c r="Q19" i="2"/>
  <c r="P19" i="2"/>
  <c r="O19" i="2"/>
  <c r="N19" i="2"/>
  <c r="M19" i="2"/>
  <c r="R18" i="2"/>
  <c r="Q18" i="2"/>
  <c r="O18" i="2"/>
  <c r="N18" i="2"/>
  <c r="P18" i="2" s="1"/>
  <c r="M18" i="2"/>
  <c r="R17" i="2"/>
  <c r="Q17" i="2"/>
  <c r="P17" i="2"/>
  <c r="O17" i="2"/>
  <c r="N17" i="2"/>
  <c r="M17" i="2"/>
  <c r="R16" i="2"/>
  <c r="Q16" i="2"/>
  <c r="O16" i="2"/>
  <c r="N16" i="2"/>
  <c r="P16" i="2" s="1"/>
  <c r="M16" i="2"/>
  <c r="R15" i="2"/>
  <c r="Q15" i="2"/>
  <c r="P15" i="2"/>
  <c r="O15" i="2"/>
  <c r="N15" i="2"/>
  <c r="M15" i="2"/>
  <c r="R14" i="2"/>
  <c r="Q14" i="2"/>
  <c r="O14" i="2"/>
  <c r="N14" i="2"/>
  <c r="P14" i="2" s="1"/>
  <c r="M14" i="2"/>
  <c r="R13" i="2"/>
  <c r="Q13" i="2"/>
  <c r="P13" i="2"/>
  <c r="O13" i="2"/>
  <c r="N13" i="2"/>
  <c r="M13" i="2"/>
  <c r="R12" i="2"/>
  <c r="Q12" i="2"/>
  <c r="O12" i="2"/>
  <c r="N12" i="2"/>
  <c r="P12" i="2" s="1"/>
  <c r="M12" i="2"/>
  <c r="R11" i="2"/>
  <c r="Q11" i="2"/>
  <c r="P11" i="2"/>
  <c r="O11" i="2"/>
  <c r="N11" i="2"/>
  <c r="M11" i="2"/>
  <c r="R10" i="2"/>
  <c r="Q10" i="2"/>
  <c r="O10" i="2"/>
  <c r="N10" i="2"/>
  <c r="P10" i="2" s="1"/>
  <c r="M10" i="2"/>
  <c r="R9" i="2"/>
  <c r="Q9" i="2"/>
  <c r="P9" i="2"/>
  <c r="O9" i="2"/>
  <c r="N9" i="2"/>
  <c r="M9" i="2"/>
  <c r="Q8" i="2"/>
  <c r="O8" i="2"/>
  <c r="N8" i="2"/>
  <c r="P8" i="2" s="1"/>
  <c r="M8" i="2"/>
  <c r="R7" i="2"/>
  <c r="Q7" i="2"/>
  <c r="P7" i="2"/>
  <c r="O7" i="2"/>
  <c r="N7" i="2"/>
  <c r="M7" i="2"/>
  <c r="R6" i="2"/>
  <c r="Q6" i="2"/>
  <c r="O6" i="2"/>
  <c r="N6" i="2"/>
  <c r="P6" i="2" s="1"/>
  <c r="M6" i="2"/>
  <c r="R5" i="2"/>
  <c r="Q5" i="2"/>
  <c r="P5" i="2"/>
  <c r="O5" i="2"/>
  <c r="N5" i="2"/>
  <c r="M5" i="2"/>
  <c r="R4" i="2"/>
  <c r="Q4" i="2"/>
  <c r="O4" i="2"/>
  <c r="N4" i="2"/>
  <c r="P4" i="2" s="1"/>
  <c r="M4" i="2"/>
  <c r="R3" i="2"/>
  <c r="Q3" i="2"/>
  <c r="P3" i="2"/>
  <c r="O3" i="2"/>
  <c r="N3" i="2"/>
  <c r="M3" i="2"/>
  <c r="B9" i="3"/>
  <c r="Q2" i="2"/>
  <c r="O2" i="2"/>
  <c r="N2" i="2"/>
  <c r="P2" i="2" s="1"/>
  <c r="M2" i="2"/>
  <c r="J6" i="1"/>
  <c r="G6" i="1" l="1"/>
  <c r="A6" i="1"/>
</calcChain>
</file>

<file path=xl/sharedStrings.xml><?xml version="1.0" encoding="utf-8"?>
<sst xmlns="http://schemas.openxmlformats.org/spreadsheetml/2006/main" count="2471" uniqueCount="76">
  <si>
    <t>DEMAND &amp; INVENTORY PLANNING DASHBOARD</t>
  </si>
  <si>
    <t>Footwear Planning Simulation | Excel Data Analysis Project</t>
  </si>
  <si>
    <t>TOTAL DEMAND</t>
  </si>
  <si>
    <t>TOTAL RECEIVING</t>
  </si>
  <si>
    <t>DRA %</t>
  </si>
  <si>
    <t>TOTAL ORDERS</t>
  </si>
  <si>
    <t>INVENTORY</t>
  </si>
  <si>
    <t>Month</t>
  </si>
  <si>
    <t>Product</t>
  </si>
  <si>
    <t>Category</t>
  </si>
  <si>
    <t>Region</t>
  </si>
  <si>
    <t>Supplier</t>
  </si>
  <si>
    <t>Demand</t>
  </si>
  <si>
    <t>Production</t>
  </si>
  <si>
    <t>Receiving</t>
  </si>
  <si>
    <t>Order Qty</t>
  </si>
  <si>
    <t>Opening Inventory</t>
  </si>
  <si>
    <t>Closing Inventory</t>
  </si>
  <si>
    <t>Unit Price</t>
  </si>
  <si>
    <t>Forward Cover (Months)</t>
  </si>
  <si>
    <t>Demand Variance</t>
  </si>
  <si>
    <t>Inventory Status</t>
  </si>
  <si>
    <t>Supply Status</t>
  </si>
  <si>
    <t>Inventory Value</t>
  </si>
  <si>
    <t>Runner X</t>
  </si>
  <si>
    <t>Running Shoe</t>
  </si>
  <si>
    <t>Dhaka</t>
  </si>
  <si>
    <t>Supplier A</t>
  </si>
  <si>
    <t>Chattogram</t>
  </si>
  <si>
    <t>Supplier C</t>
  </si>
  <si>
    <t>Sylhet</t>
  </si>
  <si>
    <t>Supplier B</t>
  </si>
  <si>
    <t>Rajshahi</t>
  </si>
  <si>
    <t>Khulna</t>
  </si>
  <si>
    <t>Supplier D</t>
  </si>
  <si>
    <t>Urban Walk</t>
  </si>
  <si>
    <t>Casual Shoe</t>
  </si>
  <si>
    <t>Classic Pro</t>
  </si>
  <si>
    <t>Formal Shoe</t>
  </si>
  <si>
    <t>Street Max</t>
  </si>
  <si>
    <t>Sneaker</t>
  </si>
  <si>
    <t>Comfort Sandal</t>
  </si>
  <si>
    <t>Sandal</t>
  </si>
  <si>
    <t>Trek Pro</t>
  </si>
  <si>
    <t>Outdoor Shoe</t>
  </si>
  <si>
    <t>School Star</t>
  </si>
  <si>
    <t>School Shoe</t>
  </si>
  <si>
    <t>Flexi Loafer</t>
  </si>
  <si>
    <t>Loafer</t>
  </si>
  <si>
    <t>Sport Lite</t>
  </si>
  <si>
    <t>Sports Shoe</t>
  </si>
  <si>
    <t>Daily Step</t>
  </si>
  <si>
    <t>Demand &amp; Inventory Planning Summary</t>
  </si>
  <si>
    <t>Total Demand</t>
  </si>
  <si>
    <t>Total Receiving</t>
  </si>
  <si>
    <t>Total Orders</t>
  </si>
  <si>
    <t>Monthly Planning Trend</t>
  </si>
  <si>
    <t>Orders</t>
  </si>
  <si>
    <t>Category Performance</t>
  </si>
  <si>
    <t>How to Present This Project in Your CV</t>
  </si>
  <si>
    <t>Project Title</t>
  </si>
  <si>
    <t>Demand &amp; Inventory Planning Dashboard | Microsoft Excel</t>
  </si>
  <si>
    <t>Business Context</t>
  </si>
  <si>
    <t>Footwear demand, receiving, production, order and inventory planning simulation.</t>
  </si>
  <si>
    <t>Key Excel Skills</t>
  </si>
  <si>
    <t>Excel Tables, SUMIFS, IFERROR, Pivot-style summaries, charts, conditional formatting, KPI reporting.</t>
  </si>
  <si>
    <t>Planning Metrics</t>
  </si>
  <si>
    <t>Demand, Production, Receiving, DRA %, Order Quantity, Closing Inventory, Forward Cover, Inventory Value.</t>
  </si>
  <si>
    <t>CV Bullet 1</t>
  </si>
  <si>
    <t>Analyzed monthly demand, production, receiving, order and inventory data to identify supply-demand gaps.</t>
  </si>
  <si>
    <t>CV Bullet 2</t>
  </si>
  <si>
    <t>Calculated DRA %, forward cover and inventory value to identify potential stock-out and overstock risks.</t>
  </si>
  <si>
    <t>CV Bullet 3</t>
  </si>
  <si>
    <t>Built an interactive management dashboard with KPI cards and trend/category analysis for planning decisions.</t>
  </si>
  <si>
    <t>Interview Point</t>
  </si>
  <si>
    <t>Explain how you would use demand trends, receiving accuracy and inventory cover to support replenishment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</si>
</sst>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4"/>
      <name val="Calibri"/>
    </font>
    <font>
      <b/>
      <sz val="15"/>
      <color rgb="FF7030A0"/>
      <name val="Calibri"/>
    </font>
    <font>
      <b/>
      <sz val="18"/>
      <color rgb="FF333333"/>
      <name val="Calibri"/>
    </font>
    <font>
      <b/>
      <sz val="18"/>
      <color rgb="FFFFFFFF"/>
      <name val="Calibri"/>
    </font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2"/>
      <color rgb="FFFFFFFF"/>
      <name val="Times New Roman"/>
      <family val="1"/>
    </font>
    <font>
      <i/>
      <sz val="11"/>
      <color rgb="FF33333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7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1" fillId="3" borderId="1" xfId="0" applyFont="1" applyFill="1" applyBorder="1"/>
    <xf numFmtId="164" fontId="3" fillId="4" borderId="1" xfId="0" applyNumberFormat="1" applyFont="1" applyFill="1" applyBorder="1"/>
    <xf numFmtId="0" fontId="4" fillId="0" borderId="1" xfId="0" applyFont="1" applyBorder="1"/>
    <xf numFmtId="0" fontId="1" fillId="2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0" borderId="0" xfId="0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166" fontId="3" fillId="4" borderId="1" xfId="1" applyNumberFormat="1" applyFont="1" applyFill="1" applyBorder="1"/>
    <xf numFmtId="0" fontId="10" fillId="0" borderId="2" xfId="0" applyFont="1" applyBorder="1"/>
    <xf numFmtId="0" fontId="11" fillId="2" borderId="1" xfId="0" applyFont="1" applyFill="1" applyBorder="1" applyAlignment="1">
      <alignment horizontal="center" vertical="center"/>
    </xf>
    <xf numFmtId="0" fontId="10" fillId="0" borderId="0" xfId="0" applyFont="1"/>
    <xf numFmtId="0" fontId="12" fillId="0" borderId="1" xfId="0" applyFont="1" applyBorder="1" applyAlignment="1">
      <alignment horizontal="center"/>
    </xf>
    <xf numFmtId="0" fontId="0" fillId="0" borderId="0" xfId="0" applyBorder="1"/>
    <xf numFmtId="0" fontId="8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vertical="center"/>
    </xf>
    <xf numFmtId="0" fontId="10" fillId="6" borderId="0" xfId="0" applyFont="1" applyFill="1" applyBorder="1" applyAlignment="1">
      <alignment wrapText="1"/>
    </xf>
    <xf numFmtId="0" fontId="10" fillId="6" borderId="0" xfId="0" applyFont="1" applyFill="1" applyBorder="1"/>
  </cellXfs>
  <cellStyles count="2">
    <cellStyle name="Comma" xfId="1" builtinId="3"/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 Demand vs Receiving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'Planning Summary'!$B$13</c:f>
              <c:strCache>
                <c:ptCount val="1"/>
                <c:pt idx="0">
                  <c:v>Demand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'Planning Summary'!$A$14:$A$25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'Planning Summary'!$B$14:$B$25</c:f>
              <c:numCache>
                <c:formatCode>General</c:formatCode>
                <c:ptCount val="12"/>
                <c:pt idx="0">
                  <c:v>21012</c:v>
                </c:pt>
                <c:pt idx="1">
                  <c:v>20789</c:v>
                </c:pt>
                <c:pt idx="2">
                  <c:v>23220</c:v>
                </c:pt>
                <c:pt idx="3">
                  <c:v>24183</c:v>
                </c:pt>
                <c:pt idx="4">
                  <c:v>24656</c:v>
                </c:pt>
                <c:pt idx="5">
                  <c:v>26956</c:v>
                </c:pt>
                <c:pt idx="6">
                  <c:v>23175</c:v>
                </c:pt>
                <c:pt idx="7">
                  <c:v>24659</c:v>
                </c:pt>
                <c:pt idx="8">
                  <c:v>27403</c:v>
                </c:pt>
                <c:pt idx="9">
                  <c:v>28743</c:v>
                </c:pt>
                <c:pt idx="10">
                  <c:v>26018</c:v>
                </c:pt>
                <c:pt idx="11">
                  <c:v>27475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A1-4A48-B9A1-AC4187CA63C9}"/>
            </c:ext>
          </c:extLst>
        </c:ser>
        <c:ser>
          <c:idx val="1"/>
          <c:order val="1"/>
          <c:tx>
            <c:strRef>
              <c:f>'Planning Summary'!$C$13</c:f>
              <c:strCache>
                <c:ptCount val="1"/>
                <c:pt idx="0">
                  <c:v>Production</c:v>
                </c:pt>
              </c:strCache>
            </c:strRef>
          </c:tx>
          <c:spPr>
            <a:ln>
              <a:prstDash val="solid"/>
            </a:ln>
          </c:spPr>
          <c:marker>
            <c:symbol val="diamond"/>
            <c:size val="5"/>
            <c:spPr>
              <a:ln>
                <a:prstDash val="solid"/>
              </a:ln>
            </c:spPr>
          </c:marker>
          <c:cat>
            <c:numRef>
              <c:f>'Planning Summary'!$A$14:$A$25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'Planning Summary'!$C$14:$C$25</c:f>
              <c:numCache>
                <c:formatCode>General</c:formatCode>
                <c:ptCount val="12"/>
                <c:pt idx="0">
                  <c:v>20852</c:v>
                </c:pt>
                <c:pt idx="1">
                  <c:v>20594</c:v>
                </c:pt>
                <c:pt idx="2">
                  <c:v>23453</c:v>
                </c:pt>
                <c:pt idx="3">
                  <c:v>24309</c:v>
                </c:pt>
                <c:pt idx="4">
                  <c:v>24606</c:v>
                </c:pt>
                <c:pt idx="5">
                  <c:v>27458</c:v>
                </c:pt>
                <c:pt idx="6">
                  <c:v>22910</c:v>
                </c:pt>
                <c:pt idx="7">
                  <c:v>24815</c:v>
                </c:pt>
                <c:pt idx="8">
                  <c:v>27549</c:v>
                </c:pt>
                <c:pt idx="9">
                  <c:v>28730</c:v>
                </c:pt>
                <c:pt idx="10">
                  <c:v>26159</c:v>
                </c:pt>
                <c:pt idx="11">
                  <c:v>27569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A1-4A48-B9A1-AC4187CA63C9}"/>
            </c:ext>
          </c:extLst>
        </c:ser>
        <c:ser>
          <c:idx val="2"/>
          <c:order val="2"/>
          <c:tx>
            <c:strRef>
              <c:f>'Planning Summary'!$D$13</c:f>
              <c:strCache>
                <c:ptCount val="1"/>
                <c:pt idx="0">
                  <c:v>Receiving</c:v>
                </c:pt>
              </c:strCache>
            </c:strRef>
          </c:tx>
          <c:spPr>
            <a:ln>
              <a:prstDash val="solid"/>
            </a:ln>
          </c:spPr>
          <c:marker>
            <c:symbol val="diamond"/>
            <c:size val="5"/>
            <c:spPr>
              <a:ln>
                <a:prstDash val="solid"/>
              </a:ln>
            </c:spPr>
          </c:marker>
          <c:cat>
            <c:numRef>
              <c:f>'Planning Summary'!$A$14:$A$25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'Planning Summary'!$D$14:$D$25</c:f>
              <c:numCache>
                <c:formatCode>General</c:formatCode>
                <c:ptCount val="12"/>
                <c:pt idx="0">
                  <c:v>19962</c:v>
                </c:pt>
                <c:pt idx="1">
                  <c:v>19574</c:v>
                </c:pt>
                <c:pt idx="2">
                  <c:v>21956</c:v>
                </c:pt>
                <c:pt idx="3">
                  <c:v>23098</c:v>
                </c:pt>
                <c:pt idx="4">
                  <c:v>23512</c:v>
                </c:pt>
                <c:pt idx="5">
                  <c:v>25937</c:v>
                </c:pt>
                <c:pt idx="6">
                  <c:v>21711</c:v>
                </c:pt>
                <c:pt idx="7">
                  <c:v>23584</c:v>
                </c:pt>
                <c:pt idx="8">
                  <c:v>25884</c:v>
                </c:pt>
                <c:pt idx="9">
                  <c:v>27209</c:v>
                </c:pt>
                <c:pt idx="10">
                  <c:v>25148</c:v>
                </c:pt>
                <c:pt idx="11">
                  <c:v>26010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A1-4A48-B9A1-AC4187CA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Demand by Product Category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162311613611961E-2"/>
          <c:y val="0.14201527777777778"/>
          <c:w val="0.92684662889681591"/>
          <c:h val="0.630152777777777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'Planning Summary'!$B$29</c:f>
              <c:strCache>
                <c:ptCount val="1"/>
                <c:pt idx="0">
                  <c:v>Demand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'Planning Summary'!$A$30:$A$38</c:f>
              <c:strCache>
                <c:ptCount val="9"/>
                <c:pt idx="0">
                  <c:v>Casual Shoe</c:v>
                </c:pt>
                <c:pt idx="1">
                  <c:v>Formal Shoe</c:v>
                </c:pt>
                <c:pt idx="2">
                  <c:v>Loafer</c:v>
                </c:pt>
                <c:pt idx="3">
                  <c:v>Outdoor Shoe</c:v>
                </c:pt>
                <c:pt idx="4">
                  <c:v>Running Shoe</c:v>
                </c:pt>
                <c:pt idx="5">
                  <c:v>Sandal</c:v>
                </c:pt>
                <c:pt idx="6">
                  <c:v>School Shoe</c:v>
                </c:pt>
                <c:pt idx="7">
                  <c:v>Sneaker</c:v>
                </c:pt>
                <c:pt idx="8">
                  <c:v>Sports Shoe</c:v>
                </c:pt>
              </c:strCache>
            </c:strRef>
          </c:cat>
          <c:val>
            <c:numRef>
              <c:f>'Planning Summary'!$B$30:$B$38</c:f>
              <c:numCache>
                <c:formatCode>General</c:formatCode>
                <c:ptCount val="9"/>
                <c:pt idx="0">
                  <c:v>59754</c:v>
                </c:pt>
                <c:pt idx="1">
                  <c:v>27332</c:v>
                </c:pt>
                <c:pt idx="2">
                  <c:v>25922</c:v>
                </c:pt>
                <c:pt idx="3">
                  <c:v>29026</c:v>
                </c:pt>
                <c:pt idx="4">
                  <c:v>38076</c:v>
                </c:pt>
                <c:pt idx="5">
                  <c:v>21897</c:v>
                </c:pt>
                <c:pt idx="6">
                  <c:v>24316</c:v>
                </c:pt>
                <c:pt idx="7">
                  <c:v>35569</c:v>
                </c:pt>
                <c:pt idx="8">
                  <c:v>36397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445-8F9D-67D56205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Demand Units</a:t>
                </a:r>
              </a:p>
            </c:rich>
          </c:tx>
          <c:layout>
            <c:manualLayout>
              <c:xMode val="edge"/>
              <c:yMode val="edge"/>
              <c:x val="1.1759259259259259E-2"/>
              <c:y val="0.35623194444444445"/>
            </c:manualLayout>
          </c:layout>
          <c:overlay val="1"/>
          <c:spPr>
            <a:solidFill>
              <a:schemeClr val="accent4">
                <a:lumMod val="40000"/>
                <a:lumOff val="60000"/>
              </a:schemeClr>
            </a:solidFill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5384672352716112E-2"/>
          <c:y val="0.83054166666666662"/>
          <c:w val="0.9438611649406915"/>
          <c:h val="0.14299999999999999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Category DRA %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186081381521121"/>
          <c:y val="0.14201527777777778"/>
          <c:w val="0.76591457764096205"/>
          <c:h val="0.8094777777777777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'Planning Summary'!$D$29</c:f>
              <c:strCache>
                <c:ptCount val="1"/>
                <c:pt idx="0">
                  <c:v>DRA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'Planning Summary'!$A$30:$A$38</c:f>
              <c:strCache>
                <c:ptCount val="9"/>
                <c:pt idx="0">
                  <c:v>Casual Shoe</c:v>
                </c:pt>
                <c:pt idx="1">
                  <c:v>Formal Shoe</c:v>
                </c:pt>
                <c:pt idx="2">
                  <c:v>Loafer</c:v>
                </c:pt>
                <c:pt idx="3">
                  <c:v>Outdoor Shoe</c:v>
                </c:pt>
                <c:pt idx="4">
                  <c:v>Running Shoe</c:v>
                </c:pt>
                <c:pt idx="5">
                  <c:v>Sandal</c:v>
                </c:pt>
                <c:pt idx="6">
                  <c:v>School Shoe</c:v>
                </c:pt>
                <c:pt idx="7">
                  <c:v>Sneaker</c:v>
                </c:pt>
                <c:pt idx="8">
                  <c:v>Sports Shoe</c:v>
                </c:pt>
              </c:strCache>
            </c:strRef>
          </c:cat>
          <c:val>
            <c:numRef>
              <c:f>'Planning Summary'!$D$30:$D$38</c:f>
              <c:numCache>
                <c:formatCode>0.0%</c:formatCode>
                <c:ptCount val="9"/>
                <c:pt idx="0">
                  <c:v>0.94803695150115475</c:v>
                </c:pt>
                <c:pt idx="1">
                  <c:v>0.95042441094687546</c:v>
                </c:pt>
                <c:pt idx="2">
                  <c:v>0.92330838669855719</c:v>
                </c:pt>
                <c:pt idx="3">
                  <c:v>0.94008819678908562</c:v>
                </c:pt>
                <c:pt idx="4">
                  <c:v>0.95459081836327342</c:v>
                </c:pt>
                <c:pt idx="5">
                  <c:v>0.96652509476183956</c:v>
                </c:pt>
                <c:pt idx="6">
                  <c:v>0.95064977792400063</c:v>
                </c:pt>
                <c:pt idx="7">
                  <c:v>0.96831510585060021</c:v>
                </c:pt>
                <c:pt idx="8">
                  <c:v>0.95252355963403579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5-4E8E-BB4E-81D679DC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DRA %</a:t>
                </a:r>
              </a:p>
            </c:rich>
          </c:tx>
          <c:layout>
            <c:manualLayout>
              <c:xMode val="edge"/>
              <c:yMode val="edge"/>
              <c:x val="0.17549327256167646"/>
              <c:y val="0.45515312499999999"/>
            </c:manualLayout>
          </c:layout>
          <c:overlay val="1"/>
          <c:spPr>
            <a:solidFill>
              <a:schemeClr val="accent4">
                <a:lumMod val="40000"/>
                <a:lumOff val="60000"/>
              </a:schemeClr>
            </a:solidFill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l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 Closing Inventory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796296296296298E-2"/>
          <c:y val="0.13670138888888889"/>
          <c:w val="0.75760629629629639"/>
          <c:h val="0.81479166666666669"/>
        </c:manualLayout>
      </c:layout>
      <c:lineChart>
        <c:grouping val="standard"/>
        <c:varyColors val="1"/>
        <c:ser>
          <c:idx val="0"/>
          <c:order val="0"/>
          <c:tx>
            <c:strRef>
              <c:f>'Planning Summary'!$F$13</c:f>
              <c:strCache>
                <c:ptCount val="1"/>
                <c:pt idx="0">
                  <c:v>Closing Inventory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'Planning Summary'!$A$14:$A$25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'Planning Summary'!$F$14:$F$25</c:f>
              <c:numCache>
                <c:formatCode>General</c:formatCode>
                <c:ptCount val="12"/>
                <c:pt idx="0">
                  <c:v>7419</c:v>
                </c:pt>
                <c:pt idx="1">
                  <c:v>4105</c:v>
                </c:pt>
                <c:pt idx="2">
                  <c:v>3808</c:v>
                </c:pt>
                <c:pt idx="3">
                  <c:v>3855</c:v>
                </c:pt>
                <c:pt idx="4">
                  <c:v>3871</c:v>
                </c:pt>
                <c:pt idx="5">
                  <c:v>3979</c:v>
                </c:pt>
                <c:pt idx="6">
                  <c:v>3582</c:v>
                </c:pt>
                <c:pt idx="7">
                  <c:v>3852</c:v>
                </c:pt>
                <c:pt idx="8">
                  <c:v>3324</c:v>
                </c:pt>
                <c:pt idx="9">
                  <c:v>3992</c:v>
                </c:pt>
                <c:pt idx="10">
                  <c:v>3901</c:v>
                </c:pt>
                <c:pt idx="11">
                  <c:v>3523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A7-4DCD-8328-AAE3C349D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Units</a:t>
                </a:r>
              </a:p>
            </c:rich>
          </c:tx>
          <c:layout>
            <c:manualLayout>
              <c:xMode val="edge"/>
              <c:yMode val="edge"/>
              <c:x val="1.9615774508591914E-2"/>
              <c:y val="0.42105486111111118"/>
            </c:manualLayout>
          </c:layout>
          <c:overlay val="1"/>
          <c:spPr>
            <a:solidFill>
              <a:schemeClr val="accent4">
                <a:lumMod val="40000"/>
                <a:lumOff val="60000"/>
              </a:schemeClr>
            </a:solidFill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9</xdr:row>
      <xdr:rowOff>0</xdr:rowOff>
    </xdr:from>
    <xdr:ext cx="628582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485775</xdr:colOff>
      <xdr:row>9</xdr:row>
      <xdr:rowOff>0</xdr:rowOff>
    </xdr:from>
    <xdr:ext cx="6076275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276225</xdr:colOff>
      <xdr:row>26</xdr:row>
      <xdr:rowOff>0</xdr:rowOff>
    </xdr:from>
    <xdr:ext cx="6285825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495300</xdr:colOff>
      <xdr:row>26</xdr:row>
      <xdr:rowOff>0</xdr:rowOff>
    </xdr:from>
    <xdr:ext cx="606675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14</xdr:col>
      <xdr:colOff>95250</xdr:colOff>
      <xdr:row>0</xdr:row>
      <xdr:rowOff>84667</xdr:rowOff>
    </xdr:from>
    <xdr:to>
      <xdr:col>15</xdr:col>
      <xdr:colOff>338667</xdr:colOff>
      <xdr:row>41</xdr:row>
      <xdr:rowOff>10583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F0C35DC4-5BA0-4F4D-9A6C-40BF89CF1E61}"/>
            </a:ext>
          </a:extLst>
        </xdr:cNvPr>
        <xdr:cNvSpPr/>
      </xdr:nvSpPr>
      <xdr:spPr>
        <a:xfrm>
          <a:off x="13133917" y="84667"/>
          <a:ext cx="508000" cy="77893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497412</xdr:colOff>
      <xdr:row>12</xdr:row>
      <xdr:rowOff>42336</xdr:rowOff>
    </xdr:from>
    <xdr:to>
      <xdr:col>29</xdr:col>
      <xdr:colOff>158745</xdr:colOff>
      <xdr:row>16</xdr:row>
      <xdr:rowOff>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8380AC8-F25D-45E8-8A57-A790D64871EB}"/>
            </a:ext>
          </a:extLst>
        </xdr:cNvPr>
        <xdr:cNvSpPr/>
      </xdr:nvSpPr>
      <xdr:spPr>
        <a:xfrm>
          <a:off x="13800662" y="2328336"/>
          <a:ext cx="5778500" cy="719667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i="0" u="none" strike="noStrike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Summary and key points for making the business decision</a:t>
          </a:r>
        </a:p>
        <a:p>
          <a:pPr algn="l"/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491062</xdr:colOff>
      <xdr:row>16</xdr:row>
      <xdr:rowOff>88905</xdr:rowOff>
    </xdr:from>
    <xdr:to>
      <xdr:col>29</xdr:col>
      <xdr:colOff>152395</xdr:colOff>
      <xdr:row>18</xdr:row>
      <xdr:rowOff>232836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E0D1F55-46FD-4678-B821-38EB80930450}"/>
            </a:ext>
          </a:extLst>
        </xdr:cNvPr>
        <xdr:cNvSpPr/>
      </xdr:nvSpPr>
      <xdr:spPr>
        <a:xfrm>
          <a:off x="13794312" y="3136905"/>
          <a:ext cx="5778500" cy="524931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Strong Overall Delivery: </a:t>
          </a:r>
          <a:r>
            <a:rPr lang="en-US" sz="1200" b="0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Maintained a 95.1% DRA, perfectly aligning aggregate production with demand across 2025.</a:t>
          </a:r>
          <a:endParaRPr lang="en-US" sz="1600">
            <a:solidFill>
              <a:schemeClr val="bg2">
                <a:lumMod val="1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495295</xdr:colOff>
      <xdr:row>19</xdr:row>
      <xdr:rowOff>61388</xdr:rowOff>
    </xdr:from>
    <xdr:to>
      <xdr:col>29</xdr:col>
      <xdr:colOff>156628</xdr:colOff>
      <xdr:row>22</xdr:row>
      <xdr:rowOff>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1563B24-C0ED-46F9-9FF8-E9241D4A186E}"/>
            </a:ext>
          </a:extLst>
        </xdr:cNvPr>
        <xdr:cNvSpPr/>
      </xdr:nvSpPr>
      <xdr:spPr>
        <a:xfrm>
          <a:off x="13798545" y="3733805"/>
          <a:ext cx="5778500" cy="51011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Lean Inventory Management: </a:t>
          </a:r>
          <a:r>
            <a:rPr lang="en-US" sz="1200" b="0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Successfully stabilized closing stock to 49,211 units, optimizing working capital and storage costs.</a:t>
          </a:r>
          <a:endParaRPr lang="en-US" sz="1400">
            <a:solidFill>
              <a:schemeClr val="bg2">
                <a:lumMod val="1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510111</xdr:colOff>
      <xdr:row>22</xdr:row>
      <xdr:rowOff>97371</xdr:rowOff>
    </xdr:from>
    <xdr:to>
      <xdr:col>29</xdr:col>
      <xdr:colOff>171444</xdr:colOff>
      <xdr:row>25</xdr:row>
      <xdr:rowOff>42336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0E7E96B-2AB3-4F48-B8A0-9E1869682488}"/>
            </a:ext>
          </a:extLst>
        </xdr:cNvPr>
        <xdr:cNvSpPr/>
      </xdr:nvSpPr>
      <xdr:spPr>
        <a:xfrm>
          <a:off x="13813361" y="4341288"/>
          <a:ext cx="5778500" cy="51646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Core vs. Bottleneck Performance: </a:t>
          </a:r>
          <a:r>
            <a:rPr lang="en-US" sz="1200" b="0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High fulfillment in Formal, Sandal, and Casual lines, but School Shoes faced severe shortfalls (DRA &lt;30%).</a:t>
          </a:r>
          <a:endParaRPr lang="en-US" sz="1400">
            <a:solidFill>
              <a:schemeClr val="bg2">
                <a:lumMod val="1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514344</xdr:colOff>
      <xdr:row>25</xdr:row>
      <xdr:rowOff>112187</xdr:rowOff>
    </xdr:from>
    <xdr:to>
      <xdr:col>29</xdr:col>
      <xdr:colOff>175677</xdr:colOff>
      <xdr:row>28</xdr:row>
      <xdr:rowOff>57152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F86E69C-1283-48A8-B584-0C8298E681F8}"/>
            </a:ext>
          </a:extLst>
        </xdr:cNvPr>
        <xdr:cNvSpPr/>
      </xdr:nvSpPr>
      <xdr:spPr>
        <a:xfrm>
          <a:off x="13817594" y="4927604"/>
          <a:ext cx="5778500" cy="51646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 Decision: </a:t>
          </a:r>
          <a:r>
            <a:rPr lang="en-US" sz="1200" b="0" i="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Transition to category-specific dynamic buffer planning to protect high-demand seasonal spikes.</a:t>
          </a:r>
          <a:r>
            <a:rPr lang="en-US" sz="1200">
              <a:solidFill>
                <a:schemeClr val="bg2">
                  <a:lumMod val="1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solidFill>
              <a:schemeClr val="bg2">
                <a:lumMod val="10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338667</xdr:colOff>
      <xdr:row>8</xdr:row>
      <xdr:rowOff>105833</xdr:rowOff>
    </xdr:from>
    <xdr:to>
      <xdr:col>29</xdr:col>
      <xdr:colOff>306916</xdr:colOff>
      <xdr:row>33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6D96BF4-243C-439D-BE1C-E5B6D4C2A2A9}"/>
            </a:ext>
          </a:extLst>
        </xdr:cNvPr>
        <xdr:cNvSpPr/>
      </xdr:nvSpPr>
      <xdr:spPr>
        <a:xfrm>
          <a:off x="13641917" y="1629833"/>
          <a:ext cx="6085416" cy="4709584"/>
        </a:xfrm>
        <a:prstGeom prst="roundRect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showGridLines="0" tabSelected="1" zoomScale="90" zoomScaleNormal="90" workbookViewId="0">
      <pane ySplit="4" topLeftCell="A5" activePane="bottomLeft" state="frozen"/>
      <selection pane="bottomLeft" activeCell="S57" sqref="S57"/>
    </sheetView>
  </sheetViews>
  <sheetFormatPr defaultRowHeight="15" x14ac:dyDescent="0.25"/>
  <cols>
    <col min="1" max="14" width="14" customWidth="1"/>
    <col min="15" max="15" width="4" customWidth="1"/>
    <col min="25" max="25" width="8.85546875" customWidth="1"/>
    <col min="26" max="26" width="9.140625" hidden="1" customWidth="1"/>
    <col min="27" max="27" width="1.140625" hidden="1" customWidth="1"/>
    <col min="28" max="28" width="5.7109375" hidden="1" customWidth="1"/>
    <col min="29" max="29" width="9.140625" hidden="1" customWidth="1"/>
  </cols>
  <sheetData>
    <row r="1" spans="1:24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24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24" x14ac:dyDescent="0.25">
      <c r="A3" s="23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24" x14ac:dyDescent="0.25">
      <c r="U4" s="24"/>
      <c r="V4" s="24"/>
      <c r="W4" s="24"/>
      <c r="X4" s="24"/>
    </row>
    <row r="5" spans="1:24" x14ac:dyDescent="0.25">
      <c r="A5" s="14" t="s">
        <v>2</v>
      </c>
      <c r="B5" s="13"/>
      <c r="C5" s="13"/>
      <c r="D5" s="14" t="s">
        <v>3</v>
      </c>
      <c r="E5" s="13"/>
      <c r="F5" s="13"/>
      <c r="G5" s="14" t="s">
        <v>4</v>
      </c>
      <c r="H5" s="13"/>
      <c r="I5" s="13"/>
      <c r="J5" s="14" t="s">
        <v>5</v>
      </c>
      <c r="K5" s="13"/>
      <c r="L5" s="13"/>
      <c r="M5" s="14" t="s">
        <v>6</v>
      </c>
      <c r="N5" s="13"/>
    </row>
    <row r="6" spans="1:24" x14ac:dyDescent="0.25">
      <c r="A6" s="15">
        <f>'Planning Summary'!B4</f>
        <v>298289</v>
      </c>
      <c r="B6" s="12"/>
      <c r="C6" s="12"/>
      <c r="D6" s="15">
        <f>'Planning Summary'!B5</f>
        <v>283585</v>
      </c>
      <c r="E6" s="12"/>
      <c r="F6" s="12"/>
      <c r="G6" s="16">
        <f>'Planning Summary'!B6</f>
        <v>0.95070552383762053</v>
      </c>
      <c r="H6" s="12"/>
      <c r="I6" s="12"/>
      <c r="J6" s="15">
        <f>'Planning Summary'!B7</f>
        <v>298732</v>
      </c>
      <c r="K6" s="12"/>
      <c r="L6" s="12"/>
      <c r="M6" s="15">
        <f>'Planning Summary'!B8</f>
        <v>49211</v>
      </c>
      <c r="N6" s="12"/>
    </row>
    <row r="7" spans="1:24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24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19" spans="17:30" ht="18.75" x14ac:dyDescent="0.25"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7:30" x14ac:dyDescent="0.25">
      <c r="Q20" s="27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7:30" x14ac:dyDescent="0.25"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7:30" x14ac:dyDescent="0.25">
      <c r="Q22" s="27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7:30" x14ac:dyDescent="0.25">
      <c r="Q23" s="27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</sheetData>
  <mergeCells count="17">
    <mergeCell ref="Q23:AD23"/>
    <mergeCell ref="M5:N5"/>
    <mergeCell ref="Q22:AD22"/>
    <mergeCell ref="Q20:AD20"/>
    <mergeCell ref="Q21:AD21"/>
    <mergeCell ref="M6:N8"/>
    <mergeCell ref="Q19:AD19"/>
    <mergeCell ref="A1:N2"/>
    <mergeCell ref="J5:L5"/>
    <mergeCell ref="A3:N3"/>
    <mergeCell ref="A6:C8"/>
    <mergeCell ref="G6:I8"/>
    <mergeCell ref="D5:F5"/>
    <mergeCell ref="A5:C5"/>
    <mergeCell ref="D6:F8"/>
    <mergeCell ref="G5:I5"/>
    <mergeCell ref="J6:L8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1"/>
  <sheetViews>
    <sheetView topLeftCell="B1" workbookViewId="0">
      <pane ySplit="1" topLeftCell="A14" activePane="bottomLeft" state="frozen"/>
      <selection pane="bottomLeft" activeCell="R9" sqref="R9"/>
    </sheetView>
  </sheetViews>
  <sheetFormatPr defaultRowHeight="15" x14ac:dyDescent="0.25"/>
  <cols>
    <col min="1" max="1" width="14" customWidth="1"/>
    <col min="2" max="3" width="18" customWidth="1"/>
    <col min="4" max="5" width="14" customWidth="1"/>
    <col min="6" max="6" width="12" customWidth="1"/>
    <col min="7" max="7" width="13" customWidth="1"/>
    <col min="8" max="9" width="12" customWidth="1"/>
    <col min="10" max="11" width="16" customWidth="1"/>
    <col min="12" max="13" width="12" customWidth="1"/>
    <col min="14" max="14" width="22" customWidth="1"/>
    <col min="15" max="18" width="16" customWidth="1"/>
  </cols>
  <sheetData>
    <row r="1" spans="1:18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4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x14ac:dyDescent="0.25">
      <c r="A2" s="2">
        <v>45658</v>
      </c>
      <c r="B2" s="3" t="s">
        <v>24</v>
      </c>
      <c r="C2" s="3" t="s">
        <v>25</v>
      </c>
      <c r="D2" s="3" t="s">
        <v>26</v>
      </c>
      <c r="E2" s="3" t="s">
        <v>27</v>
      </c>
      <c r="F2" s="3">
        <v>719</v>
      </c>
      <c r="G2" s="3">
        <v>705</v>
      </c>
      <c r="H2" s="3">
        <v>623</v>
      </c>
      <c r="I2" s="3">
        <v>686</v>
      </c>
      <c r="J2" s="3">
        <v>403</v>
      </c>
      <c r="K2" s="3">
        <v>307</v>
      </c>
      <c r="L2" s="3">
        <v>1800</v>
      </c>
      <c r="M2" s="4">
        <f t="shared" ref="M2:M65" si="0">IFERROR(H2/F2,0)</f>
        <v>0.86648122392211402</v>
      </c>
      <c r="N2" s="5">
        <f t="shared" ref="N2:N65" si="1">IFERROR(K2/F2*12,0)</f>
        <v>5.1237830319888733</v>
      </c>
      <c r="O2" s="3">
        <f t="shared" ref="O2:O65" si="2">F2-H2</f>
        <v>96</v>
      </c>
      <c r="P2" s="3" t="str">
        <f t="shared" ref="P2:P65" si="3">IF(N2&lt;1,"Low",IF(N2&lt;=2,"Medium","Healthy"))</f>
        <v>Healthy</v>
      </c>
      <c r="Q2" s="3" t="str">
        <f t="shared" ref="Q2:Q65" si="4">IF(H2&lt;F2,"Short Supply","On Track")</f>
        <v>Short Supply</v>
      </c>
      <c r="R2" s="6">
        <f>K2*L2</f>
        <v>552600</v>
      </c>
    </row>
    <row r="3" spans="1:18" x14ac:dyDescent="0.25">
      <c r="A3" s="2">
        <v>45658</v>
      </c>
      <c r="B3" s="3" t="s">
        <v>24</v>
      </c>
      <c r="C3" s="3" t="s">
        <v>25</v>
      </c>
      <c r="D3" s="3" t="s">
        <v>28</v>
      </c>
      <c r="E3" s="3" t="s">
        <v>29</v>
      </c>
      <c r="F3" s="3">
        <v>650</v>
      </c>
      <c r="G3" s="3">
        <v>683</v>
      </c>
      <c r="H3" s="3">
        <v>668</v>
      </c>
      <c r="I3" s="3">
        <v>641</v>
      </c>
      <c r="J3" s="3">
        <v>287</v>
      </c>
      <c r="K3" s="3">
        <v>305</v>
      </c>
      <c r="L3" s="3">
        <v>1800</v>
      </c>
      <c r="M3" s="4">
        <f t="shared" si="0"/>
        <v>1.0276923076923077</v>
      </c>
      <c r="N3" s="5">
        <f t="shared" si="1"/>
        <v>5.6307692307692303</v>
      </c>
      <c r="O3" s="3">
        <f t="shared" si="2"/>
        <v>-18</v>
      </c>
      <c r="P3" s="3" t="str">
        <f t="shared" si="3"/>
        <v>Healthy</v>
      </c>
      <c r="Q3" s="3" t="str">
        <f t="shared" si="4"/>
        <v>On Track</v>
      </c>
      <c r="R3" s="6">
        <f t="shared" ref="R2:R65" si="5">K3*L3</f>
        <v>549000</v>
      </c>
    </row>
    <row r="4" spans="1:18" x14ac:dyDescent="0.25">
      <c r="A4" s="2">
        <v>45658</v>
      </c>
      <c r="B4" s="3" t="s">
        <v>24</v>
      </c>
      <c r="C4" s="3" t="s">
        <v>25</v>
      </c>
      <c r="D4" s="3" t="s">
        <v>30</v>
      </c>
      <c r="E4" s="3" t="s">
        <v>31</v>
      </c>
      <c r="F4" s="3">
        <v>518</v>
      </c>
      <c r="G4" s="3">
        <v>456</v>
      </c>
      <c r="H4" s="3">
        <v>452</v>
      </c>
      <c r="I4" s="3">
        <v>534</v>
      </c>
      <c r="J4" s="3">
        <v>198</v>
      </c>
      <c r="K4" s="3">
        <v>132</v>
      </c>
      <c r="L4" s="3">
        <v>1800</v>
      </c>
      <c r="M4" s="4">
        <f t="shared" si="0"/>
        <v>0.87258687258687262</v>
      </c>
      <c r="N4" s="5">
        <f t="shared" si="1"/>
        <v>3.057915057915058</v>
      </c>
      <c r="O4" s="3">
        <f t="shared" si="2"/>
        <v>66</v>
      </c>
      <c r="P4" s="3" t="str">
        <f t="shared" si="3"/>
        <v>Healthy</v>
      </c>
      <c r="Q4" s="3" t="str">
        <f t="shared" si="4"/>
        <v>Short Supply</v>
      </c>
      <c r="R4" s="6">
        <f t="shared" si="5"/>
        <v>237600</v>
      </c>
    </row>
    <row r="5" spans="1:18" x14ac:dyDescent="0.25">
      <c r="A5" s="2">
        <v>45658</v>
      </c>
      <c r="B5" s="3" t="s">
        <v>24</v>
      </c>
      <c r="C5" s="3" t="s">
        <v>25</v>
      </c>
      <c r="D5" s="3" t="s">
        <v>32</v>
      </c>
      <c r="E5" s="3" t="s">
        <v>29</v>
      </c>
      <c r="F5" s="3">
        <v>400</v>
      </c>
      <c r="G5" s="3">
        <v>425</v>
      </c>
      <c r="H5" s="3">
        <v>380</v>
      </c>
      <c r="I5" s="3">
        <v>392</v>
      </c>
      <c r="J5" s="3">
        <v>148</v>
      </c>
      <c r="K5" s="3">
        <v>128</v>
      </c>
      <c r="L5" s="3">
        <v>1800</v>
      </c>
      <c r="M5" s="4">
        <f t="shared" si="0"/>
        <v>0.95</v>
      </c>
      <c r="N5" s="5">
        <f t="shared" si="1"/>
        <v>3.84</v>
      </c>
      <c r="O5" s="3">
        <f t="shared" si="2"/>
        <v>20</v>
      </c>
      <c r="P5" s="3" t="str">
        <f t="shared" si="3"/>
        <v>Healthy</v>
      </c>
      <c r="Q5" s="3" t="str">
        <f t="shared" si="4"/>
        <v>Short Supply</v>
      </c>
      <c r="R5" s="6">
        <f t="shared" si="5"/>
        <v>230400</v>
      </c>
    </row>
    <row r="6" spans="1:18" x14ac:dyDescent="0.25">
      <c r="A6" s="2">
        <v>45658</v>
      </c>
      <c r="B6" s="3" t="s">
        <v>24</v>
      </c>
      <c r="C6" s="3" t="s">
        <v>25</v>
      </c>
      <c r="D6" s="3" t="s">
        <v>33</v>
      </c>
      <c r="E6" s="3" t="s">
        <v>34</v>
      </c>
      <c r="F6" s="3">
        <v>501</v>
      </c>
      <c r="G6" s="3">
        <v>537</v>
      </c>
      <c r="H6" s="3">
        <v>527</v>
      </c>
      <c r="I6" s="3">
        <v>503</v>
      </c>
      <c r="J6" s="3">
        <v>172</v>
      </c>
      <c r="K6" s="3">
        <v>198</v>
      </c>
      <c r="L6" s="3">
        <v>1800</v>
      </c>
      <c r="M6" s="4">
        <f t="shared" si="0"/>
        <v>1.0518962075848304</v>
      </c>
      <c r="N6" s="5">
        <f t="shared" si="1"/>
        <v>4.7425149700598803</v>
      </c>
      <c r="O6" s="3">
        <f t="shared" si="2"/>
        <v>-26</v>
      </c>
      <c r="P6" s="3" t="str">
        <f t="shared" si="3"/>
        <v>Healthy</v>
      </c>
      <c r="Q6" s="3" t="str">
        <f t="shared" si="4"/>
        <v>On Track</v>
      </c>
      <c r="R6" s="6">
        <f t="shared" si="5"/>
        <v>356400</v>
      </c>
    </row>
    <row r="7" spans="1:18" x14ac:dyDescent="0.25">
      <c r="A7" s="2">
        <v>45658</v>
      </c>
      <c r="B7" s="3" t="s">
        <v>35</v>
      </c>
      <c r="C7" s="3" t="s">
        <v>36</v>
      </c>
      <c r="D7" s="3" t="s">
        <v>26</v>
      </c>
      <c r="E7" s="3" t="s">
        <v>31</v>
      </c>
      <c r="F7" s="3">
        <v>582</v>
      </c>
      <c r="G7" s="3">
        <v>553</v>
      </c>
      <c r="H7" s="3">
        <v>535</v>
      </c>
      <c r="I7" s="3">
        <v>617</v>
      </c>
      <c r="J7" s="3">
        <v>165</v>
      </c>
      <c r="K7" s="3">
        <v>118</v>
      </c>
      <c r="L7" s="3">
        <v>1600</v>
      </c>
      <c r="M7" s="4">
        <f t="shared" si="0"/>
        <v>0.91924398625429549</v>
      </c>
      <c r="N7" s="5">
        <f t="shared" si="1"/>
        <v>2.4329896907216497</v>
      </c>
      <c r="O7" s="3">
        <f t="shared" si="2"/>
        <v>47</v>
      </c>
      <c r="P7" s="3" t="str">
        <f t="shared" si="3"/>
        <v>Healthy</v>
      </c>
      <c r="Q7" s="3" t="str">
        <f t="shared" si="4"/>
        <v>Short Supply</v>
      </c>
      <c r="R7" s="6">
        <f t="shared" si="5"/>
        <v>188800</v>
      </c>
    </row>
    <row r="8" spans="1:18" x14ac:dyDescent="0.25">
      <c r="A8" s="2">
        <v>45658</v>
      </c>
      <c r="B8" s="3" t="s">
        <v>35</v>
      </c>
      <c r="C8" s="3" t="s">
        <v>36</v>
      </c>
      <c r="D8" s="3" t="s">
        <v>28</v>
      </c>
      <c r="E8" s="3" t="s">
        <v>31</v>
      </c>
      <c r="F8" s="3">
        <v>550</v>
      </c>
      <c r="G8" s="3">
        <v>490</v>
      </c>
      <c r="H8" s="3">
        <v>446</v>
      </c>
      <c r="I8" s="3">
        <v>531</v>
      </c>
      <c r="J8" s="3">
        <v>90</v>
      </c>
      <c r="K8" s="3">
        <v>0</v>
      </c>
      <c r="L8" s="3">
        <v>1600</v>
      </c>
      <c r="M8" s="4">
        <f t="shared" si="0"/>
        <v>0.81090909090909091</v>
      </c>
      <c r="N8" s="5">
        <f t="shared" si="1"/>
        <v>0</v>
      </c>
      <c r="O8" s="3">
        <f t="shared" si="2"/>
        <v>104</v>
      </c>
      <c r="P8" s="3" t="str">
        <f t="shared" si="3"/>
        <v>Low</v>
      </c>
      <c r="Q8" s="3" t="str">
        <f t="shared" si="4"/>
        <v>Short Supply</v>
      </c>
      <c r="R8" s="6">
        <f>K8*L8</f>
        <v>0</v>
      </c>
    </row>
    <row r="9" spans="1:18" x14ac:dyDescent="0.25">
      <c r="A9" s="2">
        <v>45658</v>
      </c>
      <c r="B9" s="3" t="s">
        <v>35</v>
      </c>
      <c r="C9" s="3" t="s">
        <v>36</v>
      </c>
      <c r="D9" s="3" t="s">
        <v>30</v>
      </c>
      <c r="E9" s="3" t="s">
        <v>29</v>
      </c>
      <c r="F9" s="3">
        <v>427</v>
      </c>
      <c r="G9" s="3">
        <v>414</v>
      </c>
      <c r="H9" s="3">
        <v>390</v>
      </c>
      <c r="I9" s="3">
        <v>449</v>
      </c>
      <c r="J9" s="3">
        <v>73</v>
      </c>
      <c r="K9" s="3">
        <v>36</v>
      </c>
      <c r="L9" s="3">
        <v>1600</v>
      </c>
      <c r="M9" s="4">
        <f t="shared" si="0"/>
        <v>0.9133489461358314</v>
      </c>
      <c r="N9" s="5">
        <f t="shared" si="1"/>
        <v>1.0117096018735363</v>
      </c>
      <c r="O9" s="3">
        <f t="shared" si="2"/>
        <v>37</v>
      </c>
      <c r="P9" s="3" t="str">
        <f t="shared" si="3"/>
        <v>Medium</v>
      </c>
      <c r="Q9" s="3" t="str">
        <f t="shared" si="4"/>
        <v>Short Supply</v>
      </c>
      <c r="R9" s="6">
        <f t="shared" si="5"/>
        <v>57600</v>
      </c>
    </row>
    <row r="10" spans="1:18" x14ac:dyDescent="0.25">
      <c r="A10" s="2">
        <v>45658</v>
      </c>
      <c r="B10" s="3" t="s">
        <v>35</v>
      </c>
      <c r="C10" s="3" t="s">
        <v>36</v>
      </c>
      <c r="D10" s="3" t="s">
        <v>32</v>
      </c>
      <c r="E10" s="3" t="s">
        <v>31</v>
      </c>
      <c r="F10" s="3">
        <v>324</v>
      </c>
      <c r="G10" s="3">
        <v>305</v>
      </c>
      <c r="H10" s="3">
        <v>308</v>
      </c>
      <c r="I10" s="3">
        <v>331</v>
      </c>
      <c r="J10" s="3">
        <v>108</v>
      </c>
      <c r="K10" s="3">
        <v>92</v>
      </c>
      <c r="L10" s="3">
        <v>1600</v>
      </c>
      <c r="M10" s="4">
        <f t="shared" si="0"/>
        <v>0.95061728395061729</v>
      </c>
      <c r="N10" s="5">
        <f t="shared" si="1"/>
        <v>3.4074074074074074</v>
      </c>
      <c r="O10" s="3">
        <f t="shared" si="2"/>
        <v>16</v>
      </c>
      <c r="P10" s="3" t="str">
        <f t="shared" si="3"/>
        <v>Healthy</v>
      </c>
      <c r="Q10" s="3" t="str">
        <f t="shared" si="4"/>
        <v>Short Supply</v>
      </c>
      <c r="R10" s="6">
        <f t="shared" si="5"/>
        <v>147200</v>
      </c>
    </row>
    <row r="11" spans="1:18" x14ac:dyDescent="0.25">
      <c r="A11" s="2">
        <v>45658</v>
      </c>
      <c r="B11" s="3" t="s">
        <v>35</v>
      </c>
      <c r="C11" s="3" t="s">
        <v>36</v>
      </c>
      <c r="D11" s="3" t="s">
        <v>33</v>
      </c>
      <c r="E11" s="3" t="s">
        <v>31</v>
      </c>
      <c r="F11" s="3">
        <v>399</v>
      </c>
      <c r="G11" s="3">
        <v>374</v>
      </c>
      <c r="H11" s="3">
        <v>353</v>
      </c>
      <c r="I11" s="3">
        <v>384</v>
      </c>
      <c r="J11" s="3">
        <v>134</v>
      </c>
      <c r="K11" s="3">
        <v>88</v>
      </c>
      <c r="L11" s="3">
        <v>1600</v>
      </c>
      <c r="M11" s="4">
        <f t="shared" si="0"/>
        <v>0.88471177944862156</v>
      </c>
      <c r="N11" s="5">
        <f t="shared" si="1"/>
        <v>2.6466165413533833</v>
      </c>
      <c r="O11" s="3">
        <f t="shared" si="2"/>
        <v>46</v>
      </c>
      <c r="P11" s="3" t="str">
        <f t="shared" si="3"/>
        <v>Healthy</v>
      </c>
      <c r="Q11" s="3" t="str">
        <f t="shared" si="4"/>
        <v>Short Supply</v>
      </c>
      <c r="R11" s="6">
        <f t="shared" si="5"/>
        <v>140800</v>
      </c>
    </row>
    <row r="12" spans="1:18" x14ac:dyDescent="0.25">
      <c r="A12" s="2">
        <v>45658</v>
      </c>
      <c r="B12" s="3" t="s">
        <v>37</v>
      </c>
      <c r="C12" s="3" t="s">
        <v>38</v>
      </c>
      <c r="D12" s="3" t="s">
        <v>26</v>
      </c>
      <c r="E12" s="3" t="s">
        <v>29</v>
      </c>
      <c r="F12" s="3">
        <v>595</v>
      </c>
      <c r="G12" s="3">
        <v>643</v>
      </c>
      <c r="H12" s="3">
        <v>635</v>
      </c>
      <c r="I12" s="3">
        <v>569</v>
      </c>
      <c r="J12" s="3">
        <v>93</v>
      </c>
      <c r="K12" s="3">
        <v>133</v>
      </c>
      <c r="L12" s="3">
        <v>1300</v>
      </c>
      <c r="M12" s="4">
        <f t="shared" si="0"/>
        <v>1.0672268907563025</v>
      </c>
      <c r="N12" s="5">
        <f t="shared" si="1"/>
        <v>2.6823529411764708</v>
      </c>
      <c r="O12" s="3">
        <f t="shared" si="2"/>
        <v>-40</v>
      </c>
      <c r="P12" s="3" t="str">
        <f t="shared" si="3"/>
        <v>Healthy</v>
      </c>
      <c r="Q12" s="3" t="str">
        <f t="shared" si="4"/>
        <v>On Track</v>
      </c>
      <c r="R12" s="6">
        <f t="shared" si="5"/>
        <v>172900</v>
      </c>
    </row>
    <row r="13" spans="1:18" x14ac:dyDescent="0.25">
      <c r="A13" s="2">
        <v>45658</v>
      </c>
      <c r="B13" s="3" t="s">
        <v>37</v>
      </c>
      <c r="C13" s="3" t="s">
        <v>38</v>
      </c>
      <c r="D13" s="3" t="s">
        <v>28</v>
      </c>
      <c r="E13" s="3" t="s">
        <v>31</v>
      </c>
      <c r="F13" s="3">
        <v>425</v>
      </c>
      <c r="G13" s="3">
        <v>380</v>
      </c>
      <c r="H13" s="3">
        <v>382</v>
      </c>
      <c r="I13" s="3">
        <v>429</v>
      </c>
      <c r="J13" s="3">
        <v>132</v>
      </c>
      <c r="K13" s="3">
        <v>89</v>
      </c>
      <c r="L13" s="3">
        <v>1300</v>
      </c>
      <c r="M13" s="4">
        <f t="shared" si="0"/>
        <v>0.89882352941176469</v>
      </c>
      <c r="N13" s="5">
        <f t="shared" si="1"/>
        <v>2.512941176470588</v>
      </c>
      <c r="O13" s="3">
        <f t="shared" si="2"/>
        <v>43</v>
      </c>
      <c r="P13" s="3" t="str">
        <f t="shared" si="3"/>
        <v>Healthy</v>
      </c>
      <c r="Q13" s="3" t="str">
        <f t="shared" si="4"/>
        <v>Short Supply</v>
      </c>
      <c r="R13" s="6">
        <f t="shared" si="5"/>
        <v>115700</v>
      </c>
    </row>
    <row r="14" spans="1:18" x14ac:dyDescent="0.25">
      <c r="A14" s="2">
        <v>45658</v>
      </c>
      <c r="B14" s="3" t="s">
        <v>37</v>
      </c>
      <c r="C14" s="3" t="s">
        <v>38</v>
      </c>
      <c r="D14" s="3" t="s">
        <v>30</v>
      </c>
      <c r="E14" s="3" t="s">
        <v>31</v>
      </c>
      <c r="F14" s="3">
        <v>341</v>
      </c>
      <c r="G14" s="3">
        <v>332</v>
      </c>
      <c r="H14" s="3">
        <v>334</v>
      </c>
      <c r="I14" s="3">
        <v>338</v>
      </c>
      <c r="J14" s="3">
        <v>81</v>
      </c>
      <c r="K14" s="3">
        <v>74</v>
      </c>
      <c r="L14" s="3">
        <v>1300</v>
      </c>
      <c r="M14" s="4">
        <f t="shared" si="0"/>
        <v>0.97947214076246336</v>
      </c>
      <c r="N14" s="5">
        <f t="shared" si="1"/>
        <v>2.6041055718475072</v>
      </c>
      <c r="O14" s="3">
        <f t="shared" si="2"/>
        <v>7</v>
      </c>
      <c r="P14" s="3" t="str">
        <f t="shared" si="3"/>
        <v>Healthy</v>
      </c>
      <c r="Q14" s="3" t="str">
        <f t="shared" si="4"/>
        <v>Short Supply</v>
      </c>
      <c r="R14" s="6">
        <f t="shared" si="5"/>
        <v>96200</v>
      </c>
    </row>
    <row r="15" spans="1:18" x14ac:dyDescent="0.25">
      <c r="A15" s="2">
        <v>45658</v>
      </c>
      <c r="B15" s="3" t="s">
        <v>37</v>
      </c>
      <c r="C15" s="3" t="s">
        <v>38</v>
      </c>
      <c r="D15" s="3" t="s">
        <v>32</v>
      </c>
      <c r="E15" s="3" t="s">
        <v>29</v>
      </c>
      <c r="F15" s="3">
        <v>323</v>
      </c>
      <c r="G15" s="3">
        <v>326</v>
      </c>
      <c r="H15" s="3">
        <v>320</v>
      </c>
      <c r="I15" s="3">
        <v>319</v>
      </c>
      <c r="J15" s="3">
        <v>106</v>
      </c>
      <c r="K15" s="3">
        <v>103</v>
      </c>
      <c r="L15" s="3">
        <v>1300</v>
      </c>
      <c r="M15" s="4">
        <f t="shared" si="0"/>
        <v>0.99071207430340558</v>
      </c>
      <c r="N15" s="5">
        <f t="shared" si="1"/>
        <v>3.8266253869969042</v>
      </c>
      <c r="O15" s="3">
        <f t="shared" si="2"/>
        <v>3</v>
      </c>
      <c r="P15" s="3" t="str">
        <f t="shared" si="3"/>
        <v>Healthy</v>
      </c>
      <c r="Q15" s="3" t="str">
        <f t="shared" si="4"/>
        <v>Short Supply</v>
      </c>
      <c r="R15" s="6">
        <f t="shared" si="5"/>
        <v>133900</v>
      </c>
    </row>
    <row r="16" spans="1:18" x14ac:dyDescent="0.25">
      <c r="A16" s="2">
        <v>45658</v>
      </c>
      <c r="B16" s="3" t="s">
        <v>37</v>
      </c>
      <c r="C16" s="3" t="s">
        <v>38</v>
      </c>
      <c r="D16" s="3" t="s">
        <v>33</v>
      </c>
      <c r="E16" s="3" t="s">
        <v>27</v>
      </c>
      <c r="F16" s="3">
        <v>306</v>
      </c>
      <c r="G16" s="3">
        <v>342</v>
      </c>
      <c r="H16" s="3">
        <v>325</v>
      </c>
      <c r="I16" s="3">
        <v>285</v>
      </c>
      <c r="J16" s="3">
        <v>63</v>
      </c>
      <c r="K16" s="3">
        <v>82</v>
      </c>
      <c r="L16" s="3">
        <v>1300</v>
      </c>
      <c r="M16" s="4">
        <f t="shared" si="0"/>
        <v>1.0620915032679739</v>
      </c>
      <c r="N16" s="5">
        <f t="shared" si="1"/>
        <v>3.215686274509804</v>
      </c>
      <c r="O16" s="3">
        <f t="shared" si="2"/>
        <v>-19</v>
      </c>
      <c r="P16" s="3" t="str">
        <f t="shared" si="3"/>
        <v>Healthy</v>
      </c>
      <c r="Q16" s="3" t="str">
        <f t="shared" si="4"/>
        <v>On Track</v>
      </c>
      <c r="R16" s="6">
        <f t="shared" si="5"/>
        <v>106600</v>
      </c>
    </row>
    <row r="17" spans="1:18" x14ac:dyDescent="0.25">
      <c r="A17" s="2">
        <v>45658</v>
      </c>
      <c r="B17" s="3" t="s">
        <v>39</v>
      </c>
      <c r="C17" s="3" t="s">
        <v>40</v>
      </c>
      <c r="D17" s="3" t="s">
        <v>26</v>
      </c>
      <c r="E17" s="3" t="s">
        <v>34</v>
      </c>
      <c r="F17" s="3">
        <v>666</v>
      </c>
      <c r="G17" s="3">
        <v>611</v>
      </c>
      <c r="H17" s="3">
        <v>595</v>
      </c>
      <c r="I17" s="3">
        <v>676</v>
      </c>
      <c r="J17" s="3">
        <v>229</v>
      </c>
      <c r="K17" s="3">
        <v>158</v>
      </c>
      <c r="L17" s="3">
        <v>1700</v>
      </c>
      <c r="M17" s="4">
        <f t="shared" si="0"/>
        <v>0.89339339339339341</v>
      </c>
      <c r="N17" s="5">
        <f t="shared" si="1"/>
        <v>2.8468468468468471</v>
      </c>
      <c r="O17" s="3">
        <f t="shared" si="2"/>
        <v>71</v>
      </c>
      <c r="P17" s="3" t="str">
        <f t="shared" si="3"/>
        <v>Healthy</v>
      </c>
      <c r="Q17" s="3" t="str">
        <f t="shared" si="4"/>
        <v>Short Supply</v>
      </c>
      <c r="R17" s="6">
        <f t="shared" si="5"/>
        <v>268600</v>
      </c>
    </row>
    <row r="18" spans="1:18" x14ac:dyDescent="0.25">
      <c r="A18" s="2">
        <v>45658</v>
      </c>
      <c r="B18" s="3" t="s">
        <v>39</v>
      </c>
      <c r="C18" s="3" t="s">
        <v>40</v>
      </c>
      <c r="D18" s="3" t="s">
        <v>28</v>
      </c>
      <c r="E18" s="3" t="s">
        <v>29</v>
      </c>
      <c r="F18" s="3">
        <v>583</v>
      </c>
      <c r="G18" s="3">
        <v>648</v>
      </c>
      <c r="H18" s="3">
        <v>648</v>
      </c>
      <c r="I18" s="3">
        <v>537</v>
      </c>
      <c r="J18" s="3">
        <v>219</v>
      </c>
      <c r="K18" s="3">
        <v>284</v>
      </c>
      <c r="L18" s="3">
        <v>1700</v>
      </c>
      <c r="M18" s="4">
        <f t="shared" si="0"/>
        <v>1.1114922813036021</v>
      </c>
      <c r="N18" s="5">
        <f t="shared" si="1"/>
        <v>5.8456260720411661</v>
      </c>
      <c r="O18" s="3">
        <f t="shared" si="2"/>
        <v>-65</v>
      </c>
      <c r="P18" s="3" t="str">
        <f t="shared" si="3"/>
        <v>Healthy</v>
      </c>
      <c r="Q18" s="3" t="str">
        <f t="shared" si="4"/>
        <v>On Track</v>
      </c>
      <c r="R18" s="6">
        <f t="shared" si="5"/>
        <v>482800</v>
      </c>
    </row>
    <row r="19" spans="1:18" x14ac:dyDescent="0.25">
      <c r="A19" s="2">
        <v>45658</v>
      </c>
      <c r="B19" s="3" t="s">
        <v>39</v>
      </c>
      <c r="C19" s="3" t="s">
        <v>40</v>
      </c>
      <c r="D19" s="3" t="s">
        <v>30</v>
      </c>
      <c r="E19" s="3" t="s">
        <v>29</v>
      </c>
      <c r="F19" s="3">
        <v>464</v>
      </c>
      <c r="G19" s="3">
        <v>446</v>
      </c>
      <c r="H19" s="3">
        <v>410</v>
      </c>
      <c r="I19" s="3">
        <v>438</v>
      </c>
      <c r="J19" s="3">
        <v>88</v>
      </c>
      <c r="K19" s="3">
        <v>34</v>
      </c>
      <c r="L19" s="3">
        <v>1700</v>
      </c>
      <c r="M19" s="4">
        <f t="shared" si="0"/>
        <v>0.88362068965517238</v>
      </c>
      <c r="N19" s="5">
        <f t="shared" si="1"/>
        <v>0.87931034482758608</v>
      </c>
      <c r="O19" s="3">
        <f t="shared" si="2"/>
        <v>54</v>
      </c>
      <c r="P19" s="3" t="str">
        <f t="shared" si="3"/>
        <v>Low</v>
      </c>
      <c r="Q19" s="3" t="str">
        <f t="shared" si="4"/>
        <v>Short Supply</v>
      </c>
      <c r="R19" s="6">
        <f t="shared" si="5"/>
        <v>57800</v>
      </c>
    </row>
    <row r="20" spans="1:18" x14ac:dyDescent="0.25">
      <c r="A20" s="2">
        <v>45658</v>
      </c>
      <c r="B20" s="3" t="s">
        <v>39</v>
      </c>
      <c r="C20" s="3" t="s">
        <v>40</v>
      </c>
      <c r="D20" s="3" t="s">
        <v>32</v>
      </c>
      <c r="E20" s="3" t="s">
        <v>31</v>
      </c>
      <c r="F20" s="3">
        <v>452</v>
      </c>
      <c r="G20" s="3">
        <v>480</v>
      </c>
      <c r="H20" s="3">
        <v>456</v>
      </c>
      <c r="I20" s="3">
        <v>423</v>
      </c>
      <c r="J20" s="3">
        <v>115</v>
      </c>
      <c r="K20" s="3">
        <v>119</v>
      </c>
      <c r="L20" s="3">
        <v>1700</v>
      </c>
      <c r="M20" s="4">
        <f t="shared" si="0"/>
        <v>1.0088495575221239</v>
      </c>
      <c r="N20" s="5">
        <f t="shared" si="1"/>
        <v>3.1592920353982303</v>
      </c>
      <c r="O20" s="3">
        <f t="shared" si="2"/>
        <v>-4</v>
      </c>
      <c r="P20" s="3" t="str">
        <f t="shared" si="3"/>
        <v>Healthy</v>
      </c>
      <c r="Q20" s="3" t="str">
        <f t="shared" si="4"/>
        <v>On Track</v>
      </c>
      <c r="R20" s="6">
        <f t="shared" si="5"/>
        <v>202300</v>
      </c>
    </row>
    <row r="21" spans="1:18" x14ac:dyDescent="0.25">
      <c r="A21" s="2">
        <v>45658</v>
      </c>
      <c r="B21" s="3" t="s">
        <v>39</v>
      </c>
      <c r="C21" s="3" t="s">
        <v>40</v>
      </c>
      <c r="D21" s="3" t="s">
        <v>33</v>
      </c>
      <c r="E21" s="3" t="s">
        <v>27</v>
      </c>
      <c r="F21" s="3">
        <v>394</v>
      </c>
      <c r="G21" s="3">
        <v>418</v>
      </c>
      <c r="H21" s="3">
        <v>399</v>
      </c>
      <c r="I21" s="3">
        <v>411</v>
      </c>
      <c r="J21" s="3">
        <v>102</v>
      </c>
      <c r="K21" s="3">
        <v>107</v>
      </c>
      <c r="L21" s="3">
        <v>1700</v>
      </c>
      <c r="M21" s="4">
        <f t="shared" si="0"/>
        <v>1.0126903553299493</v>
      </c>
      <c r="N21" s="5">
        <f t="shared" si="1"/>
        <v>3.2588832487309642</v>
      </c>
      <c r="O21" s="3">
        <f t="shared" si="2"/>
        <v>-5</v>
      </c>
      <c r="P21" s="3" t="str">
        <f t="shared" si="3"/>
        <v>Healthy</v>
      </c>
      <c r="Q21" s="3" t="str">
        <f t="shared" si="4"/>
        <v>On Track</v>
      </c>
      <c r="R21" s="6">
        <f t="shared" si="5"/>
        <v>181900</v>
      </c>
    </row>
    <row r="22" spans="1:18" x14ac:dyDescent="0.25">
      <c r="A22" s="2">
        <v>45658</v>
      </c>
      <c r="B22" s="3" t="s">
        <v>41</v>
      </c>
      <c r="C22" s="3" t="s">
        <v>42</v>
      </c>
      <c r="D22" s="3" t="s">
        <v>26</v>
      </c>
      <c r="E22" s="3" t="s">
        <v>29</v>
      </c>
      <c r="F22" s="3">
        <v>475</v>
      </c>
      <c r="G22" s="3">
        <v>473</v>
      </c>
      <c r="H22" s="3">
        <v>423</v>
      </c>
      <c r="I22" s="3">
        <v>464</v>
      </c>
      <c r="J22" s="3">
        <v>333</v>
      </c>
      <c r="K22" s="3">
        <v>281</v>
      </c>
      <c r="L22" s="3">
        <v>1200</v>
      </c>
      <c r="M22" s="4">
        <f t="shared" si="0"/>
        <v>0.89052631578947372</v>
      </c>
      <c r="N22" s="5">
        <f t="shared" si="1"/>
        <v>7.0989473684210527</v>
      </c>
      <c r="O22" s="3">
        <f t="shared" si="2"/>
        <v>52</v>
      </c>
      <c r="P22" s="3" t="str">
        <f t="shared" si="3"/>
        <v>Healthy</v>
      </c>
      <c r="Q22" s="3" t="str">
        <f t="shared" si="4"/>
        <v>Short Supply</v>
      </c>
      <c r="R22" s="6">
        <f t="shared" si="5"/>
        <v>337200</v>
      </c>
    </row>
    <row r="23" spans="1:18" x14ac:dyDescent="0.25">
      <c r="A23" s="2">
        <v>45658</v>
      </c>
      <c r="B23" s="3" t="s">
        <v>41</v>
      </c>
      <c r="C23" s="3" t="s">
        <v>42</v>
      </c>
      <c r="D23" s="3" t="s">
        <v>28</v>
      </c>
      <c r="E23" s="3" t="s">
        <v>27</v>
      </c>
      <c r="F23" s="3">
        <v>331</v>
      </c>
      <c r="G23" s="3">
        <v>310</v>
      </c>
      <c r="H23" s="3">
        <v>297</v>
      </c>
      <c r="I23" s="3">
        <v>308</v>
      </c>
      <c r="J23" s="3">
        <v>219</v>
      </c>
      <c r="K23" s="3">
        <v>185</v>
      </c>
      <c r="L23" s="3">
        <v>1200</v>
      </c>
      <c r="M23" s="4">
        <f t="shared" si="0"/>
        <v>0.89728096676737157</v>
      </c>
      <c r="N23" s="5">
        <f t="shared" si="1"/>
        <v>6.7069486404833842</v>
      </c>
      <c r="O23" s="3">
        <f t="shared" si="2"/>
        <v>34</v>
      </c>
      <c r="P23" s="3" t="str">
        <f t="shared" si="3"/>
        <v>Healthy</v>
      </c>
      <c r="Q23" s="3" t="str">
        <f t="shared" si="4"/>
        <v>Short Supply</v>
      </c>
      <c r="R23" s="6">
        <f t="shared" si="5"/>
        <v>222000</v>
      </c>
    </row>
    <row r="24" spans="1:18" x14ac:dyDescent="0.25">
      <c r="A24" s="2">
        <v>45658</v>
      </c>
      <c r="B24" s="3" t="s">
        <v>41</v>
      </c>
      <c r="C24" s="3" t="s">
        <v>42</v>
      </c>
      <c r="D24" s="3" t="s">
        <v>30</v>
      </c>
      <c r="E24" s="3" t="s">
        <v>31</v>
      </c>
      <c r="F24" s="3">
        <v>305</v>
      </c>
      <c r="G24" s="3">
        <v>307</v>
      </c>
      <c r="H24" s="3">
        <v>275</v>
      </c>
      <c r="I24" s="3">
        <v>312</v>
      </c>
      <c r="J24" s="3">
        <v>190</v>
      </c>
      <c r="K24" s="3">
        <v>160</v>
      </c>
      <c r="L24" s="3">
        <v>1200</v>
      </c>
      <c r="M24" s="4">
        <f t="shared" si="0"/>
        <v>0.90163934426229508</v>
      </c>
      <c r="N24" s="5">
        <f t="shared" si="1"/>
        <v>6.2950819672131146</v>
      </c>
      <c r="O24" s="3">
        <f t="shared" si="2"/>
        <v>30</v>
      </c>
      <c r="P24" s="3" t="str">
        <f t="shared" si="3"/>
        <v>Healthy</v>
      </c>
      <c r="Q24" s="3" t="str">
        <f t="shared" si="4"/>
        <v>Short Supply</v>
      </c>
      <c r="R24" s="6">
        <f t="shared" si="5"/>
        <v>192000</v>
      </c>
    </row>
    <row r="25" spans="1:18" x14ac:dyDescent="0.25">
      <c r="A25" s="2">
        <v>45658</v>
      </c>
      <c r="B25" s="3" t="s">
        <v>41</v>
      </c>
      <c r="C25" s="3" t="s">
        <v>42</v>
      </c>
      <c r="D25" s="3" t="s">
        <v>32</v>
      </c>
      <c r="E25" s="3" t="s">
        <v>31</v>
      </c>
      <c r="F25" s="3">
        <v>228</v>
      </c>
      <c r="G25" s="3">
        <v>248</v>
      </c>
      <c r="H25" s="3">
        <v>232</v>
      </c>
      <c r="I25" s="3">
        <v>217</v>
      </c>
      <c r="J25" s="3">
        <v>111</v>
      </c>
      <c r="K25" s="3">
        <v>115</v>
      </c>
      <c r="L25" s="3">
        <v>1200</v>
      </c>
      <c r="M25" s="4">
        <f t="shared" si="0"/>
        <v>1.0175438596491229</v>
      </c>
      <c r="N25" s="5">
        <f t="shared" si="1"/>
        <v>6.0526315789473681</v>
      </c>
      <c r="O25" s="3">
        <f t="shared" si="2"/>
        <v>-4</v>
      </c>
      <c r="P25" s="3" t="str">
        <f t="shared" si="3"/>
        <v>Healthy</v>
      </c>
      <c r="Q25" s="3" t="str">
        <f t="shared" si="4"/>
        <v>On Track</v>
      </c>
      <c r="R25" s="6">
        <f t="shared" si="5"/>
        <v>138000</v>
      </c>
    </row>
    <row r="26" spans="1:18" x14ac:dyDescent="0.25">
      <c r="A26" s="2">
        <v>45658</v>
      </c>
      <c r="B26" s="3" t="s">
        <v>41</v>
      </c>
      <c r="C26" s="3" t="s">
        <v>42</v>
      </c>
      <c r="D26" s="3" t="s">
        <v>33</v>
      </c>
      <c r="E26" s="3" t="s">
        <v>34</v>
      </c>
      <c r="F26" s="3">
        <v>291</v>
      </c>
      <c r="G26" s="3">
        <v>283</v>
      </c>
      <c r="H26" s="3">
        <v>275</v>
      </c>
      <c r="I26" s="3">
        <v>285</v>
      </c>
      <c r="J26" s="3">
        <v>131</v>
      </c>
      <c r="K26" s="3">
        <v>115</v>
      </c>
      <c r="L26" s="3">
        <v>1200</v>
      </c>
      <c r="M26" s="4">
        <f t="shared" si="0"/>
        <v>0.94501718213058417</v>
      </c>
      <c r="N26" s="5">
        <f t="shared" si="1"/>
        <v>4.7422680412371134</v>
      </c>
      <c r="O26" s="3">
        <f t="shared" si="2"/>
        <v>16</v>
      </c>
      <c r="P26" s="3" t="str">
        <f t="shared" si="3"/>
        <v>Healthy</v>
      </c>
      <c r="Q26" s="3" t="str">
        <f t="shared" si="4"/>
        <v>Short Supply</v>
      </c>
      <c r="R26" s="6">
        <f t="shared" si="5"/>
        <v>138000</v>
      </c>
    </row>
    <row r="27" spans="1:18" x14ac:dyDescent="0.25">
      <c r="A27" s="2">
        <v>45658</v>
      </c>
      <c r="B27" s="3" t="s">
        <v>43</v>
      </c>
      <c r="C27" s="3" t="s">
        <v>44</v>
      </c>
      <c r="D27" s="3" t="s">
        <v>26</v>
      </c>
      <c r="E27" s="3" t="s">
        <v>31</v>
      </c>
      <c r="F27" s="3">
        <v>545</v>
      </c>
      <c r="G27" s="3">
        <v>508</v>
      </c>
      <c r="H27" s="3">
        <v>471</v>
      </c>
      <c r="I27" s="3">
        <v>552</v>
      </c>
      <c r="J27" s="3">
        <v>181</v>
      </c>
      <c r="K27" s="3">
        <v>107</v>
      </c>
      <c r="L27" s="3">
        <v>1400</v>
      </c>
      <c r="M27" s="4">
        <f t="shared" si="0"/>
        <v>0.86422018348623852</v>
      </c>
      <c r="N27" s="5">
        <f t="shared" si="1"/>
        <v>2.3559633027522935</v>
      </c>
      <c r="O27" s="3">
        <f t="shared" si="2"/>
        <v>74</v>
      </c>
      <c r="P27" s="3" t="str">
        <f t="shared" si="3"/>
        <v>Healthy</v>
      </c>
      <c r="Q27" s="3" t="str">
        <f t="shared" si="4"/>
        <v>Short Supply</v>
      </c>
      <c r="R27" s="6">
        <f t="shared" si="5"/>
        <v>149800</v>
      </c>
    </row>
    <row r="28" spans="1:18" x14ac:dyDescent="0.25">
      <c r="A28" s="2">
        <v>45658</v>
      </c>
      <c r="B28" s="3" t="s">
        <v>43</v>
      </c>
      <c r="C28" s="3" t="s">
        <v>44</v>
      </c>
      <c r="D28" s="3" t="s">
        <v>28</v>
      </c>
      <c r="E28" s="3" t="s">
        <v>29</v>
      </c>
      <c r="F28" s="3">
        <v>408</v>
      </c>
      <c r="G28" s="3">
        <v>428</v>
      </c>
      <c r="H28" s="3">
        <v>380</v>
      </c>
      <c r="I28" s="3">
        <v>379</v>
      </c>
      <c r="J28" s="3">
        <v>105</v>
      </c>
      <c r="K28" s="3">
        <v>77</v>
      </c>
      <c r="L28" s="3">
        <v>1400</v>
      </c>
      <c r="M28" s="4">
        <f t="shared" si="0"/>
        <v>0.93137254901960786</v>
      </c>
      <c r="N28" s="5">
        <f t="shared" si="1"/>
        <v>2.2647058823529411</v>
      </c>
      <c r="O28" s="3">
        <f t="shared" si="2"/>
        <v>28</v>
      </c>
      <c r="P28" s="3" t="str">
        <f t="shared" si="3"/>
        <v>Healthy</v>
      </c>
      <c r="Q28" s="3" t="str">
        <f t="shared" si="4"/>
        <v>Short Supply</v>
      </c>
      <c r="R28" s="6">
        <f t="shared" si="5"/>
        <v>107800</v>
      </c>
    </row>
    <row r="29" spans="1:18" x14ac:dyDescent="0.25">
      <c r="A29" s="2">
        <v>45658</v>
      </c>
      <c r="B29" s="3" t="s">
        <v>43</v>
      </c>
      <c r="C29" s="3" t="s">
        <v>44</v>
      </c>
      <c r="D29" s="3" t="s">
        <v>30</v>
      </c>
      <c r="E29" s="3" t="s">
        <v>34</v>
      </c>
      <c r="F29" s="3">
        <v>309</v>
      </c>
      <c r="G29" s="3">
        <v>289</v>
      </c>
      <c r="H29" s="3">
        <v>281</v>
      </c>
      <c r="I29" s="3">
        <v>294</v>
      </c>
      <c r="J29" s="3">
        <v>86</v>
      </c>
      <c r="K29" s="3">
        <v>58</v>
      </c>
      <c r="L29" s="3">
        <v>1400</v>
      </c>
      <c r="M29" s="4">
        <f t="shared" si="0"/>
        <v>0.90938511326860838</v>
      </c>
      <c r="N29" s="5">
        <f t="shared" si="1"/>
        <v>2.2524271844660193</v>
      </c>
      <c r="O29" s="3">
        <f t="shared" si="2"/>
        <v>28</v>
      </c>
      <c r="P29" s="3" t="str">
        <f t="shared" si="3"/>
        <v>Healthy</v>
      </c>
      <c r="Q29" s="3" t="str">
        <f t="shared" si="4"/>
        <v>Short Supply</v>
      </c>
      <c r="R29" s="6">
        <f t="shared" si="5"/>
        <v>81200</v>
      </c>
    </row>
    <row r="30" spans="1:18" x14ac:dyDescent="0.25">
      <c r="A30" s="2">
        <v>45658</v>
      </c>
      <c r="B30" s="3" t="s">
        <v>43</v>
      </c>
      <c r="C30" s="3" t="s">
        <v>44</v>
      </c>
      <c r="D30" s="3" t="s">
        <v>32</v>
      </c>
      <c r="E30" s="3" t="s">
        <v>29</v>
      </c>
      <c r="F30" s="3">
        <v>303</v>
      </c>
      <c r="G30" s="3">
        <v>301</v>
      </c>
      <c r="H30" s="3">
        <v>282</v>
      </c>
      <c r="I30" s="3">
        <v>283</v>
      </c>
      <c r="J30" s="3">
        <v>112</v>
      </c>
      <c r="K30" s="3">
        <v>91</v>
      </c>
      <c r="L30" s="3">
        <v>1400</v>
      </c>
      <c r="M30" s="4">
        <f t="shared" si="0"/>
        <v>0.93069306930693074</v>
      </c>
      <c r="N30" s="5">
        <f t="shared" si="1"/>
        <v>3.6039603960396045</v>
      </c>
      <c r="O30" s="3">
        <f t="shared" si="2"/>
        <v>21</v>
      </c>
      <c r="P30" s="3" t="str">
        <f t="shared" si="3"/>
        <v>Healthy</v>
      </c>
      <c r="Q30" s="3" t="str">
        <f t="shared" si="4"/>
        <v>Short Supply</v>
      </c>
      <c r="R30" s="6">
        <f t="shared" si="5"/>
        <v>127400</v>
      </c>
    </row>
    <row r="31" spans="1:18" x14ac:dyDescent="0.25">
      <c r="A31" s="2">
        <v>45658</v>
      </c>
      <c r="B31" s="3" t="s">
        <v>43</v>
      </c>
      <c r="C31" s="3" t="s">
        <v>44</v>
      </c>
      <c r="D31" s="3" t="s">
        <v>33</v>
      </c>
      <c r="E31" s="3" t="s">
        <v>27</v>
      </c>
      <c r="F31" s="3">
        <v>356</v>
      </c>
      <c r="G31" s="3">
        <v>353</v>
      </c>
      <c r="H31" s="3">
        <v>346</v>
      </c>
      <c r="I31" s="3">
        <v>365</v>
      </c>
      <c r="J31" s="3">
        <v>138</v>
      </c>
      <c r="K31" s="3">
        <v>128</v>
      </c>
      <c r="L31" s="3">
        <v>1400</v>
      </c>
      <c r="M31" s="4">
        <f t="shared" si="0"/>
        <v>0.9719101123595506</v>
      </c>
      <c r="N31" s="5">
        <f t="shared" si="1"/>
        <v>4.3146067415730336</v>
      </c>
      <c r="O31" s="3">
        <f t="shared" si="2"/>
        <v>10</v>
      </c>
      <c r="P31" s="3" t="str">
        <f t="shared" si="3"/>
        <v>Healthy</v>
      </c>
      <c r="Q31" s="3" t="str">
        <f t="shared" si="4"/>
        <v>Short Supply</v>
      </c>
      <c r="R31" s="6">
        <f t="shared" si="5"/>
        <v>179200</v>
      </c>
    </row>
    <row r="32" spans="1:18" x14ac:dyDescent="0.25">
      <c r="A32" s="2">
        <v>45658</v>
      </c>
      <c r="B32" s="3" t="s">
        <v>45</v>
      </c>
      <c r="C32" s="3" t="s">
        <v>46</v>
      </c>
      <c r="D32" s="3" t="s">
        <v>26</v>
      </c>
      <c r="E32" s="3" t="s">
        <v>34</v>
      </c>
      <c r="F32" s="3">
        <v>445</v>
      </c>
      <c r="G32" s="3">
        <v>469</v>
      </c>
      <c r="H32" s="3">
        <v>465</v>
      </c>
      <c r="I32" s="3">
        <v>417</v>
      </c>
      <c r="J32" s="3">
        <v>148</v>
      </c>
      <c r="K32" s="3">
        <v>168</v>
      </c>
      <c r="L32" s="3">
        <v>1500</v>
      </c>
      <c r="M32" s="4">
        <f t="shared" si="0"/>
        <v>1.0449438202247192</v>
      </c>
      <c r="N32" s="5">
        <f t="shared" si="1"/>
        <v>4.5303370786516854</v>
      </c>
      <c r="O32" s="3">
        <f t="shared" si="2"/>
        <v>-20</v>
      </c>
      <c r="P32" s="3" t="str">
        <f t="shared" si="3"/>
        <v>Healthy</v>
      </c>
      <c r="Q32" s="3" t="str">
        <f t="shared" si="4"/>
        <v>On Track</v>
      </c>
      <c r="R32" s="6">
        <f t="shared" si="5"/>
        <v>252000</v>
      </c>
    </row>
    <row r="33" spans="1:18" x14ac:dyDescent="0.25">
      <c r="A33" s="2">
        <v>45658</v>
      </c>
      <c r="B33" s="3" t="s">
        <v>45</v>
      </c>
      <c r="C33" s="3" t="s">
        <v>46</v>
      </c>
      <c r="D33" s="3" t="s">
        <v>28</v>
      </c>
      <c r="E33" s="3" t="s">
        <v>27</v>
      </c>
      <c r="F33" s="3">
        <v>355</v>
      </c>
      <c r="G33" s="3">
        <v>328</v>
      </c>
      <c r="H33" s="3">
        <v>309</v>
      </c>
      <c r="I33" s="3">
        <v>376</v>
      </c>
      <c r="J33" s="3">
        <v>97</v>
      </c>
      <c r="K33" s="3">
        <v>51</v>
      </c>
      <c r="L33" s="3">
        <v>1500</v>
      </c>
      <c r="M33" s="4">
        <f t="shared" si="0"/>
        <v>0.87042253521126756</v>
      </c>
      <c r="N33" s="5">
        <f t="shared" si="1"/>
        <v>1.7239436619718309</v>
      </c>
      <c r="O33" s="3">
        <f t="shared" si="2"/>
        <v>46</v>
      </c>
      <c r="P33" s="3" t="str">
        <f t="shared" si="3"/>
        <v>Medium</v>
      </c>
      <c r="Q33" s="3" t="str">
        <f t="shared" si="4"/>
        <v>Short Supply</v>
      </c>
      <c r="R33" s="6">
        <f t="shared" si="5"/>
        <v>76500</v>
      </c>
    </row>
    <row r="34" spans="1:18" x14ac:dyDescent="0.25">
      <c r="A34" s="2">
        <v>45658</v>
      </c>
      <c r="B34" s="3" t="s">
        <v>45</v>
      </c>
      <c r="C34" s="3" t="s">
        <v>46</v>
      </c>
      <c r="D34" s="3" t="s">
        <v>30</v>
      </c>
      <c r="E34" s="3" t="s">
        <v>31</v>
      </c>
      <c r="F34" s="3">
        <v>256</v>
      </c>
      <c r="G34" s="3">
        <v>286</v>
      </c>
      <c r="H34" s="3">
        <v>285</v>
      </c>
      <c r="I34" s="3">
        <v>275</v>
      </c>
      <c r="J34" s="3">
        <v>142</v>
      </c>
      <c r="K34" s="3">
        <v>171</v>
      </c>
      <c r="L34" s="3">
        <v>1500</v>
      </c>
      <c r="M34" s="4">
        <f t="shared" si="0"/>
        <v>1.11328125</v>
      </c>
      <c r="N34" s="5">
        <f t="shared" si="1"/>
        <v>8.015625</v>
      </c>
      <c r="O34" s="3">
        <f t="shared" si="2"/>
        <v>-29</v>
      </c>
      <c r="P34" s="3" t="str">
        <f t="shared" si="3"/>
        <v>Healthy</v>
      </c>
      <c r="Q34" s="3" t="str">
        <f t="shared" si="4"/>
        <v>On Track</v>
      </c>
      <c r="R34" s="6">
        <f t="shared" si="5"/>
        <v>256500</v>
      </c>
    </row>
    <row r="35" spans="1:18" x14ac:dyDescent="0.25">
      <c r="A35" s="2">
        <v>45658</v>
      </c>
      <c r="B35" s="3" t="s">
        <v>45</v>
      </c>
      <c r="C35" s="3" t="s">
        <v>46</v>
      </c>
      <c r="D35" s="3" t="s">
        <v>32</v>
      </c>
      <c r="E35" s="3" t="s">
        <v>34</v>
      </c>
      <c r="F35" s="3">
        <v>246</v>
      </c>
      <c r="G35" s="3">
        <v>245</v>
      </c>
      <c r="H35" s="3">
        <v>222</v>
      </c>
      <c r="I35" s="3">
        <v>242</v>
      </c>
      <c r="J35" s="3">
        <v>64</v>
      </c>
      <c r="K35" s="3">
        <v>40</v>
      </c>
      <c r="L35" s="3">
        <v>1500</v>
      </c>
      <c r="M35" s="4">
        <f t="shared" si="0"/>
        <v>0.90243902439024393</v>
      </c>
      <c r="N35" s="5">
        <f t="shared" si="1"/>
        <v>1.9512195121951219</v>
      </c>
      <c r="O35" s="3">
        <f t="shared" si="2"/>
        <v>24</v>
      </c>
      <c r="P35" s="3" t="str">
        <f t="shared" si="3"/>
        <v>Medium</v>
      </c>
      <c r="Q35" s="3" t="str">
        <f t="shared" si="4"/>
        <v>Short Supply</v>
      </c>
      <c r="R35" s="6">
        <f t="shared" si="5"/>
        <v>60000</v>
      </c>
    </row>
    <row r="36" spans="1:18" x14ac:dyDescent="0.25">
      <c r="A36" s="2">
        <v>45658</v>
      </c>
      <c r="B36" s="3" t="s">
        <v>45</v>
      </c>
      <c r="C36" s="3" t="s">
        <v>46</v>
      </c>
      <c r="D36" s="3" t="s">
        <v>33</v>
      </c>
      <c r="E36" s="3" t="s">
        <v>34</v>
      </c>
      <c r="F36" s="3">
        <v>258</v>
      </c>
      <c r="G36" s="3">
        <v>251</v>
      </c>
      <c r="H36" s="3">
        <v>253</v>
      </c>
      <c r="I36" s="3">
        <v>269</v>
      </c>
      <c r="J36" s="3">
        <v>82</v>
      </c>
      <c r="K36" s="3">
        <v>77</v>
      </c>
      <c r="L36" s="3">
        <v>1500</v>
      </c>
      <c r="M36" s="4">
        <f t="shared" si="0"/>
        <v>0.98062015503875966</v>
      </c>
      <c r="N36" s="5">
        <f t="shared" si="1"/>
        <v>3.581395348837209</v>
      </c>
      <c r="O36" s="3">
        <f t="shared" si="2"/>
        <v>5</v>
      </c>
      <c r="P36" s="3" t="str">
        <f t="shared" si="3"/>
        <v>Healthy</v>
      </c>
      <c r="Q36" s="3" t="str">
        <f t="shared" si="4"/>
        <v>Short Supply</v>
      </c>
      <c r="R36" s="6">
        <f t="shared" si="5"/>
        <v>115500</v>
      </c>
    </row>
    <row r="37" spans="1:18" x14ac:dyDescent="0.25">
      <c r="A37" s="2">
        <v>45658</v>
      </c>
      <c r="B37" s="3" t="s">
        <v>47</v>
      </c>
      <c r="C37" s="3" t="s">
        <v>48</v>
      </c>
      <c r="D37" s="3" t="s">
        <v>26</v>
      </c>
      <c r="E37" s="3" t="s">
        <v>29</v>
      </c>
      <c r="F37" s="3">
        <v>482</v>
      </c>
      <c r="G37" s="3">
        <v>458</v>
      </c>
      <c r="H37" s="3">
        <v>465</v>
      </c>
      <c r="I37" s="3">
        <v>488</v>
      </c>
      <c r="J37" s="3">
        <v>187</v>
      </c>
      <c r="K37" s="3">
        <v>170</v>
      </c>
      <c r="L37" s="3">
        <v>1250</v>
      </c>
      <c r="M37" s="4">
        <f t="shared" si="0"/>
        <v>0.96473029045643155</v>
      </c>
      <c r="N37" s="5">
        <f t="shared" si="1"/>
        <v>4.2323651452282158</v>
      </c>
      <c r="O37" s="3">
        <f t="shared" si="2"/>
        <v>17</v>
      </c>
      <c r="P37" s="3" t="str">
        <f t="shared" si="3"/>
        <v>Healthy</v>
      </c>
      <c r="Q37" s="3" t="str">
        <f t="shared" si="4"/>
        <v>Short Supply</v>
      </c>
      <c r="R37" s="6">
        <f t="shared" si="5"/>
        <v>212500</v>
      </c>
    </row>
    <row r="38" spans="1:18" x14ac:dyDescent="0.25">
      <c r="A38" s="2">
        <v>45658</v>
      </c>
      <c r="B38" s="3" t="s">
        <v>47</v>
      </c>
      <c r="C38" s="3" t="s">
        <v>48</v>
      </c>
      <c r="D38" s="3" t="s">
        <v>28</v>
      </c>
      <c r="E38" s="3" t="s">
        <v>27</v>
      </c>
      <c r="F38" s="3">
        <v>363</v>
      </c>
      <c r="G38" s="3">
        <v>370</v>
      </c>
      <c r="H38" s="3">
        <v>351</v>
      </c>
      <c r="I38" s="3">
        <v>383</v>
      </c>
      <c r="J38" s="3">
        <v>99</v>
      </c>
      <c r="K38" s="3">
        <v>87</v>
      </c>
      <c r="L38" s="3">
        <v>1250</v>
      </c>
      <c r="M38" s="4">
        <f t="shared" si="0"/>
        <v>0.96694214876033058</v>
      </c>
      <c r="N38" s="5">
        <f t="shared" si="1"/>
        <v>2.8760330578512399</v>
      </c>
      <c r="O38" s="3">
        <f t="shared" si="2"/>
        <v>12</v>
      </c>
      <c r="P38" s="3" t="str">
        <f t="shared" si="3"/>
        <v>Healthy</v>
      </c>
      <c r="Q38" s="3" t="str">
        <f t="shared" si="4"/>
        <v>Short Supply</v>
      </c>
      <c r="R38" s="6">
        <f t="shared" si="5"/>
        <v>108750</v>
      </c>
    </row>
    <row r="39" spans="1:18" x14ac:dyDescent="0.25">
      <c r="A39" s="2">
        <v>45658</v>
      </c>
      <c r="B39" s="3" t="s">
        <v>47</v>
      </c>
      <c r="C39" s="3" t="s">
        <v>48</v>
      </c>
      <c r="D39" s="3" t="s">
        <v>30</v>
      </c>
      <c r="E39" s="3" t="s">
        <v>31</v>
      </c>
      <c r="F39" s="3">
        <v>344</v>
      </c>
      <c r="G39" s="3">
        <v>308</v>
      </c>
      <c r="H39" s="3">
        <v>273</v>
      </c>
      <c r="I39" s="3">
        <v>363</v>
      </c>
      <c r="J39" s="3">
        <v>93</v>
      </c>
      <c r="K39" s="3">
        <v>22</v>
      </c>
      <c r="L39" s="3">
        <v>1250</v>
      </c>
      <c r="M39" s="4">
        <f t="shared" si="0"/>
        <v>0.79360465116279066</v>
      </c>
      <c r="N39" s="5">
        <f t="shared" si="1"/>
        <v>0.76744186046511631</v>
      </c>
      <c r="O39" s="3">
        <f t="shared" si="2"/>
        <v>71</v>
      </c>
      <c r="P39" s="3" t="str">
        <f t="shared" si="3"/>
        <v>Low</v>
      </c>
      <c r="Q39" s="3" t="str">
        <f t="shared" si="4"/>
        <v>Short Supply</v>
      </c>
      <c r="R39" s="6">
        <f t="shared" si="5"/>
        <v>27500</v>
      </c>
    </row>
    <row r="40" spans="1:18" x14ac:dyDescent="0.25">
      <c r="A40" s="2">
        <v>45658</v>
      </c>
      <c r="B40" s="3" t="s">
        <v>47</v>
      </c>
      <c r="C40" s="3" t="s">
        <v>48</v>
      </c>
      <c r="D40" s="3" t="s">
        <v>32</v>
      </c>
      <c r="E40" s="3" t="s">
        <v>29</v>
      </c>
      <c r="F40" s="3">
        <v>294</v>
      </c>
      <c r="G40" s="3">
        <v>261</v>
      </c>
      <c r="H40" s="3">
        <v>232</v>
      </c>
      <c r="I40" s="3">
        <v>301</v>
      </c>
      <c r="J40" s="3">
        <v>105</v>
      </c>
      <c r="K40" s="3">
        <v>43</v>
      </c>
      <c r="L40" s="3">
        <v>1250</v>
      </c>
      <c r="M40" s="4">
        <f t="shared" si="0"/>
        <v>0.78911564625850339</v>
      </c>
      <c r="N40" s="5">
        <f t="shared" si="1"/>
        <v>1.7551020408163265</v>
      </c>
      <c r="O40" s="3">
        <f t="shared" si="2"/>
        <v>62</v>
      </c>
      <c r="P40" s="3" t="str">
        <f t="shared" si="3"/>
        <v>Medium</v>
      </c>
      <c r="Q40" s="3" t="str">
        <f t="shared" si="4"/>
        <v>Short Supply</v>
      </c>
      <c r="R40" s="6">
        <f t="shared" si="5"/>
        <v>53750</v>
      </c>
    </row>
    <row r="41" spans="1:18" x14ac:dyDescent="0.25">
      <c r="A41" s="2">
        <v>45658</v>
      </c>
      <c r="B41" s="3" t="s">
        <v>47</v>
      </c>
      <c r="C41" s="3" t="s">
        <v>48</v>
      </c>
      <c r="D41" s="3" t="s">
        <v>33</v>
      </c>
      <c r="E41" s="3" t="s">
        <v>29</v>
      </c>
      <c r="F41" s="3">
        <v>360</v>
      </c>
      <c r="G41" s="3">
        <v>334</v>
      </c>
      <c r="H41" s="3">
        <v>327</v>
      </c>
      <c r="I41" s="3">
        <v>344</v>
      </c>
      <c r="J41" s="3">
        <v>91</v>
      </c>
      <c r="K41" s="3">
        <v>58</v>
      </c>
      <c r="L41" s="3">
        <v>1250</v>
      </c>
      <c r="M41" s="4">
        <f t="shared" si="0"/>
        <v>0.90833333333333333</v>
      </c>
      <c r="N41" s="5">
        <f t="shared" si="1"/>
        <v>1.9333333333333336</v>
      </c>
      <c r="O41" s="3">
        <f t="shared" si="2"/>
        <v>33</v>
      </c>
      <c r="P41" s="3" t="str">
        <f t="shared" si="3"/>
        <v>Medium</v>
      </c>
      <c r="Q41" s="3" t="str">
        <f t="shared" si="4"/>
        <v>Short Supply</v>
      </c>
      <c r="R41" s="6">
        <f t="shared" si="5"/>
        <v>72500</v>
      </c>
    </row>
    <row r="42" spans="1:18" x14ac:dyDescent="0.25">
      <c r="A42" s="2">
        <v>45658</v>
      </c>
      <c r="B42" s="3" t="s">
        <v>49</v>
      </c>
      <c r="C42" s="3" t="s">
        <v>50</v>
      </c>
      <c r="D42" s="3" t="s">
        <v>26</v>
      </c>
      <c r="E42" s="3" t="s">
        <v>27</v>
      </c>
      <c r="F42" s="3">
        <v>759</v>
      </c>
      <c r="G42" s="3">
        <v>837</v>
      </c>
      <c r="H42" s="3">
        <v>846</v>
      </c>
      <c r="I42" s="3">
        <v>699</v>
      </c>
      <c r="J42" s="3">
        <v>457</v>
      </c>
      <c r="K42" s="3">
        <v>544</v>
      </c>
      <c r="L42" s="3">
        <v>1750</v>
      </c>
      <c r="M42" s="4">
        <f t="shared" si="0"/>
        <v>1.1146245059288538</v>
      </c>
      <c r="N42" s="5">
        <f t="shared" si="1"/>
        <v>8.6007905138339922</v>
      </c>
      <c r="O42" s="3">
        <f t="shared" si="2"/>
        <v>-87</v>
      </c>
      <c r="P42" s="3" t="str">
        <f t="shared" si="3"/>
        <v>Healthy</v>
      </c>
      <c r="Q42" s="3" t="str">
        <f t="shared" si="4"/>
        <v>On Track</v>
      </c>
      <c r="R42" s="6">
        <f t="shared" si="5"/>
        <v>952000</v>
      </c>
    </row>
    <row r="43" spans="1:18" x14ac:dyDescent="0.25">
      <c r="A43" s="2">
        <v>45658</v>
      </c>
      <c r="B43" s="3" t="s">
        <v>49</v>
      </c>
      <c r="C43" s="3" t="s">
        <v>50</v>
      </c>
      <c r="D43" s="3" t="s">
        <v>28</v>
      </c>
      <c r="E43" s="3" t="s">
        <v>31</v>
      </c>
      <c r="F43" s="3">
        <v>521</v>
      </c>
      <c r="G43" s="3">
        <v>485</v>
      </c>
      <c r="H43" s="3">
        <v>444</v>
      </c>
      <c r="I43" s="3">
        <v>557</v>
      </c>
      <c r="J43" s="3">
        <v>423</v>
      </c>
      <c r="K43" s="3">
        <v>346</v>
      </c>
      <c r="L43" s="3">
        <v>1750</v>
      </c>
      <c r="M43" s="4">
        <f t="shared" si="0"/>
        <v>0.85220729366602688</v>
      </c>
      <c r="N43" s="5">
        <f t="shared" si="1"/>
        <v>7.9692898272552783</v>
      </c>
      <c r="O43" s="3">
        <f t="shared" si="2"/>
        <v>77</v>
      </c>
      <c r="P43" s="3" t="str">
        <f t="shared" si="3"/>
        <v>Healthy</v>
      </c>
      <c r="Q43" s="3" t="str">
        <f t="shared" si="4"/>
        <v>Short Supply</v>
      </c>
      <c r="R43" s="6">
        <f t="shared" si="5"/>
        <v>605500</v>
      </c>
    </row>
    <row r="44" spans="1:18" x14ac:dyDescent="0.25">
      <c r="A44" s="2">
        <v>45658</v>
      </c>
      <c r="B44" s="3" t="s">
        <v>49</v>
      </c>
      <c r="C44" s="3" t="s">
        <v>50</v>
      </c>
      <c r="D44" s="3" t="s">
        <v>30</v>
      </c>
      <c r="E44" s="3" t="s">
        <v>27</v>
      </c>
      <c r="F44" s="3">
        <v>427</v>
      </c>
      <c r="G44" s="3">
        <v>391</v>
      </c>
      <c r="H44" s="3">
        <v>389</v>
      </c>
      <c r="I44" s="3">
        <v>440</v>
      </c>
      <c r="J44" s="3">
        <v>269</v>
      </c>
      <c r="K44" s="3">
        <v>231</v>
      </c>
      <c r="L44" s="3">
        <v>1750</v>
      </c>
      <c r="M44" s="4">
        <f t="shared" si="0"/>
        <v>0.91100702576112413</v>
      </c>
      <c r="N44" s="5">
        <f t="shared" si="1"/>
        <v>6.4918032786885256</v>
      </c>
      <c r="O44" s="3">
        <f t="shared" si="2"/>
        <v>38</v>
      </c>
      <c r="P44" s="3" t="str">
        <f t="shared" si="3"/>
        <v>Healthy</v>
      </c>
      <c r="Q44" s="3" t="str">
        <f t="shared" si="4"/>
        <v>Short Supply</v>
      </c>
      <c r="R44" s="6">
        <f t="shared" si="5"/>
        <v>404250</v>
      </c>
    </row>
    <row r="45" spans="1:18" x14ac:dyDescent="0.25">
      <c r="A45" s="2">
        <v>45658</v>
      </c>
      <c r="B45" s="3" t="s">
        <v>49</v>
      </c>
      <c r="C45" s="3" t="s">
        <v>50</v>
      </c>
      <c r="D45" s="3" t="s">
        <v>32</v>
      </c>
      <c r="E45" s="3" t="s">
        <v>29</v>
      </c>
      <c r="F45" s="3">
        <v>431</v>
      </c>
      <c r="G45" s="3">
        <v>436</v>
      </c>
      <c r="H45" s="3">
        <v>440</v>
      </c>
      <c r="I45" s="3">
        <v>403</v>
      </c>
      <c r="J45" s="3">
        <v>243</v>
      </c>
      <c r="K45" s="3">
        <v>252</v>
      </c>
      <c r="L45" s="3">
        <v>1750</v>
      </c>
      <c r="M45" s="4">
        <f t="shared" si="0"/>
        <v>1.0208816705336428</v>
      </c>
      <c r="N45" s="5">
        <f t="shared" si="1"/>
        <v>7.0162412993039442</v>
      </c>
      <c r="O45" s="3">
        <f t="shared" si="2"/>
        <v>-9</v>
      </c>
      <c r="P45" s="3" t="str">
        <f t="shared" si="3"/>
        <v>Healthy</v>
      </c>
      <c r="Q45" s="3" t="str">
        <f t="shared" si="4"/>
        <v>On Track</v>
      </c>
      <c r="R45" s="6">
        <f t="shared" si="5"/>
        <v>441000</v>
      </c>
    </row>
    <row r="46" spans="1:18" x14ac:dyDescent="0.25">
      <c r="A46" s="2">
        <v>45658</v>
      </c>
      <c r="B46" s="3" t="s">
        <v>49</v>
      </c>
      <c r="C46" s="3" t="s">
        <v>50</v>
      </c>
      <c r="D46" s="3" t="s">
        <v>33</v>
      </c>
      <c r="E46" s="3" t="s">
        <v>29</v>
      </c>
      <c r="F46" s="3">
        <v>403</v>
      </c>
      <c r="G46" s="3">
        <v>364</v>
      </c>
      <c r="H46" s="3">
        <v>348</v>
      </c>
      <c r="I46" s="3">
        <v>388</v>
      </c>
      <c r="J46" s="3">
        <v>158</v>
      </c>
      <c r="K46" s="3">
        <v>103</v>
      </c>
      <c r="L46" s="3">
        <v>1750</v>
      </c>
      <c r="M46" s="4">
        <f t="shared" si="0"/>
        <v>0.8635235732009926</v>
      </c>
      <c r="N46" s="5">
        <f t="shared" si="1"/>
        <v>3.0669975186104219</v>
      </c>
      <c r="O46" s="3">
        <f t="shared" si="2"/>
        <v>55</v>
      </c>
      <c r="P46" s="3" t="str">
        <f t="shared" si="3"/>
        <v>Healthy</v>
      </c>
      <c r="Q46" s="3" t="str">
        <f t="shared" si="4"/>
        <v>Short Supply</v>
      </c>
      <c r="R46" s="6">
        <f t="shared" si="5"/>
        <v>180250</v>
      </c>
    </row>
    <row r="47" spans="1:18" x14ac:dyDescent="0.25">
      <c r="A47" s="2">
        <v>45658</v>
      </c>
      <c r="B47" s="3" t="s">
        <v>51</v>
      </c>
      <c r="C47" s="3" t="s">
        <v>36</v>
      </c>
      <c r="D47" s="3" t="s">
        <v>26</v>
      </c>
      <c r="E47" s="3" t="s">
        <v>27</v>
      </c>
      <c r="F47" s="3">
        <v>537</v>
      </c>
      <c r="G47" s="3">
        <v>554</v>
      </c>
      <c r="H47" s="3">
        <v>507</v>
      </c>
      <c r="I47" s="3">
        <v>536</v>
      </c>
      <c r="J47" s="3">
        <v>480</v>
      </c>
      <c r="K47" s="3">
        <v>450</v>
      </c>
      <c r="L47" s="3">
        <v>1450</v>
      </c>
      <c r="M47" s="4">
        <f t="shared" si="0"/>
        <v>0.94413407821229045</v>
      </c>
      <c r="N47" s="5">
        <f t="shared" si="1"/>
        <v>10.05586592178771</v>
      </c>
      <c r="O47" s="3">
        <f t="shared" si="2"/>
        <v>30</v>
      </c>
      <c r="P47" s="3" t="str">
        <f t="shared" si="3"/>
        <v>Healthy</v>
      </c>
      <c r="Q47" s="3" t="str">
        <f t="shared" si="4"/>
        <v>Short Supply</v>
      </c>
      <c r="R47" s="6">
        <f t="shared" si="5"/>
        <v>652500</v>
      </c>
    </row>
    <row r="48" spans="1:18" x14ac:dyDescent="0.25">
      <c r="A48" s="2">
        <v>45658</v>
      </c>
      <c r="B48" s="3" t="s">
        <v>51</v>
      </c>
      <c r="C48" s="3" t="s">
        <v>36</v>
      </c>
      <c r="D48" s="3" t="s">
        <v>28</v>
      </c>
      <c r="E48" s="3" t="s">
        <v>29</v>
      </c>
      <c r="F48" s="3">
        <v>402</v>
      </c>
      <c r="G48" s="3">
        <v>394</v>
      </c>
      <c r="H48" s="3">
        <v>361</v>
      </c>
      <c r="I48" s="3">
        <v>370</v>
      </c>
      <c r="J48" s="3">
        <v>342</v>
      </c>
      <c r="K48" s="3">
        <v>301</v>
      </c>
      <c r="L48" s="3">
        <v>1450</v>
      </c>
      <c r="M48" s="4">
        <f t="shared" si="0"/>
        <v>0.89800995024875618</v>
      </c>
      <c r="N48" s="5">
        <f t="shared" si="1"/>
        <v>8.9850746268656714</v>
      </c>
      <c r="O48" s="3">
        <f t="shared" si="2"/>
        <v>41</v>
      </c>
      <c r="P48" s="3" t="str">
        <f t="shared" si="3"/>
        <v>Healthy</v>
      </c>
      <c r="Q48" s="3" t="str">
        <f t="shared" si="4"/>
        <v>Short Supply</v>
      </c>
      <c r="R48" s="6">
        <f t="shared" si="5"/>
        <v>436450</v>
      </c>
    </row>
    <row r="49" spans="1:18" x14ac:dyDescent="0.25">
      <c r="A49" s="2">
        <v>45658</v>
      </c>
      <c r="B49" s="3" t="s">
        <v>51</v>
      </c>
      <c r="C49" s="3" t="s">
        <v>36</v>
      </c>
      <c r="D49" s="3" t="s">
        <v>30</v>
      </c>
      <c r="E49" s="3" t="s">
        <v>31</v>
      </c>
      <c r="F49" s="3">
        <v>306</v>
      </c>
      <c r="G49" s="3">
        <v>301</v>
      </c>
      <c r="H49" s="3">
        <v>294</v>
      </c>
      <c r="I49" s="3">
        <v>308</v>
      </c>
      <c r="J49" s="3">
        <v>148</v>
      </c>
      <c r="K49" s="3">
        <v>136</v>
      </c>
      <c r="L49" s="3">
        <v>1450</v>
      </c>
      <c r="M49" s="4">
        <f t="shared" si="0"/>
        <v>0.96078431372549022</v>
      </c>
      <c r="N49" s="5">
        <f t="shared" si="1"/>
        <v>5.333333333333333</v>
      </c>
      <c r="O49" s="3">
        <f t="shared" si="2"/>
        <v>12</v>
      </c>
      <c r="P49" s="3" t="str">
        <f t="shared" si="3"/>
        <v>Healthy</v>
      </c>
      <c r="Q49" s="3" t="str">
        <f t="shared" si="4"/>
        <v>Short Supply</v>
      </c>
      <c r="R49" s="6">
        <f t="shared" si="5"/>
        <v>197200</v>
      </c>
    </row>
    <row r="50" spans="1:18" x14ac:dyDescent="0.25">
      <c r="A50" s="2">
        <v>45658</v>
      </c>
      <c r="B50" s="3" t="s">
        <v>51</v>
      </c>
      <c r="C50" s="3" t="s">
        <v>36</v>
      </c>
      <c r="D50" s="3" t="s">
        <v>32</v>
      </c>
      <c r="E50" s="3" t="s">
        <v>29</v>
      </c>
      <c r="F50" s="3">
        <v>318</v>
      </c>
      <c r="G50" s="3">
        <v>343</v>
      </c>
      <c r="H50" s="3">
        <v>329</v>
      </c>
      <c r="I50" s="3">
        <v>300</v>
      </c>
      <c r="J50" s="3">
        <v>111</v>
      </c>
      <c r="K50" s="3">
        <v>122</v>
      </c>
      <c r="L50" s="3">
        <v>1450</v>
      </c>
      <c r="M50" s="4">
        <f t="shared" si="0"/>
        <v>1.0345911949685536</v>
      </c>
      <c r="N50" s="5">
        <f t="shared" si="1"/>
        <v>4.6037735849056602</v>
      </c>
      <c r="O50" s="3">
        <f t="shared" si="2"/>
        <v>-11</v>
      </c>
      <c r="P50" s="3" t="str">
        <f t="shared" si="3"/>
        <v>Healthy</v>
      </c>
      <c r="Q50" s="3" t="str">
        <f t="shared" si="4"/>
        <v>On Track</v>
      </c>
      <c r="R50" s="6">
        <f t="shared" si="5"/>
        <v>176900</v>
      </c>
    </row>
    <row r="51" spans="1:18" x14ac:dyDescent="0.25">
      <c r="A51" s="2">
        <v>45658</v>
      </c>
      <c r="B51" s="3" t="s">
        <v>51</v>
      </c>
      <c r="C51" s="3" t="s">
        <v>36</v>
      </c>
      <c r="D51" s="3" t="s">
        <v>33</v>
      </c>
      <c r="E51" s="3" t="s">
        <v>31</v>
      </c>
      <c r="F51" s="3">
        <v>335</v>
      </c>
      <c r="G51" s="3">
        <v>369</v>
      </c>
      <c r="H51" s="3">
        <v>374</v>
      </c>
      <c r="I51" s="3">
        <v>310</v>
      </c>
      <c r="J51" s="3">
        <v>104</v>
      </c>
      <c r="K51" s="3">
        <v>143</v>
      </c>
      <c r="L51" s="3">
        <v>1450</v>
      </c>
      <c r="M51" s="4">
        <f t="shared" si="0"/>
        <v>1.1164179104477612</v>
      </c>
      <c r="N51" s="5">
        <f t="shared" si="1"/>
        <v>5.1223880597014926</v>
      </c>
      <c r="O51" s="3">
        <f t="shared" si="2"/>
        <v>-39</v>
      </c>
      <c r="P51" s="3" t="str">
        <f t="shared" si="3"/>
        <v>Healthy</v>
      </c>
      <c r="Q51" s="3" t="str">
        <f t="shared" si="4"/>
        <v>On Track</v>
      </c>
      <c r="R51" s="6">
        <f t="shared" si="5"/>
        <v>207350</v>
      </c>
    </row>
    <row r="52" spans="1:18" x14ac:dyDescent="0.25">
      <c r="A52" s="2">
        <v>45689</v>
      </c>
      <c r="B52" s="3" t="s">
        <v>24</v>
      </c>
      <c r="C52" s="3" t="s">
        <v>25</v>
      </c>
      <c r="D52" s="3" t="s">
        <v>26</v>
      </c>
      <c r="E52" s="3" t="s">
        <v>31</v>
      </c>
      <c r="F52" s="3">
        <v>834</v>
      </c>
      <c r="G52" s="3">
        <v>804</v>
      </c>
      <c r="H52" s="3">
        <v>770</v>
      </c>
      <c r="I52" s="3">
        <v>884</v>
      </c>
      <c r="J52" s="3">
        <v>137</v>
      </c>
      <c r="K52" s="3">
        <v>73</v>
      </c>
      <c r="L52" s="3">
        <v>1800</v>
      </c>
      <c r="M52" s="4">
        <f t="shared" si="0"/>
        <v>0.9232613908872902</v>
      </c>
      <c r="N52" s="5">
        <f t="shared" si="1"/>
        <v>1.0503597122302157</v>
      </c>
      <c r="O52" s="3">
        <f t="shared" si="2"/>
        <v>64</v>
      </c>
      <c r="P52" s="3" t="str">
        <f t="shared" si="3"/>
        <v>Medium</v>
      </c>
      <c r="Q52" s="3" t="str">
        <f t="shared" si="4"/>
        <v>Short Supply</v>
      </c>
      <c r="R52" s="6">
        <f t="shared" si="5"/>
        <v>131400</v>
      </c>
    </row>
    <row r="53" spans="1:18" x14ac:dyDescent="0.25">
      <c r="A53" s="2">
        <v>45689</v>
      </c>
      <c r="B53" s="3" t="s">
        <v>24</v>
      </c>
      <c r="C53" s="3" t="s">
        <v>25</v>
      </c>
      <c r="D53" s="3" t="s">
        <v>28</v>
      </c>
      <c r="E53" s="3" t="s">
        <v>34</v>
      </c>
      <c r="F53" s="3">
        <v>697</v>
      </c>
      <c r="G53" s="3">
        <v>652</v>
      </c>
      <c r="H53" s="3">
        <v>588</v>
      </c>
      <c r="I53" s="3">
        <v>730</v>
      </c>
      <c r="J53" s="3">
        <v>74</v>
      </c>
      <c r="K53" s="3">
        <v>0</v>
      </c>
      <c r="L53" s="3">
        <v>1800</v>
      </c>
      <c r="M53" s="4">
        <f t="shared" si="0"/>
        <v>0.84361549497847921</v>
      </c>
      <c r="N53" s="5">
        <f t="shared" si="1"/>
        <v>0</v>
      </c>
      <c r="O53" s="3">
        <f t="shared" si="2"/>
        <v>109</v>
      </c>
      <c r="P53" s="3" t="str">
        <f t="shared" si="3"/>
        <v>Low</v>
      </c>
      <c r="Q53" s="3" t="str">
        <f t="shared" si="4"/>
        <v>Short Supply</v>
      </c>
      <c r="R53" s="6">
        <f t="shared" si="5"/>
        <v>0</v>
      </c>
    </row>
    <row r="54" spans="1:18" x14ac:dyDescent="0.25">
      <c r="A54" s="2">
        <v>45689</v>
      </c>
      <c r="B54" s="3" t="s">
        <v>24</v>
      </c>
      <c r="C54" s="3" t="s">
        <v>25</v>
      </c>
      <c r="D54" s="3" t="s">
        <v>30</v>
      </c>
      <c r="E54" s="3" t="s">
        <v>31</v>
      </c>
      <c r="F54" s="3">
        <v>393</v>
      </c>
      <c r="G54" s="3">
        <v>415</v>
      </c>
      <c r="H54" s="3">
        <v>384</v>
      </c>
      <c r="I54" s="3">
        <v>420</v>
      </c>
      <c r="J54" s="3">
        <v>124</v>
      </c>
      <c r="K54" s="3">
        <v>115</v>
      </c>
      <c r="L54" s="3">
        <v>1800</v>
      </c>
      <c r="M54" s="4">
        <f t="shared" si="0"/>
        <v>0.97709923664122134</v>
      </c>
      <c r="N54" s="5">
        <f t="shared" si="1"/>
        <v>3.5114503816793894</v>
      </c>
      <c r="O54" s="3">
        <f t="shared" si="2"/>
        <v>9</v>
      </c>
      <c r="P54" s="3" t="str">
        <f t="shared" si="3"/>
        <v>Healthy</v>
      </c>
      <c r="Q54" s="3" t="str">
        <f t="shared" si="4"/>
        <v>Short Supply</v>
      </c>
      <c r="R54" s="6">
        <f t="shared" si="5"/>
        <v>207000</v>
      </c>
    </row>
    <row r="55" spans="1:18" x14ac:dyDescent="0.25">
      <c r="A55" s="2">
        <v>45689</v>
      </c>
      <c r="B55" s="3" t="s">
        <v>24</v>
      </c>
      <c r="C55" s="3" t="s">
        <v>25</v>
      </c>
      <c r="D55" s="3" t="s">
        <v>32</v>
      </c>
      <c r="E55" s="3" t="s">
        <v>31</v>
      </c>
      <c r="F55" s="3">
        <v>394</v>
      </c>
      <c r="G55" s="3">
        <v>421</v>
      </c>
      <c r="H55" s="3">
        <v>376</v>
      </c>
      <c r="I55" s="3">
        <v>417</v>
      </c>
      <c r="J55" s="3">
        <v>128</v>
      </c>
      <c r="K55" s="3">
        <v>110</v>
      </c>
      <c r="L55" s="3">
        <v>1800</v>
      </c>
      <c r="M55" s="4">
        <f t="shared" si="0"/>
        <v>0.95431472081218272</v>
      </c>
      <c r="N55" s="5">
        <f t="shared" si="1"/>
        <v>3.3502538071065988</v>
      </c>
      <c r="O55" s="3">
        <f t="shared" si="2"/>
        <v>18</v>
      </c>
      <c r="P55" s="3" t="str">
        <f t="shared" si="3"/>
        <v>Healthy</v>
      </c>
      <c r="Q55" s="3" t="str">
        <f t="shared" si="4"/>
        <v>Short Supply</v>
      </c>
      <c r="R55" s="6">
        <f t="shared" si="5"/>
        <v>198000</v>
      </c>
    </row>
    <row r="56" spans="1:18" x14ac:dyDescent="0.25">
      <c r="A56" s="2">
        <v>45689</v>
      </c>
      <c r="B56" s="3" t="s">
        <v>24</v>
      </c>
      <c r="C56" s="3" t="s">
        <v>25</v>
      </c>
      <c r="D56" s="3" t="s">
        <v>33</v>
      </c>
      <c r="E56" s="3" t="s">
        <v>31</v>
      </c>
      <c r="F56" s="3">
        <v>428</v>
      </c>
      <c r="G56" s="3">
        <v>470</v>
      </c>
      <c r="H56" s="3">
        <v>436</v>
      </c>
      <c r="I56" s="3">
        <v>449</v>
      </c>
      <c r="J56" s="3">
        <v>129</v>
      </c>
      <c r="K56" s="3">
        <v>137</v>
      </c>
      <c r="L56" s="3">
        <v>1800</v>
      </c>
      <c r="M56" s="4">
        <f t="shared" si="0"/>
        <v>1.0186915887850467</v>
      </c>
      <c r="N56" s="5">
        <f t="shared" si="1"/>
        <v>3.8411214953271031</v>
      </c>
      <c r="O56" s="3">
        <f t="shared" si="2"/>
        <v>-8</v>
      </c>
      <c r="P56" s="3" t="str">
        <f t="shared" si="3"/>
        <v>Healthy</v>
      </c>
      <c r="Q56" s="3" t="str">
        <f t="shared" si="4"/>
        <v>On Track</v>
      </c>
      <c r="R56" s="6">
        <f t="shared" si="5"/>
        <v>246600</v>
      </c>
    </row>
    <row r="57" spans="1:18" x14ac:dyDescent="0.25">
      <c r="A57" s="2">
        <v>45689</v>
      </c>
      <c r="B57" s="3" t="s">
        <v>35</v>
      </c>
      <c r="C57" s="3" t="s">
        <v>36</v>
      </c>
      <c r="D57" s="3" t="s">
        <v>26</v>
      </c>
      <c r="E57" s="3" t="s">
        <v>29</v>
      </c>
      <c r="F57" s="3">
        <v>553</v>
      </c>
      <c r="G57" s="3">
        <v>512</v>
      </c>
      <c r="H57" s="3">
        <v>474</v>
      </c>
      <c r="I57" s="3">
        <v>585</v>
      </c>
      <c r="J57" s="3">
        <v>137</v>
      </c>
      <c r="K57" s="3">
        <v>58</v>
      </c>
      <c r="L57" s="3">
        <v>1600</v>
      </c>
      <c r="M57" s="4">
        <f t="shared" si="0"/>
        <v>0.8571428571428571</v>
      </c>
      <c r="N57" s="5">
        <f t="shared" si="1"/>
        <v>1.2585895117540686</v>
      </c>
      <c r="O57" s="3">
        <f t="shared" si="2"/>
        <v>79</v>
      </c>
      <c r="P57" s="3" t="str">
        <f t="shared" si="3"/>
        <v>Medium</v>
      </c>
      <c r="Q57" s="3" t="str">
        <f t="shared" si="4"/>
        <v>Short Supply</v>
      </c>
      <c r="R57" s="6">
        <f t="shared" si="5"/>
        <v>92800</v>
      </c>
    </row>
    <row r="58" spans="1:18" x14ac:dyDescent="0.25">
      <c r="A58" s="2">
        <v>45689</v>
      </c>
      <c r="B58" s="3" t="s">
        <v>35</v>
      </c>
      <c r="C58" s="3" t="s">
        <v>36</v>
      </c>
      <c r="D58" s="3" t="s">
        <v>28</v>
      </c>
      <c r="E58" s="3" t="s">
        <v>27</v>
      </c>
      <c r="F58" s="3">
        <v>479</v>
      </c>
      <c r="G58" s="3">
        <v>480</v>
      </c>
      <c r="H58" s="3">
        <v>468</v>
      </c>
      <c r="I58" s="3">
        <v>505</v>
      </c>
      <c r="J58" s="3">
        <v>86</v>
      </c>
      <c r="K58" s="3">
        <v>75</v>
      </c>
      <c r="L58" s="3">
        <v>1600</v>
      </c>
      <c r="M58" s="4">
        <f t="shared" si="0"/>
        <v>0.97703549060542794</v>
      </c>
      <c r="N58" s="5">
        <f t="shared" si="1"/>
        <v>1.8789144050104385</v>
      </c>
      <c r="O58" s="3">
        <f t="shared" si="2"/>
        <v>11</v>
      </c>
      <c r="P58" s="3" t="str">
        <f t="shared" si="3"/>
        <v>Medium</v>
      </c>
      <c r="Q58" s="3" t="str">
        <f t="shared" si="4"/>
        <v>Short Supply</v>
      </c>
      <c r="R58" s="6">
        <f t="shared" si="5"/>
        <v>120000</v>
      </c>
    </row>
    <row r="59" spans="1:18" x14ac:dyDescent="0.25">
      <c r="A59" s="2">
        <v>45689</v>
      </c>
      <c r="B59" s="3" t="s">
        <v>35</v>
      </c>
      <c r="C59" s="3" t="s">
        <v>36</v>
      </c>
      <c r="D59" s="3" t="s">
        <v>30</v>
      </c>
      <c r="E59" s="3" t="s">
        <v>27</v>
      </c>
      <c r="F59" s="3">
        <v>330</v>
      </c>
      <c r="G59" s="3">
        <v>367</v>
      </c>
      <c r="H59" s="3">
        <v>332</v>
      </c>
      <c r="I59" s="3">
        <v>354</v>
      </c>
      <c r="J59" s="3">
        <v>81</v>
      </c>
      <c r="K59" s="3">
        <v>83</v>
      </c>
      <c r="L59" s="3">
        <v>1600</v>
      </c>
      <c r="M59" s="4">
        <f t="shared" si="0"/>
        <v>1.0060606060606061</v>
      </c>
      <c r="N59" s="5">
        <f t="shared" si="1"/>
        <v>3.0181818181818185</v>
      </c>
      <c r="O59" s="3">
        <f t="shared" si="2"/>
        <v>-2</v>
      </c>
      <c r="P59" s="3" t="str">
        <f t="shared" si="3"/>
        <v>Healthy</v>
      </c>
      <c r="Q59" s="3" t="str">
        <f t="shared" si="4"/>
        <v>On Track</v>
      </c>
      <c r="R59" s="6">
        <f t="shared" si="5"/>
        <v>132800</v>
      </c>
    </row>
    <row r="60" spans="1:18" x14ac:dyDescent="0.25">
      <c r="A60" s="2">
        <v>45689</v>
      </c>
      <c r="B60" s="3" t="s">
        <v>35</v>
      </c>
      <c r="C60" s="3" t="s">
        <v>36</v>
      </c>
      <c r="D60" s="3" t="s">
        <v>32</v>
      </c>
      <c r="E60" s="3" t="s">
        <v>27</v>
      </c>
      <c r="F60" s="3">
        <v>354</v>
      </c>
      <c r="G60" s="3">
        <v>340</v>
      </c>
      <c r="H60" s="3">
        <v>336</v>
      </c>
      <c r="I60" s="3">
        <v>350</v>
      </c>
      <c r="J60" s="3">
        <v>138</v>
      </c>
      <c r="K60" s="3">
        <v>120</v>
      </c>
      <c r="L60" s="3">
        <v>1600</v>
      </c>
      <c r="M60" s="4">
        <f t="shared" si="0"/>
        <v>0.94915254237288138</v>
      </c>
      <c r="N60" s="5">
        <f t="shared" si="1"/>
        <v>4.0677966101694913</v>
      </c>
      <c r="O60" s="3">
        <f t="shared" si="2"/>
        <v>18</v>
      </c>
      <c r="P60" s="3" t="str">
        <f t="shared" si="3"/>
        <v>Healthy</v>
      </c>
      <c r="Q60" s="3" t="str">
        <f t="shared" si="4"/>
        <v>Short Supply</v>
      </c>
      <c r="R60" s="6">
        <f t="shared" si="5"/>
        <v>192000</v>
      </c>
    </row>
    <row r="61" spans="1:18" x14ac:dyDescent="0.25">
      <c r="A61" s="2">
        <v>45689</v>
      </c>
      <c r="B61" s="3" t="s">
        <v>35</v>
      </c>
      <c r="C61" s="3" t="s">
        <v>36</v>
      </c>
      <c r="D61" s="3" t="s">
        <v>33</v>
      </c>
      <c r="E61" s="3" t="s">
        <v>31</v>
      </c>
      <c r="F61" s="3">
        <v>369</v>
      </c>
      <c r="G61" s="3">
        <v>375</v>
      </c>
      <c r="H61" s="3">
        <v>343</v>
      </c>
      <c r="I61" s="3">
        <v>381</v>
      </c>
      <c r="J61" s="3">
        <v>60</v>
      </c>
      <c r="K61" s="3">
        <v>34</v>
      </c>
      <c r="L61" s="3">
        <v>1600</v>
      </c>
      <c r="M61" s="4">
        <f t="shared" si="0"/>
        <v>0.92953929539295388</v>
      </c>
      <c r="N61" s="5">
        <f t="shared" si="1"/>
        <v>1.1056910569105691</v>
      </c>
      <c r="O61" s="3">
        <f t="shared" si="2"/>
        <v>26</v>
      </c>
      <c r="P61" s="3" t="str">
        <f t="shared" si="3"/>
        <v>Medium</v>
      </c>
      <c r="Q61" s="3" t="str">
        <f t="shared" si="4"/>
        <v>Short Supply</v>
      </c>
      <c r="R61" s="6">
        <f t="shared" si="5"/>
        <v>54400</v>
      </c>
    </row>
    <row r="62" spans="1:18" x14ac:dyDescent="0.25">
      <c r="A62" s="2">
        <v>45689</v>
      </c>
      <c r="B62" s="3" t="s">
        <v>37</v>
      </c>
      <c r="C62" s="3" t="s">
        <v>38</v>
      </c>
      <c r="D62" s="3" t="s">
        <v>26</v>
      </c>
      <c r="E62" s="3" t="s">
        <v>27</v>
      </c>
      <c r="F62" s="3">
        <v>524</v>
      </c>
      <c r="G62" s="3">
        <v>469</v>
      </c>
      <c r="H62" s="3">
        <v>456</v>
      </c>
      <c r="I62" s="3">
        <v>509</v>
      </c>
      <c r="J62" s="3">
        <v>85</v>
      </c>
      <c r="K62" s="3">
        <v>17</v>
      </c>
      <c r="L62" s="3">
        <v>1300</v>
      </c>
      <c r="M62" s="4">
        <f t="shared" si="0"/>
        <v>0.87022900763358779</v>
      </c>
      <c r="N62" s="5">
        <f t="shared" si="1"/>
        <v>0.38931297709923662</v>
      </c>
      <c r="O62" s="3">
        <f t="shared" si="2"/>
        <v>68</v>
      </c>
      <c r="P62" s="3" t="str">
        <f t="shared" si="3"/>
        <v>Low</v>
      </c>
      <c r="Q62" s="3" t="str">
        <f t="shared" si="4"/>
        <v>Short Supply</v>
      </c>
      <c r="R62" s="6">
        <f t="shared" si="5"/>
        <v>22100</v>
      </c>
    </row>
    <row r="63" spans="1:18" x14ac:dyDescent="0.25">
      <c r="A63" s="2">
        <v>45689</v>
      </c>
      <c r="B63" s="3" t="s">
        <v>37</v>
      </c>
      <c r="C63" s="3" t="s">
        <v>38</v>
      </c>
      <c r="D63" s="3" t="s">
        <v>28</v>
      </c>
      <c r="E63" s="3" t="s">
        <v>29</v>
      </c>
      <c r="F63" s="3">
        <v>453</v>
      </c>
      <c r="G63" s="3">
        <v>431</v>
      </c>
      <c r="H63" s="3">
        <v>397</v>
      </c>
      <c r="I63" s="3">
        <v>446</v>
      </c>
      <c r="J63" s="3">
        <v>92</v>
      </c>
      <c r="K63" s="3">
        <v>36</v>
      </c>
      <c r="L63" s="3">
        <v>1300</v>
      </c>
      <c r="M63" s="4">
        <f t="shared" si="0"/>
        <v>0.87637969094922741</v>
      </c>
      <c r="N63" s="5">
        <f t="shared" si="1"/>
        <v>0.95364238410596025</v>
      </c>
      <c r="O63" s="3">
        <f t="shared" si="2"/>
        <v>56</v>
      </c>
      <c r="P63" s="3" t="str">
        <f t="shared" si="3"/>
        <v>Low</v>
      </c>
      <c r="Q63" s="3" t="str">
        <f t="shared" si="4"/>
        <v>Short Supply</v>
      </c>
      <c r="R63" s="6">
        <f t="shared" si="5"/>
        <v>46800</v>
      </c>
    </row>
    <row r="64" spans="1:18" x14ac:dyDescent="0.25">
      <c r="A64" s="2">
        <v>45689</v>
      </c>
      <c r="B64" s="3" t="s">
        <v>37</v>
      </c>
      <c r="C64" s="3" t="s">
        <v>38</v>
      </c>
      <c r="D64" s="3" t="s">
        <v>30</v>
      </c>
      <c r="E64" s="3" t="s">
        <v>31</v>
      </c>
      <c r="F64" s="3">
        <v>320</v>
      </c>
      <c r="G64" s="3">
        <v>296</v>
      </c>
      <c r="H64" s="3">
        <v>288</v>
      </c>
      <c r="I64" s="3">
        <v>313</v>
      </c>
      <c r="J64" s="3">
        <v>119</v>
      </c>
      <c r="K64" s="3">
        <v>87</v>
      </c>
      <c r="L64" s="3">
        <v>1300</v>
      </c>
      <c r="M64" s="4">
        <f t="shared" si="0"/>
        <v>0.9</v>
      </c>
      <c r="N64" s="5">
        <f t="shared" si="1"/>
        <v>3.2624999999999997</v>
      </c>
      <c r="O64" s="3">
        <f t="shared" si="2"/>
        <v>32</v>
      </c>
      <c r="P64" s="3" t="str">
        <f t="shared" si="3"/>
        <v>Healthy</v>
      </c>
      <c r="Q64" s="3" t="str">
        <f t="shared" si="4"/>
        <v>Short Supply</v>
      </c>
      <c r="R64" s="6">
        <f t="shared" si="5"/>
        <v>113100</v>
      </c>
    </row>
    <row r="65" spans="1:18" x14ac:dyDescent="0.25">
      <c r="A65" s="2">
        <v>45689</v>
      </c>
      <c r="B65" s="3" t="s">
        <v>37</v>
      </c>
      <c r="C65" s="3" t="s">
        <v>38</v>
      </c>
      <c r="D65" s="3" t="s">
        <v>32</v>
      </c>
      <c r="E65" s="3" t="s">
        <v>34</v>
      </c>
      <c r="F65" s="3">
        <v>301</v>
      </c>
      <c r="G65" s="3">
        <v>286</v>
      </c>
      <c r="H65" s="3">
        <v>273</v>
      </c>
      <c r="I65" s="3">
        <v>276</v>
      </c>
      <c r="J65" s="3">
        <v>82</v>
      </c>
      <c r="K65" s="3">
        <v>54</v>
      </c>
      <c r="L65" s="3">
        <v>1300</v>
      </c>
      <c r="M65" s="4">
        <f t="shared" si="0"/>
        <v>0.90697674418604646</v>
      </c>
      <c r="N65" s="5">
        <f t="shared" si="1"/>
        <v>2.1528239202657806</v>
      </c>
      <c r="O65" s="3">
        <f t="shared" si="2"/>
        <v>28</v>
      </c>
      <c r="P65" s="3" t="str">
        <f t="shared" si="3"/>
        <v>Healthy</v>
      </c>
      <c r="Q65" s="3" t="str">
        <f t="shared" si="4"/>
        <v>Short Supply</v>
      </c>
      <c r="R65" s="6">
        <f t="shared" si="5"/>
        <v>70200</v>
      </c>
    </row>
    <row r="66" spans="1:18" x14ac:dyDescent="0.25">
      <c r="A66" s="2">
        <v>45689</v>
      </c>
      <c r="B66" s="3" t="s">
        <v>37</v>
      </c>
      <c r="C66" s="3" t="s">
        <v>38</v>
      </c>
      <c r="D66" s="3" t="s">
        <v>33</v>
      </c>
      <c r="E66" s="3" t="s">
        <v>34</v>
      </c>
      <c r="F66" s="3">
        <v>351</v>
      </c>
      <c r="G66" s="3">
        <v>359</v>
      </c>
      <c r="H66" s="3">
        <v>332</v>
      </c>
      <c r="I66" s="3">
        <v>347</v>
      </c>
      <c r="J66" s="3">
        <v>114</v>
      </c>
      <c r="K66" s="3">
        <v>95</v>
      </c>
      <c r="L66" s="3">
        <v>1300</v>
      </c>
      <c r="M66" s="4">
        <f t="shared" ref="M66:M129" si="6">IFERROR(H66/F66,0)</f>
        <v>0.94586894586894588</v>
      </c>
      <c r="N66" s="5">
        <f t="shared" ref="N66:N129" si="7">IFERROR(K66/F66*12,0)</f>
        <v>3.2478632478632479</v>
      </c>
      <c r="O66" s="3">
        <f t="shared" ref="O66:O129" si="8">F66-H66</f>
        <v>19</v>
      </c>
      <c r="P66" s="3" t="str">
        <f t="shared" ref="P66:P129" si="9">IF(N66&lt;1,"Low",IF(N66&lt;=2,"Medium","Healthy"))</f>
        <v>Healthy</v>
      </c>
      <c r="Q66" s="3" t="str">
        <f t="shared" ref="Q66:Q129" si="10">IF(H66&lt;F66,"Short Supply","On Track")</f>
        <v>Short Supply</v>
      </c>
      <c r="R66" s="6">
        <f t="shared" ref="R66:R129" si="11">K66*L66</f>
        <v>123500</v>
      </c>
    </row>
    <row r="67" spans="1:18" x14ac:dyDescent="0.25">
      <c r="A67" s="2">
        <v>45689</v>
      </c>
      <c r="B67" s="3" t="s">
        <v>39</v>
      </c>
      <c r="C67" s="3" t="s">
        <v>40</v>
      </c>
      <c r="D67" s="3" t="s">
        <v>26</v>
      </c>
      <c r="E67" s="3" t="s">
        <v>29</v>
      </c>
      <c r="F67" s="3">
        <v>783</v>
      </c>
      <c r="G67" s="3">
        <v>869</v>
      </c>
      <c r="H67" s="3">
        <v>854</v>
      </c>
      <c r="I67" s="3">
        <v>802</v>
      </c>
      <c r="J67" s="3">
        <v>82</v>
      </c>
      <c r="K67" s="3">
        <v>153</v>
      </c>
      <c r="L67" s="3">
        <v>1700</v>
      </c>
      <c r="M67" s="4">
        <f t="shared" si="6"/>
        <v>1.090676883780332</v>
      </c>
      <c r="N67" s="5">
        <f t="shared" si="7"/>
        <v>2.3448275862068968</v>
      </c>
      <c r="O67" s="3">
        <f t="shared" si="8"/>
        <v>-71</v>
      </c>
      <c r="P67" s="3" t="str">
        <f t="shared" si="9"/>
        <v>Healthy</v>
      </c>
      <c r="Q67" s="3" t="str">
        <f t="shared" si="10"/>
        <v>On Track</v>
      </c>
      <c r="R67" s="6">
        <f t="shared" si="11"/>
        <v>260100</v>
      </c>
    </row>
    <row r="68" spans="1:18" x14ac:dyDescent="0.25">
      <c r="A68" s="2">
        <v>45689</v>
      </c>
      <c r="B68" s="3" t="s">
        <v>39</v>
      </c>
      <c r="C68" s="3" t="s">
        <v>40</v>
      </c>
      <c r="D68" s="3" t="s">
        <v>28</v>
      </c>
      <c r="E68" s="3" t="s">
        <v>31</v>
      </c>
      <c r="F68" s="3">
        <v>491</v>
      </c>
      <c r="G68" s="3">
        <v>544</v>
      </c>
      <c r="H68" s="3">
        <v>496</v>
      </c>
      <c r="I68" s="3">
        <v>476</v>
      </c>
      <c r="J68" s="3">
        <v>124</v>
      </c>
      <c r="K68" s="3">
        <v>129</v>
      </c>
      <c r="L68" s="3">
        <v>1700</v>
      </c>
      <c r="M68" s="4">
        <f t="shared" si="6"/>
        <v>1.0101832993890021</v>
      </c>
      <c r="N68" s="5">
        <f t="shared" si="7"/>
        <v>3.1527494908350304</v>
      </c>
      <c r="O68" s="3">
        <f t="shared" si="8"/>
        <v>-5</v>
      </c>
      <c r="P68" s="3" t="str">
        <f t="shared" si="9"/>
        <v>Healthy</v>
      </c>
      <c r="Q68" s="3" t="str">
        <f t="shared" si="10"/>
        <v>On Track</v>
      </c>
      <c r="R68" s="6">
        <f t="shared" si="11"/>
        <v>219300</v>
      </c>
    </row>
    <row r="69" spans="1:18" x14ac:dyDescent="0.25">
      <c r="A69" s="2">
        <v>45689</v>
      </c>
      <c r="B69" s="3" t="s">
        <v>39</v>
      </c>
      <c r="C69" s="3" t="s">
        <v>40</v>
      </c>
      <c r="D69" s="3" t="s">
        <v>30</v>
      </c>
      <c r="E69" s="3" t="s">
        <v>34</v>
      </c>
      <c r="F69" s="3">
        <v>356</v>
      </c>
      <c r="G69" s="3">
        <v>334</v>
      </c>
      <c r="H69" s="3">
        <v>316</v>
      </c>
      <c r="I69" s="3">
        <v>375</v>
      </c>
      <c r="J69" s="3">
        <v>65</v>
      </c>
      <c r="K69" s="3">
        <v>25</v>
      </c>
      <c r="L69" s="3">
        <v>1700</v>
      </c>
      <c r="M69" s="4">
        <f t="shared" si="6"/>
        <v>0.88764044943820219</v>
      </c>
      <c r="N69" s="5">
        <f t="shared" si="7"/>
        <v>0.84269662921348321</v>
      </c>
      <c r="O69" s="3">
        <f t="shared" si="8"/>
        <v>40</v>
      </c>
      <c r="P69" s="3" t="str">
        <f t="shared" si="9"/>
        <v>Low</v>
      </c>
      <c r="Q69" s="3" t="str">
        <f t="shared" si="10"/>
        <v>Short Supply</v>
      </c>
      <c r="R69" s="6">
        <f t="shared" si="11"/>
        <v>42500</v>
      </c>
    </row>
    <row r="70" spans="1:18" x14ac:dyDescent="0.25">
      <c r="A70" s="2">
        <v>45689</v>
      </c>
      <c r="B70" s="3" t="s">
        <v>39</v>
      </c>
      <c r="C70" s="3" t="s">
        <v>40</v>
      </c>
      <c r="D70" s="3" t="s">
        <v>32</v>
      </c>
      <c r="E70" s="3" t="s">
        <v>31</v>
      </c>
      <c r="F70" s="3">
        <v>428</v>
      </c>
      <c r="G70" s="3">
        <v>435</v>
      </c>
      <c r="H70" s="3">
        <v>426</v>
      </c>
      <c r="I70" s="3">
        <v>420</v>
      </c>
      <c r="J70" s="3">
        <v>91</v>
      </c>
      <c r="K70" s="3">
        <v>89</v>
      </c>
      <c r="L70" s="3">
        <v>1700</v>
      </c>
      <c r="M70" s="4">
        <f t="shared" si="6"/>
        <v>0.99532710280373837</v>
      </c>
      <c r="N70" s="5">
        <f t="shared" si="7"/>
        <v>2.4953271028037385</v>
      </c>
      <c r="O70" s="3">
        <f t="shared" si="8"/>
        <v>2</v>
      </c>
      <c r="P70" s="3" t="str">
        <f t="shared" si="9"/>
        <v>Healthy</v>
      </c>
      <c r="Q70" s="3" t="str">
        <f t="shared" si="10"/>
        <v>Short Supply</v>
      </c>
      <c r="R70" s="6">
        <f t="shared" si="11"/>
        <v>151300</v>
      </c>
    </row>
    <row r="71" spans="1:18" x14ac:dyDescent="0.25">
      <c r="A71" s="2">
        <v>45689</v>
      </c>
      <c r="B71" s="3" t="s">
        <v>39</v>
      </c>
      <c r="C71" s="3" t="s">
        <v>40</v>
      </c>
      <c r="D71" s="3" t="s">
        <v>33</v>
      </c>
      <c r="E71" s="3" t="s">
        <v>34</v>
      </c>
      <c r="F71" s="3">
        <v>446</v>
      </c>
      <c r="G71" s="3">
        <v>393</v>
      </c>
      <c r="H71" s="3">
        <v>387</v>
      </c>
      <c r="I71" s="3">
        <v>465</v>
      </c>
      <c r="J71" s="3">
        <v>68</v>
      </c>
      <c r="K71" s="3">
        <v>9</v>
      </c>
      <c r="L71" s="3">
        <v>1700</v>
      </c>
      <c r="M71" s="4">
        <f t="shared" si="6"/>
        <v>0.86771300448430488</v>
      </c>
      <c r="N71" s="5">
        <f t="shared" si="7"/>
        <v>0.24215246636771298</v>
      </c>
      <c r="O71" s="3">
        <f t="shared" si="8"/>
        <v>59</v>
      </c>
      <c r="P71" s="3" t="str">
        <f t="shared" si="9"/>
        <v>Low</v>
      </c>
      <c r="Q71" s="3" t="str">
        <f t="shared" si="10"/>
        <v>Short Supply</v>
      </c>
      <c r="R71" s="6">
        <f t="shared" si="11"/>
        <v>15300</v>
      </c>
    </row>
    <row r="72" spans="1:18" x14ac:dyDescent="0.25">
      <c r="A72" s="2">
        <v>45689</v>
      </c>
      <c r="B72" s="3" t="s">
        <v>41</v>
      </c>
      <c r="C72" s="3" t="s">
        <v>42</v>
      </c>
      <c r="D72" s="3" t="s">
        <v>26</v>
      </c>
      <c r="E72" s="3" t="s">
        <v>27</v>
      </c>
      <c r="F72" s="3">
        <v>409</v>
      </c>
      <c r="G72" s="3">
        <v>438</v>
      </c>
      <c r="H72" s="3">
        <v>428</v>
      </c>
      <c r="I72" s="3">
        <v>406</v>
      </c>
      <c r="J72" s="3">
        <v>104</v>
      </c>
      <c r="K72" s="3">
        <v>123</v>
      </c>
      <c r="L72" s="3">
        <v>1200</v>
      </c>
      <c r="M72" s="4">
        <f t="shared" si="6"/>
        <v>1.0464547677261613</v>
      </c>
      <c r="N72" s="5">
        <f t="shared" si="7"/>
        <v>3.60880195599022</v>
      </c>
      <c r="O72" s="3">
        <f t="shared" si="8"/>
        <v>-19</v>
      </c>
      <c r="P72" s="3" t="str">
        <f t="shared" si="9"/>
        <v>Healthy</v>
      </c>
      <c r="Q72" s="3" t="str">
        <f t="shared" si="10"/>
        <v>On Track</v>
      </c>
      <c r="R72" s="6">
        <f t="shared" si="11"/>
        <v>147600</v>
      </c>
    </row>
    <row r="73" spans="1:18" x14ac:dyDescent="0.25">
      <c r="A73" s="2">
        <v>45689</v>
      </c>
      <c r="B73" s="3" t="s">
        <v>41</v>
      </c>
      <c r="C73" s="3" t="s">
        <v>42</v>
      </c>
      <c r="D73" s="3" t="s">
        <v>28</v>
      </c>
      <c r="E73" s="3" t="s">
        <v>34</v>
      </c>
      <c r="F73" s="3">
        <v>343</v>
      </c>
      <c r="G73" s="3">
        <v>367</v>
      </c>
      <c r="H73" s="3">
        <v>357</v>
      </c>
      <c r="I73" s="3">
        <v>369</v>
      </c>
      <c r="J73" s="3">
        <v>107</v>
      </c>
      <c r="K73" s="3">
        <v>121</v>
      </c>
      <c r="L73" s="3">
        <v>1200</v>
      </c>
      <c r="M73" s="4">
        <f t="shared" si="6"/>
        <v>1.0408163265306123</v>
      </c>
      <c r="N73" s="5">
        <f t="shared" si="7"/>
        <v>4.2332361516034993</v>
      </c>
      <c r="O73" s="3">
        <f t="shared" si="8"/>
        <v>-14</v>
      </c>
      <c r="P73" s="3" t="str">
        <f t="shared" si="9"/>
        <v>Healthy</v>
      </c>
      <c r="Q73" s="3" t="str">
        <f t="shared" si="10"/>
        <v>On Track</v>
      </c>
      <c r="R73" s="6">
        <f t="shared" si="11"/>
        <v>145200</v>
      </c>
    </row>
    <row r="74" spans="1:18" x14ac:dyDescent="0.25">
      <c r="A74" s="2">
        <v>45689</v>
      </c>
      <c r="B74" s="3" t="s">
        <v>41</v>
      </c>
      <c r="C74" s="3" t="s">
        <v>42</v>
      </c>
      <c r="D74" s="3" t="s">
        <v>30</v>
      </c>
      <c r="E74" s="3" t="s">
        <v>31</v>
      </c>
      <c r="F74" s="3">
        <v>267</v>
      </c>
      <c r="G74" s="3">
        <v>281</v>
      </c>
      <c r="H74" s="3">
        <v>267</v>
      </c>
      <c r="I74" s="3">
        <v>281</v>
      </c>
      <c r="J74" s="3">
        <v>103</v>
      </c>
      <c r="K74" s="3">
        <v>103</v>
      </c>
      <c r="L74" s="3">
        <v>1200</v>
      </c>
      <c r="M74" s="4">
        <f t="shared" si="6"/>
        <v>1</v>
      </c>
      <c r="N74" s="5">
        <f t="shared" si="7"/>
        <v>4.6292134831460672</v>
      </c>
      <c r="O74" s="3">
        <f t="shared" si="8"/>
        <v>0</v>
      </c>
      <c r="P74" s="3" t="str">
        <f t="shared" si="9"/>
        <v>Healthy</v>
      </c>
      <c r="Q74" s="3" t="str">
        <f t="shared" si="10"/>
        <v>On Track</v>
      </c>
      <c r="R74" s="6">
        <f t="shared" si="11"/>
        <v>123600</v>
      </c>
    </row>
    <row r="75" spans="1:18" x14ac:dyDescent="0.25">
      <c r="A75" s="2">
        <v>45689</v>
      </c>
      <c r="B75" s="3" t="s">
        <v>41</v>
      </c>
      <c r="C75" s="3" t="s">
        <v>42</v>
      </c>
      <c r="D75" s="3" t="s">
        <v>32</v>
      </c>
      <c r="E75" s="3" t="s">
        <v>34</v>
      </c>
      <c r="F75" s="3">
        <v>255</v>
      </c>
      <c r="G75" s="3">
        <v>253</v>
      </c>
      <c r="H75" s="3">
        <v>231</v>
      </c>
      <c r="I75" s="3">
        <v>244</v>
      </c>
      <c r="J75" s="3">
        <v>111</v>
      </c>
      <c r="K75" s="3">
        <v>87</v>
      </c>
      <c r="L75" s="3">
        <v>1200</v>
      </c>
      <c r="M75" s="4">
        <f t="shared" si="6"/>
        <v>0.90588235294117647</v>
      </c>
      <c r="N75" s="5">
        <f t="shared" si="7"/>
        <v>4.0941176470588232</v>
      </c>
      <c r="O75" s="3">
        <f t="shared" si="8"/>
        <v>24</v>
      </c>
      <c r="P75" s="3" t="str">
        <f t="shared" si="9"/>
        <v>Healthy</v>
      </c>
      <c r="Q75" s="3" t="str">
        <f t="shared" si="10"/>
        <v>Short Supply</v>
      </c>
      <c r="R75" s="6">
        <f t="shared" si="11"/>
        <v>104400</v>
      </c>
    </row>
    <row r="76" spans="1:18" x14ac:dyDescent="0.25">
      <c r="A76" s="2">
        <v>45689</v>
      </c>
      <c r="B76" s="3" t="s">
        <v>41</v>
      </c>
      <c r="C76" s="3" t="s">
        <v>42</v>
      </c>
      <c r="D76" s="3" t="s">
        <v>33</v>
      </c>
      <c r="E76" s="3" t="s">
        <v>29</v>
      </c>
      <c r="F76" s="3">
        <v>275</v>
      </c>
      <c r="G76" s="3">
        <v>260</v>
      </c>
      <c r="H76" s="3">
        <v>231</v>
      </c>
      <c r="I76" s="3">
        <v>265</v>
      </c>
      <c r="J76" s="3">
        <v>81</v>
      </c>
      <c r="K76" s="3">
        <v>37</v>
      </c>
      <c r="L76" s="3">
        <v>1200</v>
      </c>
      <c r="M76" s="4">
        <f t="shared" si="6"/>
        <v>0.84</v>
      </c>
      <c r="N76" s="5">
        <f t="shared" si="7"/>
        <v>1.6145454545454547</v>
      </c>
      <c r="O76" s="3">
        <f t="shared" si="8"/>
        <v>44</v>
      </c>
      <c r="P76" s="3" t="str">
        <f t="shared" si="9"/>
        <v>Medium</v>
      </c>
      <c r="Q76" s="3" t="str">
        <f t="shared" si="10"/>
        <v>Short Supply</v>
      </c>
      <c r="R76" s="6">
        <f t="shared" si="11"/>
        <v>44400</v>
      </c>
    </row>
    <row r="77" spans="1:18" x14ac:dyDescent="0.25">
      <c r="A77" s="2">
        <v>45689</v>
      </c>
      <c r="B77" s="3" t="s">
        <v>43</v>
      </c>
      <c r="C77" s="3" t="s">
        <v>44</v>
      </c>
      <c r="D77" s="3" t="s">
        <v>26</v>
      </c>
      <c r="E77" s="3" t="s">
        <v>31</v>
      </c>
      <c r="F77" s="3">
        <v>666</v>
      </c>
      <c r="G77" s="3">
        <v>598</v>
      </c>
      <c r="H77" s="3">
        <v>538</v>
      </c>
      <c r="I77" s="3">
        <v>653</v>
      </c>
      <c r="J77" s="3">
        <v>72</v>
      </c>
      <c r="K77" s="3">
        <v>0</v>
      </c>
      <c r="L77" s="3">
        <v>1400</v>
      </c>
      <c r="M77" s="4">
        <f t="shared" si="6"/>
        <v>0.80780780780780781</v>
      </c>
      <c r="N77" s="5">
        <f t="shared" si="7"/>
        <v>0</v>
      </c>
      <c r="O77" s="3">
        <f t="shared" si="8"/>
        <v>128</v>
      </c>
      <c r="P77" s="3" t="str">
        <f t="shared" si="9"/>
        <v>Low</v>
      </c>
      <c r="Q77" s="3" t="str">
        <f t="shared" si="10"/>
        <v>Short Supply</v>
      </c>
      <c r="R77" s="6">
        <f t="shared" si="11"/>
        <v>0</v>
      </c>
    </row>
    <row r="78" spans="1:18" x14ac:dyDescent="0.25">
      <c r="A78" s="2">
        <v>45689</v>
      </c>
      <c r="B78" s="3" t="s">
        <v>43</v>
      </c>
      <c r="C78" s="3" t="s">
        <v>44</v>
      </c>
      <c r="D78" s="3" t="s">
        <v>28</v>
      </c>
      <c r="E78" s="3" t="s">
        <v>34</v>
      </c>
      <c r="F78" s="3">
        <v>403</v>
      </c>
      <c r="G78" s="3">
        <v>394</v>
      </c>
      <c r="H78" s="3">
        <v>376</v>
      </c>
      <c r="I78" s="3">
        <v>397</v>
      </c>
      <c r="J78" s="3">
        <v>76</v>
      </c>
      <c r="K78" s="3">
        <v>49</v>
      </c>
      <c r="L78" s="3">
        <v>1400</v>
      </c>
      <c r="M78" s="4">
        <f t="shared" si="6"/>
        <v>0.9330024813895782</v>
      </c>
      <c r="N78" s="5">
        <f t="shared" si="7"/>
        <v>1.4590570719602978</v>
      </c>
      <c r="O78" s="3">
        <f t="shared" si="8"/>
        <v>27</v>
      </c>
      <c r="P78" s="3" t="str">
        <f t="shared" si="9"/>
        <v>Medium</v>
      </c>
      <c r="Q78" s="3" t="str">
        <f t="shared" si="10"/>
        <v>Short Supply</v>
      </c>
      <c r="R78" s="6">
        <f t="shared" si="11"/>
        <v>68600</v>
      </c>
    </row>
    <row r="79" spans="1:18" x14ac:dyDescent="0.25">
      <c r="A79" s="2">
        <v>45689</v>
      </c>
      <c r="B79" s="3" t="s">
        <v>43</v>
      </c>
      <c r="C79" s="3" t="s">
        <v>44</v>
      </c>
      <c r="D79" s="3" t="s">
        <v>30</v>
      </c>
      <c r="E79" s="3" t="s">
        <v>34</v>
      </c>
      <c r="F79" s="3">
        <v>333</v>
      </c>
      <c r="G79" s="3">
        <v>354</v>
      </c>
      <c r="H79" s="3">
        <v>358</v>
      </c>
      <c r="I79" s="3">
        <v>307</v>
      </c>
      <c r="J79" s="3">
        <v>130</v>
      </c>
      <c r="K79" s="3">
        <v>155</v>
      </c>
      <c r="L79" s="3">
        <v>1400</v>
      </c>
      <c r="M79" s="4">
        <f t="shared" si="6"/>
        <v>1.075075075075075</v>
      </c>
      <c r="N79" s="5">
        <f t="shared" si="7"/>
        <v>5.5855855855855854</v>
      </c>
      <c r="O79" s="3">
        <f t="shared" si="8"/>
        <v>-25</v>
      </c>
      <c r="P79" s="3" t="str">
        <f t="shared" si="9"/>
        <v>Healthy</v>
      </c>
      <c r="Q79" s="3" t="str">
        <f t="shared" si="10"/>
        <v>On Track</v>
      </c>
      <c r="R79" s="6">
        <f t="shared" si="11"/>
        <v>217000</v>
      </c>
    </row>
    <row r="80" spans="1:18" x14ac:dyDescent="0.25">
      <c r="A80" s="2">
        <v>45689</v>
      </c>
      <c r="B80" s="3" t="s">
        <v>43</v>
      </c>
      <c r="C80" s="3" t="s">
        <v>44</v>
      </c>
      <c r="D80" s="3" t="s">
        <v>32</v>
      </c>
      <c r="E80" s="3" t="s">
        <v>34</v>
      </c>
      <c r="F80" s="3">
        <v>315</v>
      </c>
      <c r="G80" s="3">
        <v>348</v>
      </c>
      <c r="H80" s="3">
        <v>320</v>
      </c>
      <c r="I80" s="3">
        <v>309</v>
      </c>
      <c r="J80" s="3">
        <v>131</v>
      </c>
      <c r="K80" s="3">
        <v>136</v>
      </c>
      <c r="L80" s="3">
        <v>1400</v>
      </c>
      <c r="M80" s="4">
        <f t="shared" si="6"/>
        <v>1.0158730158730158</v>
      </c>
      <c r="N80" s="5">
        <f t="shared" si="7"/>
        <v>5.1809523809523812</v>
      </c>
      <c r="O80" s="3">
        <f t="shared" si="8"/>
        <v>-5</v>
      </c>
      <c r="P80" s="3" t="str">
        <f t="shared" si="9"/>
        <v>Healthy</v>
      </c>
      <c r="Q80" s="3" t="str">
        <f t="shared" si="10"/>
        <v>On Track</v>
      </c>
      <c r="R80" s="6">
        <f t="shared" si="11"/>
        <v>190400</v>
      </c>
    </row>
    <row r="81" spans="1:18" x14ac:dyDescent="0.25">
      <c r="A81" s="2">
        <v>45689</v>
      </c>
      <c r="B81" s="3" t="s">
        <v>43</v>
      </c>
      <c r="C81" s="3" t="s">
        <v>44</v>
      </c>
      <c r="D81" s="3" t="s">
        <v>33</v>
      </c>
      <c r="E81" s="3" t="s">
        <v>29</v>
      </c>
      <c r="F81" s="3">
        <v>357</v>
      </c>
      <c r="G81" s="3">
        <v>377</v>
      </c>
      <c r="H81" s="3">
        <v>373</v>
      </c>
      <c r="I81" s="3">
        <v>379</v>
      </c>
      <c r="J81" s="3">
        <v>99</v>
      </c>
      <c r="K81" s="3">
        <v>115</v>
      </c>
      <c r="L81" s="3">
        <v>1400</v>
      </c>
      <c r="M81" s="4">
        <f t="shared" si="6"/>
        <v>1.0448179271708684</v>
      </c>
      <c r="N81" s="5">
        <f t="shared" si="7"/>
        <v>3.8655462184873954</v>
      </c>
      <c r="O81" s="3">
        <f t="shared" si="8"/>
        <v>-16</v>
      </c>
      <c r="P81" s="3" t="str">
        <f t="shared" si="9"/>
        <v>Healthy</v>
      </c>
      <c r="Q81" s="3" t="str">
        <f t="shared" si="10"/>
        <v>On Track</v>
      </c>
      <c r="R81" s="6">
        <f t="shared" si="11"/>
        <v>161000</v>
      </c>
    </row>
    <row r="82" spans="1:18" x14ac:dyDescent="0.25">
      <c r="A82" s="2">
        <v>45689</v>
      </c>
      <c r="B82" s="3" t="s">
        <v>45</v>
      </c>
      <c r="C82" s="3" t="s">
        <v>46</v>
      </c>
      <c r="D82" s="3" t="s">
        <v>26</v>
      </c>
      <c r="E82" s="3" t="s">
        <v>31</v>
      </c>
      <c r="F82" s="3">
        <v>487</v>
      </c>
      <c r="G82" s="3">
        <v>431</v>
      </c>
      <c r="H82" s="3">
        <v>399</v>
      </c>
      <c r="I82" s="3">
        <v>500</v>
      </c>
      <c r="J82" s="3">
        <v>92</v>
      </c>
      <c r="K82" s="3">
        <v>4</v>
      </c>
      <c r="L82" s="3">
        <v>1500</v>
      </c>
      <c r="M82" s="4">
        <f t="shared" si="6"/>
        <v>0.8193018480492813</v>
      </c>
      <c r="N82" s="5">
        <f t="shared" si="7"/>
        <v>9.856262833675565E-2</v>
      </c>
      <c r="O82" s="3">
        <f t="shared" si="8"/>
        <v>88</v>
      </c>
      <c r="P82" s="3" t="str">
        <f t="shared" si="9"/>
        <v>Low</v>
      </c>
      <c r="Q82" s="3" t="str">
        <f t="shared" si="10"/>
        <v>Short Supply</v>
      </c>
      <c r="R82" s="6">
        <f t="shared" si="11"/>
        <v>6000</v>
      </c>
    </row>
    <row r="83" spans="1:18" x14ac:dyDescent="0.25">
      <c r="A83" s="2">
        <v>45689</v>
      </c>
      <c r="B83" s="3" t="s">
        <v>45</v>
      </c>
      <c r="C83" s="3" t="s">
        <v>46</v>
      </c>
      <c r="D83" s="3" t="s">
        <v>28</v>
      </c>
      <c r="E83" s="3" t="s">
        <v>27</v>
      </c>
      <c r="F83" s="3">
        <v>425</v>
      </c>
      <c r="G83" s="3">
        <v>467</v>
      </c>
      <c r="H83" s="3">
        <v>475</v>
      </c>
      <c r="I83" s="3">
        <v>427</v>
      </c>
      <c r="J83" s="3">
        <v>132</v>
      </c>
      <c r="K83" s="3">
        <v>182</v>
      </c>
      <c r="L83" s="3">
        <v>1500</v>
      </c>
      <c r="M83" s="4">
        <f t="shared" si="6"/>
        <v>1.1176470588235294</v>
      </c>
      <c r="N83" s="5">
        <f t="shared" si="7"/>
        <v>5.1388235294117646</v>
      </c>
      <c r="O83" s="3">
        <f t="shared" si="8"/>
        <v>-50</v>
      </c>
      <c r="P83" s="3" t="str">
        <f t="shared" si="9"/>
        <v>Healthy</v>
      </c>
      <c r="Q83" s="3" t="str">
        <f t="shared" si="10"/>
        <v>On Track</v>
      </c>
      <c r="R83" s="6">
        <f t="shared" si="11"/>
        <v>273000</v>
      </c>
    </row>
    <row r="84" spans="1:18" x14ac:dyDescent="0.25">
      <c r="A84" s="2">
        <v>45689</v>
      </c>
      <c r="B84" s="3" t="s">
        <v>45</v>
      </c>
      <c r="C84" s="3" t="s">
        <v>46</v>
      </c>
      <c r="D84" s="3" t="s">
        <v>30</v>
      </c>
      <c r="E84" s="3" t="s">
        <v>29</v>
      </c>
      <c r="F84" s="3">
        <v>251</v>
      </c>
      <c r="G84" s="3">
        <v>246</v>
      </c>
      <c r="H84" s="3">
        <v>246</v>
      </c>
      <c r="I84" s="3">
        <v>238</v>
      </c>
      <c r="J84" s="3">
        <v>80</v>
      </c>
      <c r="K84" s="3">
        <v>75</v>
      </c>
      <c r="L84" s="3">
        <v>1500</v>
      </c>
      <c r="M84" s="4">
        <f t="shared" si="6"/>
        <v>0.98007968127490042</v>
      </c>
      <c r="N84" s="5">
        <f t="shared" si="7"/>
        <v>3.5856573705179287</v>
      </c>
      <c r="O84" s="3">
        <f t="shared" si="8"/>
        <v>5</v>
      </c>
      <c r="P84" s="3" t="str">
        <f t="shared" si="9"/>
        <v>Healthy</v>
      </c>
      <c r="Q84" s="3" t="str">
        <f t="shared" si="10"/>
        <v>Short Supply</v>
      </c>
      <c r="R84" s="6">
        <f t="shared" si="11"/>
        <v>112500</v>
      </c>
    </row>
    <row r="85" spans="1:18" x14ac:dyDescent="0.25">
      <c r="A85" s="2">
        <v>45689</v>
      </c>
      <c r="B85" s="3" t="s">
        <v>45</v>
      </c>
      <c r="C85" s="3" t="s">
        <v>46</v>
      </c>
      <c r="D85" s="3" t="s">
        <v>32</v>
      </c>
      <c r="E85" s="3" t="s">
        <v>34</v>
      </c>
      <c r="F85" s="3">
        <v>242</v>
      </c>
      <c r="G85" s="3">
        <v>231</v>
      </c>
      <c r="H85" s="3">
        <v>227</v>
      </c>
      <c r="I85" s="3">
        <v>237</v>
      </c>
      <c r="J85" s="3">
        <v>120</v>
      </c>
      <c r="K85" s="3">
        <v>105</v>
      </c>
      <c r="L85" s="3">
        <v>1500</v>
      </c>
      <c r="M85" s="4">
        <f t="shared" si="6"/>
        <v>0.93801652892561982</v>
      </c>
      <c r="N85" s="5">
        <f t="shared" si="7"/>
        <v>5.2066115702479339</v>
      </c>
      <c r="O85" s="3">
        <f t="shared" si="8"/>
        <v>15</v>
      </c>
      <c r="P85" s="3" t="str">
        <f t="shared" si="9"/>
        <v>Healthy</v>
      </c>
      <c r="Q85" s="3" t="str">
        <f t="shared" si="10"/>
        <v>Short Supply</v>
      </c>
      <c r="R85" s="6">
        <f t="shared" si="11"/>
        <v>157500</v>
      </c>
    </row>
    <row r="86" spans="1:18" x14ac:dyDescent="0.25">
      <c r="A86" s="2">
        <v>45689</v>
      </c>
      <c r="B86" s="3" t="s">
        <v>45</v>
      </c>
      <c r="C86" s="3" t="s">
        <v>46</v>
      </c>
      <c r="D86" s="3" t="s">
        <v>33</v>
      </c>
      <c r="E86" s="3" t="s">
        <v>29</v>
      </c>
      <c r="F86" s="3">
        <v>272</v>
      </c>
      <c r="G86" s="3">
        <v>244</v>
      </c>
      <c r="H86" s="3">
        <v>215</v>
      </c>
      <c r="I86" s="3">
        <v>273</v>
      </c>
      <c r="J86" s="3">
        <v>139</v>
      </c>
      <c r="K86" s="3">
        <v>82</v>
      </c>
      <c r="L86" s="3">
        <v>1500</v>
      </c>
      <c r="M86" s="4">
        <f t="shared" si="6"/>
        <v>0.7904411764705882</v>
      </c>
      <c r="N86" s="5">
        <f t="shared" si="7"/>
        <v>3.617647058823529</v>
      </c>
      <c r="O86" s="3">
        <f t="shared" si="8"/>
        <v>57</v>
      </c>
      <c r="P86" s="3" t="str">
        <f t="shared" si="9"/>
        <v>Healthy</v>
      </c>
      <c r="Q86" s="3" t="str">
        <f t="shared" si="10"/>
        <v>Short Supply</v>
      </c>
      <c r="R86" s="6">
        <f t="shared" si="11"/>
        <v>123000</v>
      </c>
    </row>
    <row r="87" spans="1:18" x14ac:dyDescent="0.25">
      <c r="A87" s="2">
        <v>45689</v>
      </c>
      <c r="B87" s="3" t="s">
        <v>47</v>
      </c>
      <c r="C87" s="3" t="s">
        <v>48</v>
      </c>
      <c r="D87" s="3" t="s">
        <v>26</v>
      </c>
      <c r="E87" s="3" t="s">
        <v>31</v>
      </c>
      <c r="F87" s="3">
        <v>478</v>
      </c>
      <c r="G87" s="3">
        <v>428</v>
      </c>
      <c r="H87" s="3">
        <v>434</v>
      </c>
      <c r="I87" s="3">
        <v>442</v>
      </c>
      <c r="J87" s="3">
        <v>62</v>
      </c>
      <c r="K87" s="3">
        <v>18</v>
      </c>
      <c r="L87" s="3">
        <v>1250</v>
      </c>
      <c r="M87" s="4">
        <f t="shared" si="6"/>
        <v>0.90794979079497906</v>
      </c>
      <c r="N87" s="5">
        <f t="shared" si="7"/>
        <v>0.45188284518828453</v>
      </c>
      <c r="O87" s="3">
        <f t="shared" si="8"/>
        <v>44</v>
      </c>
      <c r="P87" s="3" t="str">
        <f t="shared" si="9"/>
        <v>Low</v>
      </c>
      <c r="Q87" s="3" t="str">
        <f t="shared" si="10"/>
        <v>Short Supply</v>
      </c>
      <c r="R87" s="6">
        <f t="shared" si="11"/>
        <v>22500</v>
      </c>
    </row>
    <row r="88" spans="1:18" x14ac:dyDescent="0.25">
      <c r="A88" s="2">
        <v>45689</v>
      </c>
      <c r="B88" s="3" t="s">
        <v>47</v>
      </c>
      <c r="C88" s="3" t="s">
        <v>48</v>
      </c>
      <c r="D88" s="3" t="s">
        <v>28</v>
      </c>
      <c r="E88" s="3" t="s">
        <v>31</v>
      </c>
      <c r="F88" s="3">
        <v>369</v>
      </c>
      <c r="G88" s="3">
        <v>326</v>
      </c>
      <c r="H88" s="3">
        <v>293</v>
      </c>
      <c r="I88" s="3">
        <v>346</v>
      </c>
      <c r="J88" s="3">
        <v>113</v>
      </c>
      <c r="K88" s="3">
        <v>37</v>
      </c>
      <c r="L88" s="3">
        <v>1250</v>
      </c>
      <c r="M88" s="4">
        <f t="shared" si="6"/>
        <v>0.79403794037940378</v>
      </c>
      <c r="N88" s="5">
        <f t="shared" si="7"/>
        <v>1.2032520325203253</v>
      </c>
      <c r="O88" s="3">
        <f t="shared" si="8"/>
        <v>76</v>
      </c>
      <c r="P88" s="3" t="str">
        <f t="shared" si="9"/>
        <v>Medium</v>
      </c>
      <c r="Q88" s="3" t="str">
        <f t="shared" si="10"/>
        <v>Short Supply</v>
      </c>
      <c r="R88" s="6">
        <f t="shared" si="11"/>
        <v>46250</v>
      </c>
    </row>
    <row r="89" spans="1:18" x14ac:dyDescent="0.25">
      <c r="A89" s="2">
        <v>45689</v>
      </c>
      <c r="B89" s="3" t="s">
        <v>47</v>
      </c>
      <c r="C89" s="3" t="s">
        <v>48</v>
      </c>
      <c r="D89" s="3" t="s">
        <v>30</v>
      </c>
      <c r="E89" s="3" t="s">
        <v>27</v>
      </c>
      <c r="F89" s="3">
        <v>298</v>
      </c>
      <c r="G89" s="3">
        <v>280</v>
      </c>
      <c r="H89" s="3">
        <v>260</v>
      </c>
      <c r="I89" s="3">
        <v>303</v>
      </c>
      <c r="J89" s="3">
        <v>137</v>
      </c>
      <c r="K89" s="3">
        <v>99</v>
      </c>
      <c r="L89" s="3">
        <v>1250</v>
      </c>
      <c r="M89" s="4">
        <f t="shared" si="6"/>
        <v>0.87248322147651003</v>
      </c>
      <c r="N89" s="5">
        <f t="shared" si="7"/>
        <v>3.9865771812080539</v>
      </c>
      <c r="O89" s="3">
        <f t="shared" si="8"/>
        <v>38</v>
      </c>
      <c r="P89" s="3" t="str">
        <f t="shared" si="9"/>
        <v>Healthy</v>
      </c>
      <c r="Q89" s="3" t="str">
        <f t="shared" si="10"/>
        <v>Short Supply</v>
      </c>
      <c r="R89" s="6">
        <f t="shared" si="11"/>
        <v>123750</v>
      </c>
    </row>
    <row r="90" spans="1:18" x14ac:dyDescent="0.25">
      <c r="A90" s="2">
        <v>45689</v>
      </c>
      <c r="B90" s="3" t="s">
        <v>47</v>
      </c>
      <c r="C90" s="3" t="s">
        <v>48</v>
      </c>
      <c r="D90" s="3" t="s">
        <v>32</v>
      </c>
      <c r="E90" s="3" t="s">
        <v>34</v>
      </c>
      <c r="F90" s="3">
        <v>301</v>
      </c>
      <c r="G90" s="3">
        <v>276</v>
      </c>
      <c r="H90" s="3">
        <v>254</v>
      </c>
      <c r="I90" s="3">
        <v>304</v>
      </c>
      <c r="J90" s="3">
        <v>134</v>
      </c>
      <c r="K90" s="3">
        <v>87</v>
      </c>
      <c r="L90" s="3">
        <v>1250</v>
      </c>
      <c r="M90" s="4">
        <f t="shared" si="6"/>
        <v>0.84385382059800662</v>
      </c>
      <c r="N90" s="5">
        <f t="shared" si="7"/>
        <v>3.4684385382059801</v>
      </c>
      <c r="O90" s="3">
        <f t="shared" si="8"/>
        <v>47</v>
      </c>
      <c r="P90" s="3" t="str">
        <f t="shared" si="9"/>
        <v>Healthy</v>
      </c>
      <c r="Q90" s="3" t="str">
        <f t="shared" si="10"/>
        <v>Short Supply</v>
      </c>
      <c r="R90" s="6">
        <f t="shared" si="11"/>
        <v>108750</v>
      </c>
    </row>
    <row r="91" spans="1:18" x14ac:dyDescent="0.25">
      <c r="A91" s="2">
        <v>45689</v>
      </c>
      <c r="B91" s="3" t="s">
        <v>47</v>
      </c>
      <c r="C91" s="3" t="s">
        <v>48</v>
      </c>
      <c r="D91" s="3" t="s">
        <v>33</v>
      </c>
      <c r="E91" s="3" t="s">
        <v>27</v>
      </c>
      <c r="F91" s="3">
        <v>299</v>
      </c>
      <c r="G91" s="3">
        <v>314</v>
      </c>
      <c r="H91" s="3">
        <v>279</v>
      </c>
      <c r="I91" s="3">
        <v>308</v>
      </c>
      <c r="J91" s="3">
        <v>110</v>
      </c>
      <c r="K91" s="3">
        <v>90</v>
      </c>
      <c r="L91" s="3">
        <v>1250</v>
      </c>
      <c r="M91" s="4">
        <f t="shared" si="6"/>
        <v>0.93311036789297663</v>
      </c>
      <c r="N91" s="5">
        <f t="shared" si="7"/>
        <v>3.6120401337792645</v>
      </c>
      <c r="O91" s="3">
        <f t="shared" si="8"/>
        <v>20</v>
      </c>
      <c r="P91" s="3" t="str">
        <f t="shared" si="9"/>
        <v>Healthy</v>
      </c>
      <c r="Q91" s="3" t="str">
        <f t="shared" si="10"/>
        <v>Short Supply</v>
      </c>
      <c r="R91" s="6">
        <f t="shared" si="11"/>
        <v>112500</v>
      </c>
    </row>
    <row r="92" spans="1:18" x14ac:dyDescent="0.25">
      <c r="A92" s="2">
        <v>45689</v>
      </c>
      <c r="B92" s="3" t="s">
        <v>49</v>
      </c>
      <c r="C92" s="3" t="s">
        <v>50</v>
      </c>
      <c r="D92" s="3" t="s">
        <v>26</v>
      </c>
      <c r="E92" s="3" t="s">
        <v>27</v>
      </c>
      <c r="F92" s="3">
        <v>789</v>
      </c>
      <c r="G92" s="3">
        <v>751</v>
      </c>
      <c r="H92" s="3">
        <v>732</v>
      </c>
      <c r="I92" s="3">
        <v>827</v>
      </c>
      <c r="J92" s="3">
        <v>133</v>
      </c>
      <c r="K92" s="3">
        <v>76</v>
      </c>
      <c r="L92" s="3">
        <v>1750</v>
      </c>
      <c r="M92" s="4">
        <f t="shared" si="6"/>
        <v>0.92775665399239549</v>
      </c>
      <c r="N92" s="5">
        <f t="shared" si="7"/>
        <v>1.1558935361216731</v>
      </c>
      <c r="O92" s="3">
        <f t="shared" si="8"/>
        <v>57</v>
      </c>
      <c r="P92" s="3" t="str">
        <f t="shared" si="9"/>
        <v>Medium</v>
      </c>
      <c r="Q92" s="3" t="str">
        <f t="shared" si="10"/>
        <v>Short Supply</v>
      </c>
      <c r="R92" s="6">
        <f t="shared" si="11"/>
        <v>133000</v>
      </c>
    </row>
    <row r="93" spans="1:18" x14ac:dyDescent="0.25">
      <c r="A93" s="2">
        <v>45689</v>
      </c>
      <c r="B93" s="3" t="s">
        <v>49</v>
      </c>
      <c r="C93" s="3" t="s">
        <v>50</v>
      </c>
      <c r="D93" s="3" t="s">
        <v>28</v>
      </c>
      <c r="E93" s="3" t="s">
        <v>34</v>
      </c>
      <c r="F93" s="3">
        <v>553</v>
      </c>
      <c r="G93" s="3">
        <v>543</v>
      </c>
      <c r="H93" s="3">
        <v>506</v>
      </c>
      <c r="I93" s="3">
        <v>553</v>
      </c>
      <c r="J93" s="3">
        <v>87</v>
      </c>
      <c r="K93" s="3">
        <v>40</v>
      </c>
      <c r="L93" s="3">
        <v>1750</v>
      </c>
      <c r="M93" s="4">
        <f t="shared" si="6"/>
        <v>0.91500904159132013</v>
      </c>
      <c r="N93" s="5">
        <f t="shared" si="7"/>
        <v>0.86799276672694403</v>
      </c>
      <c r="O93" s="3">
        <f t="shared" si="8"/>
        <v>47</v>
      </c>
      <c r="P93" s="3" t="str">
        <f t="shared" si="9"/>
        <v>Low</v>
      </c>
      <c r="Q93" s="3" t="str">
        <f t="shared" si="10"/>
        <v>Short Supply</v>
      </c>
      <c r="R93" s="6">
        <f t="shared" si="11"/>
        <v>70000</v>
      </c>
    </row>
    <row r="94" spans="1:18" x14ac:dyDescent="0.25">
      <c r="A94" s="2">
        <v>45689</v>
      </c>
      <c r="B94" s="3" t="s">
        <v>49</v>
      </c>
      <c r="C94" s="3" t="s">
        <v>50</v>
      </c>
      <c r="D94" s="3" t="s">
        <v>30</v>
      </c>
      <c r="E94" s="3" t="s">
        <v>31</v>
      </c>
      <c r="F94" s="3">
        <v>472</v>
      </c>
      <c r="G94" s="3">
        <v>427</v>
      </c>
      <c r="H94" s="3">
        <v>433</v>
      </c>
      <c r="I94" s="3">
        <v>482</v>
      </c>
      <c r="J94" s="3">
        <v>126</v>
      </c>
      <c r="K94" s="3">
        <v>87</v>
      </c>
      <c r="L94" s="3">
        <v>1750</v>
      </c>
      <c r="M94" s="4">
        <f t="shared" si="6"/>
        <v>0.9173728813559322</v>
      </c>
      <c r="N94" s="5">
        <f t="shared" si="7"/>
        <v>2.2118644067796609</v>
      </c>
      <c r="O94" s="3">
        <f t="shared" si="8"/>
        <v>39</v>
      </c>
      <c r="P94" s="3" t="str">
        <f t="shared" si="9"/>
        <v>Healthy</v>
      </c>
      <c r="Q94" s="3" t="str">
        <f t="shared" si="10"/>
        <v>Short Supply</v>
      </c>
      <c r="R94" s="6">
        <f t="shared" si="11"/>
        <v>152250</v>
      </c>
    </row>
    <row r="95" spans="1:18" x14ac:dyDescent="0.25">
      <c r="A95" s="2">
        <v>45689</v>
      </c>
      <c r="B95" s="3" t="s">
        <v>49</v>
      </c>
      <c r="C95" s="3" t="s">
        <v>50</v>
      </c>
      <c r="D95" s="3" t="s">
        <v>32</v>
      </c>
      <c r="E95" s="3" t="s">
        <v>34</v>
      </c>
      <c r="F95" s="3">
        <v>389</v>
      </c>
      <c r="G95" s="3">
        <v>410</v>
      </c>
      <c r="H95" s="3">
        <v>416</v>
      </c>
      <c r="I95" s="3">
        <v>374</v>
      </c>
      <c r="J95" s="3">
        <v>124</v>
      </c>
      <c r="K95" s="3">
        <v>151</v>
      </c>
      <c r="L95" s="3">
        <v>1750</v>
      </c>
      <c r="M95" s="4">
        <f t="shared" si="6"/>
        <v>1.0694087403598971</v>
      </c>
      <c r="N95" s="5">
        <f t="shared" si="7"/>
        <v>4.6580976863753216</v>
      </c>
      <c r="O95" s="3">
        <f t="shared" si="8"/>
        <v>-27</v>
      </c>
      <c r="P95" s="3" t="str">
        <f t="shared" si="9"/>
        <v>Healthy</v>
      </c>
      <c r="Q95" s="3" t="str">
        <f t="shared" si="10"/>
        <v>On Track</v>
      </c>
      <c r="R95" s="6">
        <f t="shared" si="11"/>
        <v>264250</v>
      </c>
    </row>
    <row r="96" spans="1:18" x14ac:dyDescent="0.25">
      <c r="A96" s="2">
        <v>45689</v>
      </c>
      <c r="B96" s="3" t="s">
        <v>49</v>
      </c>
      <c r="C96" s="3" t="s">
        <v>50</v>
      </c>
      <c r="D96" s="3" t="s">
        <v>33</v>
      </c>
      <c r="E96" s="3" t="s">
        <v>27</v>
      </c>
      <c r="F96" s="3">
        <v>436</v>
      </c>
      <c r="G96" s="3">
        <v>470</v>
      </c>
      <c r="H96" s="3">
        <v>452</v>
      </c>
      <c r="I96" s="3">
        <v>423</v>
      </c>
      <c r="J96" s="3">
        <v>79</v>
      </c>
      <c r="K96" s="3">
        <v>95</v>
      </c>
      <c r="L96" s="3">
        <v>1750</v>
      </c>
      <c r="M96" s="4">
        <f t="shared" si="6"/>
        <v>1.036697247706422</v>
      </c>
      <c r="N96" s="5">
        <f t="shared" si="7"/>
        <v>2.6146788990825689</v>
      </c>
      <c r="O96" s="3">
        <f t="shared" si="8"/>
        <v>-16</v>
      </c>
      <c r="P96" s="3" t="str">
        <f t="shared" si="9"/>
        <v>Healthy</v>
      </c>
      <c r="Q96" s="3" t="str">
        <f t="shared" si="10"/>
        <v>On Track</v>
      </c>
      <c r="R96" s="6">
        <f t="shared" si="11"/>
        <v>166250</v>
      </c>
    </row>
    <row r="97" spans="1:18" x14ac:dyDescent="0.25">
      <c r="A97" s="2">
        <v>45689</v>
      </c>
      <c r="B97" s="3" t="s">
        <v>51</v>
      </c>
      <c r="C97" s="3" t="s">
        <v>36</v>
      </c>
      <c r="D97" s="3" t="s">
        <v>26</v>
      </c>
      <c r="E97" s="3" t="s">
        <v>29</v>
      </c>
      <c r="F97" s="3">
        <v>533</v>
      </c>
      <c r="G97" s="3">
        <v>526</v>
      </c>
      <c r="H97" s="3">
        <v>518</v>
      </c>
      <c r="I97" s="3">
        <v>538</v>
      </c>
      <c r="J97" s="3">
        <v>113</v>
      </c>
      <c r="K97" s="3">
        <v>98</v>
      </c>
      <c r="L97" s="3">
        <v>1450</v>
      </c>
      <c r="M97" s="4">
        <f t="shared" si="6"/>
        <v>0.97185741088180111</v>
      </c>
      <c r="N97" s="5">
        <f t="shared" si="7"/>
        <v>2.2063789868667918</v>
      </c>
      <c r="O97" s="3">
        <f t="shared" si="8"/>
        <v>15</v>
      </c>
      <c r="P97" s="3" t="str">
        <f t="shared" si="9"/>
        <v>Healthy</v>
      </c>
      <c r="Q97" s="3" t="str">
        <f t="shared" si="10"/>
        <v>Short Supply</v>
      </c>
      <c r="R97" s="6">
        <f t="shared" si="11"/>
        <v>142100</v>
      </c>
    </row>
    <row r="98" spans="1:18" x14ac:dyDescent="0.25">
      <c r="A98" s="2">
        <v>45689</v>
      </c>
      <c r="B98" s="3" t="s">
        <v>51</v>
      </c>
      <c r="C98" s="3" t="s">
        <v>36</v>
      </c>
      <c r="D98" s="3" t="s">
        <v>28</v>
      </c>
      <c r="E98" s="3" t="s">
        <v>29</v>
      </c>
      <c r="F98" s="3">
        <v>381</v>
      </c>
      <c r="G98" s="3">
        <v>413</v>
      </c>
      <c r="H98" s="3">
        <v>373</v>
      </c>
      <c r="I98" s="3">
        <v>363</v>
      </c>
      <c r="J98" s="3">
        <v>123</v>
      </c>
      <c r="K98" s="3">
        <v>115</v>
      </c>
      <c r="L98" s="3">
        <v>1450</v>
      </c>
      <c r="M98" s="4">
        <f t="shared" si="6"/>
        <v>0.97900262467191601</v>
      </c>
      <c r="N98" s="5">
        <f t="shared" si="7"/>
        <v>3.622047244094488</v>
      </c>
      <c r="O98" s="3">
        <f t="shared" si="8"/>
        <v>8</v>
      </c>
      <c r="P98" s="3" t="str">
        <f t="shared" si="9"/>
        <v>Healthy</v>
      </c>
      <c r="Q98" s="3" t="str">
        <f t="shared" si="10"/>
        <v>Short Supply</v>
      </c>
      <c r="R98" s="6">
        <f t="shared" si="11"/>
        <v>166750</v>
      </c>
    </row>
    <row r="99" spans="1:18" x14ac:dyDescent="0.25">
      <c r="A99" s="2">
        <v>45689</v>
      </c>
      <c r="B99" s="3" t="s">
        <v>51</v>
      </c>
      <c r="C99" s="3" t="s">
        <v>36</v>
      </c>
      <c r="D99" s="3" t="s">
        <v>30</v>
      </c>
      <c r="E99" s="3" t="s">
        <v>31</v>
      </c>
      <c r="F99" s="3">
        <v>308</v>
      </c>
      <c r="G99" s="3">
        <v>315</v>
      </c>
      <c r="H99" s="3">
        <v>316</v>
      </c>
      <c r="I99" s="3">
        <v>310</v>
      </c>
      <c r="J99" s="3">
        <v>101</v>
      </c>
      <c r="K99" s="3">
        <v>109</v>
      </c>
      <c r="L99" s="3">
        <v>1450</v>
      </c>
      <c r="M99" s="4">
        <f t="shared" si="6"/>
        <v>1.025974025974026</v>
      </c>
      <c r="N99" s="5">
        <f t="shared" si="7"/>
        <v>4.2467532467532463</v>
      </c>
      <c r="O99" s="3">
        <f t="shared" si="8"/>
        <v>-8</v>
      </c>
      <c r="P99" s="3" t="str">
        <f t="shared" si="9"/>
        <v>Healthy</v>
      </c>
      <c r="Q99" s="3" t="str">
        <f t="shared" si="10"/>
        <v>On Track</v>
      </c>
      <c r="R99" s="6">
        <f t="shared" si="11"/>
        <v>158050</v>
      </c>
    </row>
    <row r="100" spans="1:18" x14ac:dyDescent="0.25">
      <c r="A100" s="2">
        <v>45689</v>
      </c>
      <c r="B100" s="3" t="s">
        <v>51</v>
      </c>
      <c r="C100" s="3" t="s">
        <v>36</v>
      </c>
      <c r="D100" s="3" t="s">
        <v>32</v>
      </c>
      <c r="E100" s="3" t="s">
        <v>34</v>
      </c>
      <c r="F100" s="3">
        <v>266</v>
      </c>
      <c r="G100" s="3">
        <v>280</v>
      </c>
      <c r="H100" s="3">
        <v>265</v>
      </c>
      <c r="I100" s="3">
        <v>276</v>
      </c>
      <c r="J100" s="3">
        <v>115</v>
      </c>
      <c r="K100" s="3">
        <v>114</v>
      </c>
      <c r="L100" s="3">
        <v>1450</v>
      </c>
      <c r="M100" s="4">
        <f t="shared" si="6"/>
        <v>0.99624060150375937</v>
      </c>
      <c r="N100" s="5">
        <f t="shared" si="7"/>
        <v>5.1428571428571423</v>
      </c>
      <c r="O100" s="3">
        <f t="shared" si="8"/>
        <v>1</v>
      </c>
      <c r="P100" s="3" t="str">
        <f t="shared" si="9"/>
        <v>Healthy</v>
      </c>
      <c r="Q100" s="3" t="str">
        <f t="shared" si="10"/>
        <v>Short Supply</v>
      </c>
      <c r="R100" s="6">
        <f t="shared" si="11"/>
        <v>165300</v>
      </c>
    </row>
    <row r="101" spans="1:18" x14ac:dyDescent="0.25">
      <c r="A101" s="2">
        <v>45689</v>
      </c>
      <c r="B101" s="3" t="s">
        <v>51</v>
      </c>
      <c r="C101" s="3" t="s">
        <v>36</v>
      </c>
      <c r="D101" s="3" t="s">
        <v>33</v>
      </c>
      <c r="E101" s="3" t="s">
        <v>29</v>
      </c>
      <c r="F101" s="3">
        <v>333</v>
      </c>
      <c r="G101" s="3">
        <v>294</v>
      </c>
      <c r="H101" s="3">
        <v>270</v>
      </c>
      <c r="I101" s="3">
        <v>327</v>
      </c>
      <c r="J101" s="3">
        <v>79</v>
      </c>
      <c r="K101" s="3">
        <v>16</v>
      </c>
      <c r="L101" s="3">
        <v>1450</v>
      </c>
      <c r="M101" s="4">
        <f t="shared" si="6"/>
        <v>0.81081081081081086</v>
      </c>
      <c r="N101" s="5">
        <f t="shared" si="7"/>
        <v>0.57657657657657657</v>
      </c>
      <c r="O101" s="3">
        <f t="shared" si="8"/>
        <v>63</v>
      </c>
      <c r="P101" s="3" t="str">
        <f t="shared" si="9"/>
        <v>Low</v>
      </c>
      <c r="Q101" s="3" t="str">
        <f t="shared" si="10"/>
        <v>Short Supply</v>
      </c>
      <c r="R101" s="6">
        <f t="shared" si="11"/>
        <v>23200</v>
      </c>
    </row>
    <row r="102" spans="1:18" x14ac:dyDescent="0.25">
      <c r="A102" s="2">
        <v>45717</v>
      </c>
      <c r="B102" s="3" t="s">
        <v>24</v>
      </c>
      <c r="C102" s="3" t="s">
        <v>25</v>
      </c>
      <c r="D102" s="3" t="s">
        <v>26</v>
      </c>
      <c r="E102" s="3" t="s">
        <v>34</v>
      </c>
      <c r="F102" s="3">
        <v>857</v>
      </c>
      <c r="G102" s="3">
        <v>863</v>
      </c>
      <c r="H102" s="3">
        <v>810</v>
      </c>
      <c r="I102" s="3">
        <v>890</v>
      </c>
      <c r="J102" s="3">
        <v>86</v>
      </c>
      <c r="K102" s="3">
        <v>39</v>
      </c>
      <c r="L102" s="3">
        <v>1800</v>
      </c>
      <c r="M102" s="4">
        <f t="shared" si="6"/>
        <v>0.94515752625437577</v>
      </c>
      <c r="N102" s="5">
        <f t="shared" si="7"/>
        <v>0.54609101516919489</v>
      </c>
      <c r="O102" s="3">
        <f t="shared" si="8"/>
        <v>47</v>
      </c>
      <c r="P102" s="3" t="str">
        <f t="shared" si="9"/>
        <v>Low</v>
      </c>
      <c r="Q102" s="3" t="str">
        <f t="shared" si="10"/>
        <v>Short Supply</v>
      </c>
      <c r="R102" s="6">
        <f t="shared" si="11"/>
        <v>70200</v>
      </c>
    </row>
    <row r="103" spans="1:18" x14ac:dyDescent="0.25">
      <c r="A103" s="2">
        <v>45717</v>
      </c>
      <c r="B103" s="3" t="s">
        <v>24</v>
      </c>
      <c r="C103" s="3" t="s">
        <v>25</v>
      </c>
      <c r="D103" s="3" t="s">
        <v>28</v>
      </c>
      <c r="E103" s="3" t="s">
        <v>31</v>
      </c>
      <c r="F103" s="3">
        <v>625</v>
      </c>
      <c r="G103" s="3">
        <v>587</v>
      </c>
      <c r="H103" s="3">
        <v>526</v>
      </c>
      <c r="I103" s="3">
        <v>594</v>
      </c>
      <c r="J103" s="3">
        <v>69</v>
      </c>
      <c r="K103" s="3">
        <v>0</v>
      </c>
      <c r="L103" s="3">
        <v>1800</v>
      </c>
      <c r="M103" s="4">
        <f t="shared" si="6"/>
        <v>0.84160000000000001</v>
      </c>
      <c r="N103" s="5">
        <f t="shared" si="7"/>
        <v>0</v>
      </c>
      <c r="O103" s="3">
        <f t="shared" si="8"/>
        <v>99</v>
      </c>
      <c r="P103" s="3" t="str">
        <f t="shared" si="9"/>
        <v>Low</v>
      </c>
      <c r="Q103" s="3" t="str">
        <f t="shared" si="10"/>
        <v>Short Supply</v>
      </c>
      <c r="R103" s="6">
        <f t="shared" si="11"/>
        <v>0</v>
      </c>
    </row>
    <row r="104" spans="1:18" x14ac:dyDescent="0.25">
      <c r="A104" s="2">
        <v>45717</v>
      </c>
      <c r="B104" s="3" t="s">
        <v>24</v>
      </c>
      <c r="C104" s="3" t="s">
        <v>25</v>
      </c>
      <c r="D104" s="3" t="s">
        <v>30</v>
      </c>
      <c r="E104" s="3" t="s">
        <v>29</v>
      </c>
      <c r="F104" s="3">
        <v>453</v>
      </c>
      <c r="G104" s="3">
        <v>478</v>
      </c>
      <c r="H104" s="3">
        <v>439</v>
      </c>
      <c r="I104" s="3">
        <v>459</v>
      </c>
      <c r="J104" s="3">
        <v>120</v>
      </c>
      <c r="K104" s="3">
        <v>106</v>
      </c>
      <c r="L104" s="3">
        <v>1800</v>
      </c>
      <c r="M104" s="4">
        <f t="shared" si="6"/>
        <v>0.9690949227373068</v>
      </c>
      <c r="N104" s="5">
        <f t="shared" si="7"/>
        <v>2.8079470198675498</v>
      </c>
      <c r="O104" s="3">
        <f t="shared" si="8"/>
        <v>14</v>
      </c>
      <c r="P104" s="3" t="str">
        <f t="shared" si="9"/>
        <v>Healthy</v>
      </c>
      <c r="Q104" s="3" t="str">
        <f t="shared" si="10"/>
        <v>Short Supply</v>
      </c>
      <c r="R104" s="6">
        <f t="shared" si="11"/>
        <v>190800</v>
      </c>
    </row>
    <row r="105" spans="1:18" x14ac:dyDescent="0.25">
      <c r="A105" s="2">
        <v>45717</v>
      </c>
      <c r="B105" s="3" t="s">
        <v>24</v>
      </c>
      <c r="C105" s="3" t="s">
        <v>25</v>
      </c>
      <c r="D105" s="3" t="s">
        <v>32</v>
      </c>
      <c r="E105" s="3" t="s">
        <v>31</v>
      </c>
      <c r="F105" s="3">
        <v>527</v>
      </c>
      <c r="G105" s="3">
        <v>569</v>
      </c>
      <c r="H105" s="3">
        <v>524</v>
      </c>
      <c r="I105" s="3">
        <v>515</v>
      </c>
      <c r="J105" s="3">
        <v>84</v>
      </c>
      <c r="K105" s="3">
        <v>81</v>
      </c>
      <c r="L105" s="3">
        <v>1800</v>
      </c>
      <c r="M105" s="4">
        <f t="shared" si="6"/>
        <v>0.9943074003795066</v>
      </c>
      <c r="N105" s="5">
        <f t="shared" si="7"/>
        <v>1.844402277039848</v>
      </c>
      <c r="O105" s="3">
        <f t="shared" si="8"/>
        <v>3</v>
      </c>
      <c r="P105" s="3" t="str">
        <f t="shared" si="9"/>
        <v>Medium</v>
      </c>
      <c r="Q105" s="3" t="str">
        <f t="shared" si="10"/>
        <v>Short Supply</v>
      </c>
      <c r="R105" s="6">
        <f t="shared" si="11"/>
        <v>145800</v>
      </c>
    </row>
    <row r="106" spans="1:18" x14ac:dyDescent="0.25">
      <c r="A106" s="2">
        <v>45717</v>
      </c>
      <c r="B106" s="3" t="s">
        <v>24</v>
      </c>
      <c r="C106" s="3" t="s">
        <v>25</v>
      </c>
      <c r="D106" s="3" t="s">
        <v>33</v>
      </c>
      <c r="E106" s="3" t="s">
        <v>34</v>
      </c>
      <c r="F106" s="3">
        <v>477</v>
      </c>
      <c r="G106" s="3">
        <v>531</v>
      </c>
      <c r="H106" s="3">
        <v>508</v>
      </c>
      <c r="I106" s="3">
        <v>492</v>
      </c>
      <c r="J106" s="3">
        <v>70</v>
      </c>
      <c r="K106" s="3">
        <v>101</v>
      </c>
      <c r="L106" s="3">
        <v>1800</v>
      </c>
      <c r="M106" s="4">
        <f t="shared" si="6"/>
        <v>1.0649895178197064</v>
      </c>
      <c r="N106" s="5">
        <f t="shared" si="7"/>
        <v>2.540880503144654</v>
      </c>
      <c r="O106" s="3">
        <f t="shared" si="8"/>
        <v>-31</v>
      </c>
      <c r="P106" s="3" t="str">
        <f t="shared" si="9"/>
        <v>Healthy</v>
      </c>
      <c r="Q106" s="3" t="str">
        <f t="shared" si="10"/>
        <v>On Track</v>
      </c>
      <c r="R106" s="6">
        <f t="shared" si="11"/>
        <v>181800</v>
      </c>
    </row>
    <row r="107" spans="1:18" x14ac:dyDescent="0.25">
      <c r="A107" s="2">
        <v>45717</v>
      </c>
      <c r="B107" s="3" t="s">
        <v>35</v>
      </c>
      <c r="C107" s="3" t="s">
        <v>36</v>
      </c>
      <c r="D107" s="3" t="s">
        <v>26</v>
      </c>
      <c r="E107" s="3" t="s">
        <v>27</v>
      </c>
      <c r="F107" s="3">
        <v>618</v>
      </c>
      <c r="G107" s="3">
        <v>545</v>
      </c>
      <c r="H107" s="3">
        <v>501</v>
      </c>
      <c r="I107" s="3">
        <v>615</v>
      </c>
      <c r="J107" s="3">
        <v>87</v>
      </c>
      <c r="K107" s="3">
        <v>0</v>
      </c>
      <c r="L107" s="3">
        <v>1600</v>
      </c>
      <c r="M107" s="4">
        <f t="shared" si="6"/>
        <v>0.81067961165048541</v>
      </c>
      <c r="N107" s="5">
        <f t="shared" si="7"/>
        <v>0</v>
      </c>
      <c r="O107" s="3">
        <f t="shared" si="8"/>
        <v>117</v>
      </c>
      <c r="P107" s="3" t="str">
        <f t="shared" si="9"/>
        <v>Low</v>
      </c>
      <c r="Q107" s="3" t="str">
        <f t="shared" si="10"/>
        <v>Short Supply</v>
      </c>
      <c r="R107" s="6">
        <f t="shared" si="11"/>
        <v>0</v>
      </c>
    </row>
    <row r="108" spans="1:18" x14ac:dyDescent="0.25">
      <c r="A108" s="2">
        <v>45717</v>
      </c>
      <c r="B108" s="3" t="s">
        <v>35</v>
      </c>
      <c r="C108" s="3" t="s">
        <v>36</v>
      </c>
      <c r="D108" s="3" t="s">
        <v>28</v>
      </c>
      <c r="E108" s="3" t="s">
        <v>27</v>
      </c>
      <c r="F108" s="3">
        <v>505</v>
      </c>
      <c r="G108" s="3">
        <v>548</v>
      </c>
      <c r="H108" s="3">
        <v>490</v>
      </c>
      <c r="I108" s="3">
        <v>469</v>
      </c>
      <c r="J108" s="3">
        <v>99</v>
      </c>
      <c r="K108" s="3">
        <v>84</v>
      </c>
      <c r="L108" s="3">
        <v>1600</v>
      </c>
      <c r="M108" s="4">
        <f t="shared" si="6"/>
        <v>0.97029702970297027</v>
      </c>
      <c r="N108" s="5">
        <f t="shared" si="7"/>
        <v>1.996039603960396</v>
      </c>
      <c r="O108" s="3">
        <f t="shared" si="8"/>
        <v>15</v>
      </c>
      <c r="P108" s="3" t="str">
        <f t="shared" si="9"/>
        <v>Medium</v>
      </c>
      <c r="Q108" s="3" t="str">
        <f t="shared" si="10"/>
        <v>Short Supply</v>
      </c>
      <c r="R108" s="6">
        <f t="shared" si="11"/>
        <v>134400</v>
      </c>
    </row>
    <row r="109" spans="1:18" x14ac:dyDescent="0.25">
      <c r="A109" s="2">
        <v>45717</v>
      </c>
      <c r="B109" s="3" t="s">
        <v>35</v>
      </c>
      <c r="C109" s="3" t="s">
        <v>36</v>
      </c>
      <c r="D109" s="3" t="s">
        <v>30</v>
      </c>
      <c r="E109" s="3" t="s">
        <v>34</v>
      </c>
      <c r="F109" s="3">
        <v>363</v>
      </c>
      <c r="G109" s="3">
        <v>390</v>
      </c>
      <c r="H109" s="3">
        <v>395</v>
      </c>
      <c r="I109" s="3">
        <v>338</v>
      </c>
      <c r="J109" s="3">
        <v>79</v>
      </c>
      <c r="K109" s="3">
        <v>111</v>
      </c>
      <c r="L109" s="3">
        <v>1600</v>
      </c>
      <c r="M109" s="4">
        <f t="shared" si="6"/>
        <v>1.0881542699724518</v>
      </c>
      <c r="N109" s="5">
        <f t="shared" si="7"/>
        <v>3.6694214876033056</v>
      </c>
      <c r="O109" s="3">
        <f t="shared" si="8"/>
        <v>-32</v>
      </c>
      <c r="P109" s="3" t="str">
        <f t="shared" si="9"/>
        <v>Healthy</v>
      </c>
      <c r="Q109" s="3" t="str">
        <f t="shared" si="10"/>
        <v>On Track</v>
      </c>
      <c r="R109" s="6">
        <f t="shared" si="11"/>
        <v>177600</v>
      </c>
    </row>
    <row r="110" spans="1:18" x14ac:dyDescent="0.25">
      <c r="A110" s="2">
        <v>45717</v>
      </c>
      <c r="B110" s="3" t="s">
        <v>35</v>
      </c>
      <c r="C110" s="3" t="s">
        <v>36</v>
      </c>
      <c r="D110" s="3" t="s">
        <v>32</v>
      </c>
      <c r="E110" s="3" t="s">
        <v>34</v>
      </c>
      <c r="F110" s="3">
        <v>386</v>
      </c>
      <c r="G110" s="3">
        <v>412</v>
      </c>
      <c r="H110" s="3">
        <v>375</v>
      </c>
      <c r="I110" s="3">
        <v>387</v>
      </c>
      <c r="J110" s="3">
        <v>96</v>
      </c>
      <c r="K110" s="3">
        <v>85</v>
      </c>
      <c r="L110" s="3">
        <v>1600</v>
      </c>
      <c r="M110" s="4">
        <f t="shared" si="6"/>
        <v>0.97150259067357514</v>
      </c>
      <c r="N110" s="5">
        <f t="shared" si="7"/>
        <v>2.6424870466321244</v>
      </c>
      <c r="O110" s="3">
        <f t="shared" si="8"/>
        <v>11</v>
      </c>
      <c r="P110" s="3" t="str">
        <f t="shared" si="9"/>
        <v>Healthy</v>
      </c>
      <c r="Q110" s="3" t="str">
        <f t="shared" si="10"/>
        <v>Short Supply</v>
      </c>
      <c r="R110" s="6">
        <f t="shared" si="11"/>
        <v>136000</v>
      </c>
    </row>
    <row r="111" spans="1:18" x14ac:dyDescent="0.25">
      <c r="A111" s="2">
        <v>45717</v>
      </c>
      <c r="B111" s="3" t="s">
        <v>35</v>
      </c>
      <c r="C111" s="3" t="s">
        <v>36</v>
      </c>
      <c r="D111" s="3" t="s">
        <v>33</v>
      </c>
      <c r="E111" s="3" t="s">
        <v>27</v>
      </c>
      <c r="F111" s="3">
        <v>390</v>
      </c>
      <c r="G111" s="3">
        <v>398</v>
      </c>
      <c r="H111" s="3">
        <v>374</v>
      </c>
      <c r="I111" s="3">
        <v>394</v>
      </c>
      <c r="J111" s="3">
        <v>64</v>
      </c>
      <c r="K111" s="3">
        <v>48</v>
      </c>
      <c r="L111" s="3">
        <v>1600</v>
      </c>
      <c r="M111" s="4">
        <f t="shared" si="6"/>
        <v>0.95897435897435901</v>
      </c>
      <c r="N111" s="5">
        <f t="shared" si="7"/>
        <v>1.476923076923077</v>
      </c>
      <c r="O111" s="3">
        <f t="shared" si="8"/>
        <v>16</v>
      </c>
      <c r="P111" s="3" t="str">
        <f t="shared" si="9"/>
        <v>Medium</v>
      </c>
      <c r="Q111" s="3" t="str">
        <f t="shared" si="10"/>
        <v>Short Supply</v>
      </c>
      <c r="R111" s="6">
        <f t="shared" si="11"/>
        <v>76800</v>
      </c>
    </row>
    <row r="112" spans="1:18" x14ac:dyDescent="0.25">
      <c r="A112" s="2">
        <v>45717</v>
      </c>
      <c r="B112" s="3" t="s">
        <v>37</v>
      </c>
      <c r="C112" s="3" t="s">
        <v>38</v>
      </c>
      <c r="D112" s="3" t="s">
        <v>26</v>
      </c>
      <c r="E112" s="3" t="s">
        <v>31</v>
      </c>
      <c r="F112" s="3">
        <v>673</v>
      </c>
      <c r="G112" s="3">
        <v>625</v>
      </c>
      <c r="H112" s="3">
        <v>568</v>
      </c>
      <c r="I112" s="3">
        <v>690</v>
      </c>
      <c r="J112" s="3">
        <v>72</v>
      </c>
      <c r="K112" s="3">
        <v>0</v>
      </c>
      <c r="L112" s="3">
        <v>1300</v>
      </c>
      <c r="M112" s="4">
        <f t="shared" si="6"/>
        <v>0.84398216939078752</v>
      </c>
      <c r="N112" s="5">
        <f t="shared" si="7"/>
        <v>0</v>
      </c>
      <c r="O112" s="3">
        <f t="shared" si="8"/>
        <v>105</v>
      </c>
      <c r="P112" s="3" t="str">
        <f t="shared" si="9"/>
        <v>Low</v>
      </c>
      <c r="Q112" s="3" t="str">
        <f t="shared" si="10"/>
        <v>Short Supply</v>
      </c>
      <c r="R112" s="6">
        <f t="shared" si="11"/>
        <v>0</v>
      </c>
    </row>
    <row r="113" spans="1:18" x14ac:dyDescent="0.25">
      <c r="A113" s="2">
        <v>45717</v>
      </c>
      <c r="B113" s="3" t="s">
        <v>37</v>
      </c>
      <c r="C113" s="3" t="s">
        <v>38</v>
      </c>
      <c r="D113" s="3" t="s">
        <v>28</v>
      </c>
      <c r="E113" s="3" t="s">
        <v>27</v>
      </c>
      <c r="F113" s="3">
        <v>469</v>
      </c>
      <c r="G113" s="3">
        <v>430</v>
      </c>
      <c r="H113" s="3">
        <v>402</v>
      </c>
      <c r="I113" s="3">
        <v>483</v>
      </c>
      <c r="J113" s="3">
        <v>97</v>
      </c>
      <c r="K113" s="3">
        <v>30</v>
      </c>
      <c r="L113" s="3">
        <v>1300</v>
      </c>
      <c r="M113" s="4">
        <f t="shared" si="6"/>
        <v>0.8571428571428571</v>
      </c>
      <c r="N113" s="5">
        <f t="shared" si="7"/>
        <v>0.76759061833688702</v>
      </c>
      <c r="O113" s="3">
        <f t="shared" si="8"/>
        <v>67</v>
      </c>
      <c r="P113" s="3" t="str">
        <f t="shared" si="9"/>
        <v>Low</v>
      </c>
      <c r="Q113" s="3" t="str">
        <f t="shared" si="10"/>
        <v>Short Supply</v>
      </c>
      <c r="R113" s="6">
        <f t="shared" si="11"/>
        <v>39000</v>
      </c>
    </row>
    <row r="114" spans="1:18" x14ac:dyDescent="0.25">
      <c r="A114" s="2">
        <v>45717</v>
      </c>
      <c r="B114" s="3" t="s">
        <v>37</v>
      </c>
      <c r="C114" s="3" t="s">
        <v>38</v>
      </c>
      <c r="D114" s="3" t="s">
        <v>30</v>
      </c>
      <c r="E114" s="3" t="s">
        <v>29</v>
      </c>
      <c r="F114" s="3">
        <v>315</v>
      </c>
      <c r="G114" s="3">
        <v>330</v>
      </c>
      <c r="H114" s="3">
        <v>322</v>
      </c>
      <c r="I114" s="3">
        <v>312</v>
      </c>
      <c r="J114" s="3">
        <v>114</v>
      </c>
      <c r="K114" s="3">
        <v>121</v>
      </c>
      <c r="L114" s="3">
        <v>1300</v>
      </c>
      <c r="M114" s="4">
        <f t="shared" si="6"/>
        <v>1.0222222222222221</v>
      </c>
      <c r="N114" s="5">
        <f t="shared" si="7"/>
        <v>4.60952380952381</v>
      </c>
      <c r="O114" s="3">
        <f t="shared" si="8"/>
        <v>-7</v>
      </c>
      <c r="P114" s="3" t="str">
        <f t="shared" si="9"/>
        <v>Healthy</v>
      </c>
      <c r="Q114" s="3" t="str">
        <f t="shared" si="10"/>
        <v>On Track</v>
      </c>
      <c r="R114" s="6">
        <f t="shared" si="11"/>
        <v>157300</v>
      </c>
    </row>
    <row r="115" spans="1:18" x14ac:dyDescent="0.25">
      <c r="A115" s="2">
        <v>45717</v>
      </c>
      <c r="B115" s="3" t="s">
        <v>37</v>
      </c>
      <c r="C115" s="3" t="s">
        <v>38</v>
      </c>
      <c r="D115" s="3" t="s">
        <v>32</v>
      </c>
      <c r="E115" s="3" t="s">
        <v>31</v>
      </c>
      <c r="F115" s="3">
        <v>344</v>
      </c>
      <c r="G115" s="3">
        <v>354</v>
      </c>
      <c r="H115" s="3">
        <v>344</v>
      </c>
      <c r="I115" s="3">
        <v>367</v>
      </c>
      <c r="J115" s="3">
        <v>94</v>
      </c>
      <c r="K115" s="3">
        <v>94</v>
      </c>
      <c r="L115" s="3">
        <v>1300</v>
      </c>
      <c r="M115" s="4">
        <f t="shared" si="6"/>
        <v>1</v>
      </c>
      <c r="N115" s="5">
        <f t="shared" si="7"/>
        <v>3.2790697674418601</v>
      </c>
      <c r="O115" s="3">
        <f t="shared" si="8"/>
        <v>0</v>
      </c>
      <c r="P115" s="3" t="str">
        <f t="shared" si="9"/>
        <v>Healthy</v>
      </c>
      <c r="Q115" s="3" t="str">
        <f t="shared" si="10"/>
        <v>On Track</v>
      </c>
      <c r="R115" s="6">
        <f t="shared" si="11"/>
        <v>122200</v>
      </c>
    </row>
    <row r="116" spans="1:18" x14ac:dyDescent="0.25">
      <c r="A116" s="2">
        <v>45717</v>
      </c>
      <c r="B116" s="3" t="s">
        <v>37</v>
      </c>
      <c r="C116" s="3" t="s">
        <v>38</v>
      </c>
      <c r="D116" s="3" t="s">
        <v>33</v>
      </c>
      <c r="E116" s="3" t="s">
        <v>29</v>
      </c>
      <c r="F116" s="3">
        <v>367</v>
      </c>
      <c r="G116" s="3">
        <v>402</v>
      </c>
      <c r="H116" s="3">
        <v>400</v>
      </c>
      <c r="I116" s="3">
        <v>341</v>
      </c>
      <c r="J116" s="3">
        <v>73</v>
      </c>
      <c r="K116" s="3">
        <v>106</v>
      </c>
      <c r="L116" s="3">
        <v>1300</v>
      </c>
      <c r="M116" s="4">
        <f t="shared" si="6"/>
        <v>1.0899182561307903</v>
      </c>
      <c r="N116" s="5">
        <f t="shared" si="7"/>
        <v>3.4659400544959125</v>
      </c>
      <c r="O116" s="3">
        <f t="shared" si="8"/>
        <v>-33</v>
      </c>
      <c r="P116" s="3" t="str">
        <f t="shared" si="9"/>
        <v>Healthy</v>
      </c>
      <c r="Q116" s="3" t="str">
        <f t="shared" si="10"/>
        <v>On Track</v>
      </c>
      <c r="R116" s="6">
        <f t="shared" si="11"/>
        <v>137800</v>
      </c>
    </row>
    <row r="117" spans="1:18" x14ac:dyDescent="0.25">
      <c r="A117" s="2">
        <v>45717</v>
      </c>
      <c r="B117" s="3" t="s">
        <v>39</v>
      </c>
      <c r="C117" s="3" t="s">
        <v>40</v>
      </c>
      <c r="D117" s="3" t="s">
        <v>26</v>
      </c>
      <c r="E117" s="3" t="s">
        <v>29</v>
      </c>
      <c r="F117" s="3">
        <v>805</v>
      </c>
      <c r="G117" s="3">
        <v>867</v>
      </c>
      <c r="H117" s="3">
        <v>874</v>
      </c>
      <c r="I117" s="3">
        <v>797</v>
      </c>
      <c r="J117" s="3">
        <v>97</v>
      </c>
      <c r="K117" s="3">
        <v>166</v>
      </c>
      <c r="L117" s="3">
        <v>1700</v>
      </c>
      <c r="M117" s="4">
        <f t="shared" si="6"/>
        <v>1.0857142857142856</v>
      </c>
      <c r="N117" s="5">
        <f t="shared" si="7"/>
        <v>2.4745341614906833</v>
      </c>
      <c r="O117" s="3">
        <f t="shared" si="8"/>
        <v>-69</v>
      </c>
      <c r="P117" s="3" t="str">
        <f t="shared" si="9"/>
        <v>Healthy</v>
      </c>
      <c r="Q117" s="3" t="str">
        <f t="shared" si="10"/>
        <v>On Track</v>
      </c>
      <c r="R117" s="6">
        <f t="shared" si="11"/>
        <v>282200</v>
      </c>
    </row>
    <row r="118" spans="1:18" x14ac:dyDescent="0.25">
      <c r="A118" s="2">
        <v>45717</v>
      </c>
      <c r="B118" s="3" t="s">
        <v>39</v>
      </c>
      <c r="C118" s="3" t="s">
        <v>40</v>
      </c>
      <c r="D118" s="3" t="s">
        <v>28</v>
      </c>
      <c r="E118" s="3" t="s">
        <v>27</v>
      </c>
      <c r="F118" s="3">
        <v>645</v>
      </c>
      <c r="G118" s="3">
        <v>713</v>
      </c>
      <c r="H118" s="3">
        <v>677</v>
      </c>
      <c r="I118" s="3">
        <v>644</v>
      </c>
      <c r="J118" s="3">
        <v>66</v>
      </c>
      <c r="K118" s="3">
        <v>98</v>
      </c>
      <c r="L118" s="3">
        <v>1700</v>
      </c>
      <c r="M118" s="4">
        <f t="shared" si="6"/>
        <v>1.0496124031007752</v>
      </c>
      <c r="N118" s="5">
        <f t="shared" si="7"/>
        <v>1.8232558139534882</v>
      </c>
      <c r="O118" s="3">
        <f t="shared" si="8"/>
        <v>-32</v>
      </c>
      <c r="P118" s="3" t="str">
        <f t="shared" si="9"/>
        <v>Medium</v>
      </c>
      <c r="Q118" s="3" t="str">
        <f t="shared" si="10"/>
        <v>On Track</v>
      </c>
      <c r="R118" s="6">
        <f t="shared" si="11"/>
        <v>166600</v>
      </c>
    </row>
    <row r="119" spans="1:18" x14ac:dyDescent="0.25">
      <c r="A119" s="2">
        <v>45717</v>
      </c>
      <c r="B119" s="3" t="s">
        <v>39</v>
      </c>
      <c r="C119" s="3" t="s">
        <v>40</v>
      </c>
      <c r="D119" s="3" t="s">
        <v>30</v>
      </c>
      <c r="E119" s="3" t="s">
        <v>27</v>
      </c>
      <c r="F119" s="3">
        <v>505</v>
      </c>
      <c r="G119" s="3">
        <v>533</v>
      </c>
      <c r="H119" s="3">
        <v>514</v>
      </c>
      <c r="I119" s="3">
        <v>466</v>
      </c>
      <c r="J119" s="3">
        <v>78</v>
      </c>
      <c r="K119" s="3">
        <v>87</v>
      </c>
      <c r="L119" s="3">
        <v>1700</v>
      </c>
      <c r="M119" s="4">
        <f t="shared" si="6"/>
        <v>1.0178217821782178</v>
      </c>
      <c r="N119" s="5">
        <f t="shared" si="7"/>
        <v>2.0673267326732674</v>
      </c>
      <c r="O119" s="3">
        <f t="shared" si="8"/>
        <v>-9</v>
      </c>
      <c r="P119" s="3" t="str">
        <f t="shared" si="9"/>
        <v>Healthy</v>
      </c>
      <c r="Q119" s="3" t="str">
        <f t="shared" si="10"/>
        <v>On Track</v>
      </c>
      <c r="R119" s="6">
        <f t="shared" si="11"/>
        <v>147900</v>
      </c>
    </row>
    <row r="120" spans="1:18" x14ac:dyDescent="0.25">
      <c r="A120" s="2">
        <v>45717</v>
      </c>
      <c r="B120" s="3" t="s">
        <v>39</v>
      </c>
      <c r="C120" s="3" t="s">
        <v>40</v>
      </c>
      <c r="D120" s="3" t="s">
        <v>32</v>
      </c>
      <c r="E120" s="3" t="s">
        <v>34</v>
      </c>
      <c r="F120" s="3">
        <v>480</v>
      </c>
      <c r="G120" s="3">
        <v>499</v>
      </c>
      <c r="H120" s="3">
        <v>457</v>
      </c>
      <c r="I120" s="3">
        <v>444</v>
      </c>
      <c r="J120" s="3">
        <v>120</v>
      </c>
      <c r="K120" s="3">
        <v>97</v>
      </c>
      <c r="L120" s="3">
        <v>1700</v>
      </c>
      <c r="M120" s="4">
        <f t="shared" si="6"/>
        <v>0.95208333333333328</v>
      </c>
      <c r="N120" s="5">
        <f t="shared" si="7"/>
        <v>2.4249999999999998</v>
      </c>
      <c r="O120" s="3">
        <f t="shared" si="8"/>
        <v>23</v>
      </c>
      <c r="P120" s="3" t="str">
        <f t="shared" si="9"/>
        <v>Healthy</v>
      </c>
      <c r="Q120" s="3" t="str">
        <f t="shared" si="10"/>
        <v>Short Supply</v>
      </c>
      <c r="R120" s="6">
        <f t="shared" si="11"/>
        <v>164900</v>
      </c>
    </row>
    <row r="121" spans="1:18" x14ac:dyDescent="0.25">
      <c r="A121" s="2">
        <v>45717</v>
      </c>
      <c r="B121" s="3" t="s">
        <v>39</v>
      </c>
      <c r="C121" s="3" t="s">
        <v>40</v>
      </c>
      <c r="D121" s="3" t="s">
        <v>33</v>
      </c>
      <c r="E121" s="3" t="s">
        <v>34</v>
      </c>
      <c r="F121" s="3">
        <v>466</v>
      </c>
      <c r="G121" s="3">
        <v>459</v>
      </c>
      <c r="H121" s="3">
        <v>421</v>
      </c>
      <c r="I121" s="3">
        <v>503</v>
      </c>
      <c r="J121" s="3">
        <v>94</v>
      </c>
      <c r="K121" s="3">
        <v>49</v>
      </c>
      <c r="L121" s="3">
        <v>1700</v>
      </c>
      <c r="M121" s="4">
        <f t="shared" si="6"/>
        <v>0.90343347639484983</v>
      </c>
      <c r="N121" s="5">
        <f t="shared" si="7"/>
        <v>1.2618025751072961</v>
      </c>
      <c r="O121" s="3">
        <f t="shared" si="8"/>
        <v>45</v>
      </c>
      <c r="P121" s="3" t="str">
        <f t="shared" si="9"/>
        <v>Medium</v>
      </c>
      <c r="Q121" s="3" t="str">
        <f t="shared" si="10"/>
        <v>Short Supply</v>
      </c>
      <c r="R121" s="6">
        <f t="shared" si="11"/>
        <v>83300</v>
      </c>
    </row>
    <row r="122" spans="1:18" x14ac:dyDescent="0.25">
      <c r="A122" s="2">
        <v>45717</v>
      </c>
      <c r="B122" s="3" t="s">
        <v>41</v>
      </c>
      <c r="C122" s="3" t="s">
        <v>42</v>
      </c>
      <c r="D122" s="3" t="s">
        <v>26</v>
      </c>
      <c r="E122" s="3" t="s">
        <v>31</v>
      </c>
      <c r="F122" s="3">
        <v>554</v>
      </c>
      <c r="G122" s="3">
        <v>550</v>
      </c>
      <c r="H122" s="3">
        <v>515</v>
      </c>
      <c r="I122" s="3">
        <v>538</v>
      </c>
      <c r="J122" s="3">
        <v>68</v>
      </c>
      <c r="K122" s="3">
        <v>29</v>
      </c>
      <c r="L122" s="3">
        <v>1200</v>
      </c>
      <c r="M122" s="4">
        <f t="shared" si="6"/>
        <v>0.9296028880866426</v>
      </c>
      <c r="N122" s="5">
        <f t="shared" si="7"/>
        <v>0.62815884476534301</v>
      </c>
      <c r="O122" s="3">
        <f t="shared" si="8"/>
        <v>39</v>
      </c>
      <c r="P122" s="3" t="str">
        <f t="shared" si="9"/>
        <v>Low</v>
      </c>
      <c r="Q122" s="3" t="str">
        <f t="shared" si="10"/>
        <v>Short Supply</v>
      </c>
      <c r="R122" s="6">
        <f t="shared" si="11"/>
        <v>34800</v>
      </c>
    </row>
    <row r="123" spans="1:18" x14ac:dyDescent="0.25">
      <c r="A123" s="2">
        <v>45717</v>
      </c>
      <c r="B123" s="3" t="s">
        <v>41</v>
      </c>
      <c r="C123" s="3" t="s">
        <v>42</v>
      </c>
      <c r="D123" s="3" t="s">
        <v>28</v>
      </c>
      <c r="E123" s="3" t="s">
        <v>27</v>
      </c>
      <c r="F123" s="3">
        <v>358</v>
      </c>
      <c r="G123" s="3">
        <v>374</v>
      </c>
      <c r="H123" s="3">
        <v>344</v>
      </c>
      <c r="I123" s="3">
        <v>383</v>
      </c>
      <c r="J123" s="3">
        <v>125</v>
      </c>
      <c r="K123" s="3">
        <v>111</v>
      </c>
      <c r="L123" s="3">
        <v>1200</v>
      </c>
      <c r="M123" s="4">
        <f t="shared" si="6"/>
        <v>0.96089385474860334</v>
      </c>
      <c r="N123" s="5">
        <f t="shared" si="7"/>
        <v>3.7206703910614523</v>
      </c>
      <c r="O123" s="3">
        <f t="shared" si="8"/>
        <v>14</v>
      </c>
      <c r="P123" s="3" t="str">
        <f t="shared" si="9"/>
        <v>Healthy</v>
      </c>
      <c r="Q123" s="3" t="str">
        <f t="shared" si="10"/>
        <v>Short Supply</v>
      </c>
      <c r="R123" s="6">
        <f t="shared" si="11"/>
        <v>133200</v>
      </c>
    </row>
    <row r="124" spans="1:18" x14ac:dyDescent="0.25">
      <c r="A124" s="2">
        <v>45717</v>
      </c>
      <c r="B124" s="3" t="s">
        <v>41</v>
      </c>
      <c r="C124" s="3" t="s">
        <v>42</v>
      </c>
      <c r="D124" s="3" t="s">
        <v>30</v>
      </c>
      <c r="E124" s="3" t="s">
        <v>27</v>
      </c>
      <c r="F124" s="3">
        <v>276</v>
      </c>
      <c r="G124" s="3">
        <v>263</v>
      </c>
      <c r="H124" s="3">
        <v>243</v>
      </c>
      <c r="I124" s="3">
        <v>296</v>
      </c>
      <c r="J124" s="3">
        <v>92</v>
      </c>
      <c r="K124" s="3">
        <v>59</v>
      </c>
      <c r="L124" s="3">
        <v>1200</v>
      </c>
      <c r="M124" s="4">
        <f t="shared" si="6"/>
        <v>0.88043478260869568</v>
      </c>
      <c r="N124" s="5">
        <f t="shared" si="7"/>
        <v>2.5652173913043477</v>
      </c>
      <c r="O124" s="3">
        <f t="shared" si="8"/>
        <v>33</v>
      </c>
      <c r="P124" s="3" t="str">
        <f t="shared" si="9"/>
        <v>Healthy</v>
      </c>
      <c r="Q124" s="3" t="str">
        <f t="shared" si="10"/>
        <v>Short Supply</v>
      </c>
      <c r="R124" s="6">
        <f t="shared" si="11"/>
        <v>70800</v>
      </c>
    </row>
    <row r="125" spans="1:18" x14ac:dyDescent="0.25">
      <c r="A125" s="2">
        <v>45717</v>
      </c>
      <c r="B125" s="3" t="s">
        <v>41</v>
      </c>
      <c r="C125" s="3" t="s">
        <v>42</v>
      </c>
      <c r="D125" s="3" t="s">
        <v>32</v>
      </c>
      <c r="E125" s="3" t="s">
        <v>34</v>
      </c>
      <c r="F125" s="3">
        <v>271</v>
      </c>
      <c r="G125" s="3">
        <v>273</v>
      </c>
      <c r="H125" s="3">
        <v>256</v>
      </c>
      <c r="I125" s="3">
        <v>257</v>
      </c>
      <c r="J125" s="3">
        <v>88</v>
      </c>
      <c r="K125" s="3">
        <v>73</v>
      </c>
      <c r="L125" s="3">
        <v>1200</v>
      </c>
      <c r="M125" s="4">
        <f t="shared" si="6"/>
        <v>0.94464944649446492</v>
      </c>
      <c r="N125" s="5">
        <f t="shared" si="7"/>
        <v>3.2324723247232474</v>
      </c>
      <c r="O125" s="3">
        <f t="shared" si="8"/>
        <v>15</v>
      </c>
      <c r="P125" s="3" t="str">
        <f t="shared" si="9"/>
        <v>Healthy</v>
      </c>
      <c r="Q125" s="3" t="str">
        <f t="shared" si="10"/>
        <v>Short Supply</v>
      </c>
      <c r="R125" s="6">
        <f t="shared" si="11"/>
        <v>87600</v>
      </c>
    </row>
    <row r="126" spans="1:18" x14ac:dyDescent="0.25">
      <c r="A126" s="2">
        <v>45717</v>
      </c>
      <c r="B126" s="3" t="s">
        <v>41</v>
      </c>
      <c r="C126" s="3" t="s">
        <v>42</v>
      </c>
      <c r="D126" s="3" t="s">
        <v>33</v>
      </c>
      <c r="E126" s="3" t="s">
        <v>34</v>
      </c>
      <c r="F126" s="3">
        <v>298</v>
      </c>
      <c r="G126" s="3">
        <v>316</v>
      </c>
      <c r="H126" s="3">
        <v>287</v>
      </c>
      <c r="I126" s="3">
        <v>300</v>
      </c>
      <c r="J126" s="3">
        <v>134</v>
      </c>
      <c r="K126" s="3">
        <v>123</v>
      </c>
      <c r="L126" s="3">
        <v>1200</v>
      </c>
      <c r="M126" s="4">
        <f t="shared" si="6"/>
        <v>0.96308724832214765</v>
      </c>
      <c r="N126" s="5">
        <f t="shared" si="7"/>
        <v>4.9530201342281881</v>
      </c>
      <c r="O126" s="3">
        <f t="shared" si="8"/>
        <v>11</v>
      </c>
      <c r="P126" s="3" t="str">
        <f t="shared" si="9"/>
        <v>Healthy</v>
      </c>
      <c r="Q126" s="3" t="str">
        <f t="shared" si="10"/>
        <v>Short Supply</v>
      </c>
      <c r="R126" s="6">
        <f t="shared" si="11"/>
        <v>147600</v>
      </c>
    </row>
    <row r="127" spans="1:18" x14ac:dyDescent="0.25">
      <c r="A127" s="2">
        <v>45717</v>
      </c>
      <c r="B127" s="3" t="s">
        <v>43</v>
      </c>
      <c r="C127" s="3" t="s">
        <v>44</v>
      </c>
      <c r="D127" s="3" t="s">
        <v>26</v>
      </c>
      <c r="E127" s="3" t="s">
        <v>31</v>
      </c>
      <c r="F127" s="3">
        <v>722</v>
      </c>
      <c r="G127" s="3">
        <v>719</v>
      </c>
      <c r="H127" s="3">
        <v>635</v>
      </c>
      <c r="I127" s="3">
        <v>737</v>
      </c>
      <c r="J127" s="3">
        <v>123</v>
      </c>
      <c r="K127" s="3">
        <v>36</v>
      </c>
      <c r="L127" s="3">
        <v>1400</v>
      </c>
      <c r="M127" s="4">
        <f t="shared" si="6"/>
        <v>0.87950138504155129</v>
      </c>
      <c r="N127" s="5">
        <f t="shared" si="7"/>
        <v>0.59833795013850422</v>
      </c>
      <c r="O127" s="3">
        <f t="shared" si="8"/>
        <v>87</v>
      </c>
      <c r="P127" s="3" t="str">
        <f t="shared" si="9"/>
        <v>Low</v>
      </c>
      <c r="Q127" s="3" t="str">
        <f t="shared" si="10"/>
        <v>Short Supply</v>
      </c>
      <c r="R127" s="6">
        <f t="shared" si="11"/>
        <v>50400</v>
      </c>
    </row>
    <row r="128" spans="1:18" x14ac:dyDescent="0.25">
      <c r="A128" s="2">
        <v>45717</v>
      </c>
      <c r="B128" s="3" t="s">
        <v>43</v>
      </c>
      <c r="C128" s="3" t="s">
        <v>44</v>
      </c>
      <c r="D128" s="3" t="s">
        <v>28</v>
      </c>
      <c r="E128" s="3" t="s">
        <v>27</v>
      </c>
      <c r="F128" s="3">
        <v>475</v>
      </c>
      <c r="G128" s="3">
        <v>419</v>
      </c>
      <c r="H128" s="3">
        <v>392</v>
      </c>
      <c r="I128" s="3">
        <v>454</v>
      </c>
      <c r="J128" s="3">
        <v>127</v>
      </c>
      <c r="K128" s="3">
        <v>44</v>
      </c>
      <c r="L128" s="3">
        <v>1400</v>
      </c>
      <c r="M128" s="4">
        <f t="shared" si="6"/>
        <v>0.82526315789473681</v>
      </c>
      <c r="N128" s="5">
        <f t="shared" si="7"/>
        <v>1.1115789473684212</v>
      </c>
      <c r="O128" s="3">
        <f t="shared" si="8"/>
        <v>83</v>
      </c>
      <c r="P128" s="3" t="str">
        <f t="shared" si="9"/>
        <v>Medium</v>
      </c>
      <c r="Q128" s="3" t="str">
        <f t="shared" si="10"/>
        <v>Short Supply</v>
      </c>
      <c r="R128" s="6">
        <f t="shared" si="11"/>
        <v>61600</v>
      </c>
    </row>
    <row r="129" spans="1:18" x14ac:dyDescent="0.25">
      <c r="A129" s="2">
        <v>45717</v>
      </c>
      <c r="B129" s="3" t="s">
        <v>43</v>
      </c>
      <c r="C129" s="3" t="s">
        <v>44</v>
      </c>
      <c r="D129" s="3" t="s">
        <v>30</v>
      </c>
      <c r="E129" s="3" t="s">
        <v>29</v>
      </c>
      <c r="F129" s="3">
        <v>370</v>
      </c>
      <c r="G129" s="3">
        <v>336</v>
      </c>
      <c r="H129" s="3">
        <v>334</v>
      </c>
      <c r="I129" s="3">
        <v>369</v>
      </c>
      <c r="J129" s="3">
        <v>117</v>
      </c>
      <c r="K129" s="3">
        <v>81</v>
      </c>
      <c r="L129" s="3">
        <v>1400</v>
      </c>
      <c r="M129" s="4">
        <f t="shared" si="6"/>
        <v>0.9027027027027027</v>
      </c>
      <c r="N129" s="5">
        <f t="shared" si="7"/>
        <v>2.6270270270270273</v>
      </c>
      <c r="O129" s="3">
        <f t="shared" si="8"/>
        <v>36</v>
      </c>
      <c r="P129" s="3" t="str">
        <f t="shared" si="9"/>
        <v>Healthy</v>
      </c>
      <c r="Q129" s="3" t="str">
        <f t="shared" si="10"/>
        <v>Short Supply</v>
      </c>
      <c r="R129" s="6">
        <f t="shared" si="11"/>
        <v>113400</v>
      </c>
    </row>
    <row r="130" spans="1:18" x14ac:dyDescent="0.25">
      <c r="A130" s="2">
        <v>45717</v>
      </c>
      <c r="B130" s="3" t="s">
        <v>43</v>
      </c>
      <c r="C130" s="3" t="s">
        <v>44</v>
      </c>
      <c r="D130" s="3" t="s">
        <v>32</v>
      </c>
      <c r="E130" s="3" t="s">
        <v>31</v>
      </c>
      <c r="F130" s="3">
        <v>336</v>
      </c>
      <c r="G130" s="3">
        <v>334</v>
      </c>
      <c r="H130" s="3">
        <v>316</v>
      </c>
      <c r="I130" s="3">
        <v>333</v>
      </c>
      <c r="J130" s="3">
        <v>71</v>
      </c>
      <c r="K130" s="3">
        <v>51</v>
      </c>
      <c r="L130" s="3">
        <v>1400</v>
      </c>
      <c r="M130" s="4">
        <f t="shared" ref="M130:M193" si="12">IFERROR(H130/F130,0)</f>
        <v>0.94047619047619047</v>
      </c>
      <c r="N130" s="5">
        <f t="shared" ref="N130:N193" si="13">IFERROR(K130/F130*12,0)</f>
        <v>1.8214285714285712</v>
      </c>
      <c r="O130" s="3">
        <f t="shared" ref="O130:O193" si="14">F130-H130</f>
        <v>20</v>
      </c>
      <c r="P130" s="3" t="str">
        <f t="shared" ref="P130:P193" si="15">IF(N130&lt;1,"Low",IF(N130&lt;=2,"Medium","Healthy"))</f>
        <v>Medium</v>
      </c>
      <c r="Q130" s="3" t="str">
        <f t="shared" ref="Q130:Q193" si="16">IF(H130&lt;F130,"Short Supply","On Track")</f>
        <v>Short Supply</v>
      </c>
      <c r="R130" s="6">
        <f t="shared" ref="R130:R193" si="17">K130*L130</f>
        <v>71400</v>
      </c>
    </row>
    <row r="131" spans="1:18" x14ac:dyDescent="0.25">
      <c r="A131" s="2">
        <v>45717</v>
      </c>
      <c r="B131" s="3" t="s">
        <v>43</v>
      </c>
      <c r="C131" s="3" t="s">
        <v>44</v>
      </c>
      <c r="D131" s="3" t="s">
        <v>33</v>
      </c>
      <c r="E131" s="3" t="s">
        <v>34</v>
      </c>
      <c r="F131" s="3">
        <v>432</v>
      </c>
      <c r="G131" s="3">
        <v>432</v>
      </c>
      <c r="H131" s="3">
        <v>433</v>
      </c>
      <c r="I131" s="3">
        <v>457</v>
      </c>
      <c r="J131" s="3">
        <v>82</v>
      </c>
      <c r="K131" s="3">
        <v>83</v>
      </c>
      <c r="L131" s="3">
        <v>1400</v>
      </c>
      <c r="M131" s="4">
        <f t="shared" si="12"/>
        <v>1.0023148148148149</v>
      </c>
      <c r="N131" s="5">
        <f t="shared" si="13"/>
        <v>2.3055555555555554</v>
      </c>
      <c r="O131" s="3">
        <f t="shared" si="14"/>
        <v>-1</v>
      </c>
      <c r="P131" s="3" t="str">
        <f t="shared" si="15"/>
        <v>Healthy</v>
      </c>
      <c r="Q131" s="3" t="str">
        <f t="shared" si="16"/>
        <v>On Track</v>
      </c>
      <c r="R131" s="6">
        <f t="shared" si="17"/>
        <v>116200</v>
      </c>
    </row>
    <row r="132" spans="1:18" x14ac:dyDescent="0.25">
      <c r="A132" s="2">
        <v>45717</v>
      </c>
      <c r="B132" s="3" t="s">
        <v>45</v>
      </c>
      <c r="C132" s="3" t="s">
        <v>46</v>
      </c>
      <c r="D132" s="3" t="s">
        <v>26</v>
      </c>
      <c r="E132" s="3" t="s">
        <v>34</v>
      </c>
      <c r="F132" s="3">
        <v>514</v>
      </c>
      <c r="G132" s="3">
        <v>549</v>
      </c>
      <c r="H132" s="3">
        <v>503</v>
      </c>
      <c r="I132" s="3">
        <v>473</v>
      </c>
      <c r="J132" s="3">
        <v>118</v>
      </c>
      <c r="K132" s="3">
        <v>107</v>
      </c>
      <c r="L132" s="3">
        <v>1500</v>
      </c>
      <c r="M132" s="4">
        <f t="shared" si="12"/>
        <v>0.97859922178988323</v>
      </c>
      <c r="N132" s="5">
        <f t="shared" si="13"/>
        <v>2.4980544747081712</v>
      </c>
      <c r="O132" s="3">
        <f t="shared" si="14"/>
        <v>11</v>
      </c>
      <c r="P132" s="3" t="str">
        <f t="shared" si="15"/>
        <v>Healthy</v>
      </c>
      <c r="Q132" s="3" t="str">
        <f t="shared" si="16"/>
        <v>Short Supply</v>
      </c>
      <c r="R132" s="6">
        <f t="shared" si="17"/>
        <v>160500</v>
      </c>
    </row>
    <row r="133" spans="1:18" x14ac:dyDescent="0.25">
      <c r="A133" s="2">
        <v>45717</v>
      </c>
      <c r="B133" s="3" t="s">
        <v>45</v>
      </c>
      <c r="C133" s="3" t="s">
        <v>46</v>
      </c>
      <c r="D133" s="3" t="s">
        <v>28</v>
      </c>
      <c r="E133" s="3" t="s">
        <v>34</v>
      </c>
      <c r="F133" s="3">
        <v>466</v>
      </c>
      <c r="G133" s="3">
        <v>460</v>
      </c>
      <c r="H133" s="3">
        <v>435</v>
      </c>
      <c r="I133" s="3">
        <v>453</v>
      </c>
      <c r="J133" s="3">
        <v>121</v>
      </c>
      <c r="K133" s="3">
        <v>90</v>
      </c>
      <c r="L133" s="3">
        <v>1500</v>
      </c>
      <c r="M133" s="4">
        <f t="shared" si="12"/>
        <v>0.9334763948497854</v>
      </c>
      <c r="N133" s="5">
        <f t="shared" si="13"/>
        <v>2.3175965665236049</v>
      </c>
      <c r="O133" s="3">
        <f t="shared" si="14"/>
        <v>31</v>
      </c>
      <c r="P133" s="3" t="str">
        <f t="shared" si="15"/>
        <v>Healthy</v>
      </c>
      <c r="Q133" s="3" t="str">
        <f t="shared" si="16"/>
        <v>Short Supply</v>
      </c>
      <c r="R133" s="6">
        <f t="shared" si="17"/>
        <v>135000</v>
      </c>
    </row>
    <row r="134" spans="1:18" x14ac:dyDescent="0.25">
      <c r="A134" s="2">
        <v>45717</v>
      </c>
      <c r="B134" s="3" t="s">
        <v>45</v>
      </c>
      <c r="C134" s="3" t="s">
        <v>46</v>
      </c>
      <c r="D134" s="3" t="s">
        <v>30</v>
      </c>
      <c r="E134" s="3" t="s">
        <v>31</v>
      </c>
      <c r="F134" s="3">
        <v>307</v>
      </c>
      <c r="G134" s="3">
        <v>293</v>
      </c>
      <c r="H134" s="3">
        <v>265</v>
      </c>
      <c r="I134" s="3">
        <v>316</v>
      </c>
      <c r="J134" s="3">
        <v>105</v>
      </c>
      <c r="K134" s="3">
        <v>63</v>
      </c>
      <c r="L134" s="3">
        <v>1500</v>
      </c>
      <c r="M134" s="4">
        <f t="shared" si="12"/>
        <v>0.8631921824104235</v>
      </c>
      <c r="N134" s="5">
        <f t="shared" si="13"/>
        <v>2.4625407166123781</v>
      </c>
      <c r="O134" s="3">
        <f t="shared" si="14"/>
        <v>42</v>
      </c>
      <c r="P134" s="3" t="str">
        <f t="shared" si="15"/>
        <v>Healthy</v>
      </c>
      <c r="Q134" s="3" t="str">
        <f t="shared" si="16"/>
        <v>Short Supply</v>
      </c>
      <c r="R134" s="6">
        <f t="shared" si="17"/>
        <v>94500</v>
      </c>
    </row>
    <row r="135" spans="1:18" x14ac:dyDescent="0.25">
      <c r="A135" s="2">
        <v>45717</v>
      </c>
      <c r="B135" s="3" t="s">
        <v>45</v>
      </c>
      <c r="C135" s="3" t="s">
        <v>46</v>
      </c>
      <c r="D135" s="3" t="s">
        <v>32</v>
      </c>
      <c r="E135" s="3" t="s">
        <v>34</v>
      </c>
      <c r="F135" s="3">
        <v>318</v>
      </c>
      <c r="G135" s="3">
        <v>311</v>
      </c>
      <c r="H135" s="3">
        <v>287</v>
      </c>
      <c r="I135" s="3">
        <v>316</v>
      </c>
      <c r="J135" s="3">
        <v>133</v>
      </c>
      <c r="K135" s="3">
        <v>102</v>
      </c>
      <c r="L135" s="3">
        <v>1500</v>
      </c>
      <c r="M135" s="4">
        <f t="shared" si="12"/>
        <v>0.90251572327044027</v>
      </c>
      <c r="N135" s="5">
        <f t="shared" si="13"/>
        <v>3.8490566037735849</v>
      </c>
      <c r="O135" s="3">
        <f t="shared" si="14"/>
        <v>31</v>
      </c>
      <c r="P135" s="3" t="str">
        <f t="shared" si="15"/>
        <v>Healthy</v>
      </c>
      <c r="Q135" s="3" t="str">
        <f t="shared" si="16"/>
        <v>Short Supply</v>
      </c>
      <c r="R135" s="6">
        <f t="shared" si="17"/>
        <v>153000</v>
      </c>
    </row>
    <row r="136" spans="1:18" x14ac:dyDescent="0.25">
      <c r="A136" s="2">
        <v>45717</v>
      </c>
      <c r="B136" s="3" t="s">
        <v>45</v>
      </c>
      <c r="C136" s="3" t="s">
        <v>46</v>
      </c>
      <c r="D136" s="3" t="s">
        <v>33</v>
      </c>
      <c r="E136" s="3" t="s">
        <v>27</v>
      </c>
      <c r="F136" s="3">
        <v>309</v>
      </c>
      <c r="G136" s="3">
        <v>321</v>
      </c>
      <c r="H136" s="3">
        <v>319</v>
      </c>
      <c r="I136" s="3">
        <v>332</v>
      </c>
      <c r="J136" s="3">
        <v>99</v>
      </c>
      <c r="K136" s="3">
        <v>109</v>
      </c>
      <c r="L136" s="3">
        <v>1500</v>
      </c>
      <c r="M136" s="4">
        <f t="shared" si="12"/>
        <v>1.0323624595469256</v>
      </c>
      <c r="N136" s="5">
        <f t="shared" si="13"/>
        <v>4.233009708737864</v>
      </c>
      <c r="O136" s="3">
        <f t="shared" si="14"/>
        <v>-10</v>
      </c>
      <c r="P136" s="3" t="str">
        <f t="shared" si="15"/>
        <v>Healthy</v>
      </c>
      <c r="Q136" s="3" t="str">
        <f t="shared" si="16"/>
        <v>On Track</v>
      </c>
      <c r="R136" s="6">
        <f t="shared" si="17"/>
        <v>163500</v>
      </c>
    </row>
    <row r="137" spans="1:18" x14ac:dyDescent="0.25">
      <c r="A137" s="2">
        <v>45717</v>
      </c>
      <c r="B137" s="3" t="s">
        <v>47</v>
      </c>
      <c r="C137" s="3" t="s">
        <v>48</v>
      </c>
      <c r="D137" s="3" t="s">
        <v>26</v>
      </c>
      <c r="E137" s="3" t="s">
        <v>27</v>
      </c>
      <c r="F137" s="3">
        <v>503</v>
      </c>
      <c r="G137" s="3">
        <v>559</v>
      </c>
      <c r="H137" s="3">
        <v>517</v>
      </c>
      <c r="I137" s="3">
        <v>470</v>
      </c>
      <c r="J137" s="3">
        <v>127</v>
      </c>
      <c r="K137" s="3">
        <v>141</v>
      </c>
      <c r="L137" s="3">
        <v>1250</v>
      </c>
      <c r="M137" s="4">
        <f t="shared" si="12"/>
        <v>1.0278330019880715</v>
      </c>
      <c r="N137" s="5">
        <f t="shared" si="13"/>
        <v>3.3638170974155073</v>
      </c>
      <c r="O137" s="3">
        <f t="shared" si="14"/>
        <v>-14</v>
      </c>
      <c r="P137" s="3" t="str">
        <f t="shared" si="15"/>
        <v>Healthy</v>
      </c>
      <c r="Q137" s="3" t="str">
        <f t="shared" si="16"/>
        <v>On Track</v>
      </c>
      <c r="R137" s="6">
        <f t="shared" si="17"/>
        <v>176250</v>
      </c>
    </row>
    <row r="138" spans="1:18" x14ac:dyDescent="0.25">
      <c r="A138" s="2">
        <v>45717</v>
      </c>
      <c r="B138" s="3" t="s">
        <v>47</v>
      </c>
      <c r="C138" s="3" t="s">
        <v>48</v>
      </c>
      <c r="D138" s="3" t="s">
        <v>28</v>
      </c>
      <c r="E138" s="3" t="s">
        <v>31</v>
      </c>
      <c r="F138" s="3">
        <v>444</v>
      </c>
      <c r="G138" s="3">
        <v>439</v>
      </c>
      <c r="H138" s="3">
        <v>430</v>
      </c>
      <c r="I138" s="3">
        <v>437</v>
      </c>
      <c r="J138" s="3">
        <v>112</v>
      </c>
      <c r="K138" s="3">
        <v>98</v>
      </c>
      <c r="L138" s="3">
        <v>1250</v>
      </c>
      <c r="M138" s="4">
        <f t="shared" si="12"/>
        <v>0.96846846846846846</v>
      </c>
      <c r="N138" s="5">
        <f t="shared" si="13"/>
        <v>2.6486486486486487</v>
      </c>
      <c r="O138" s="3">
        <f t="shared" si="14"/>
        <v>14</v>
      </c>
      <c r="P138" s="3" t="str">
        <f t="shared" si="15"/>
        <v>Healthy</v>
      </c>
      <c r="Q138" s="3" t="str">
        <f t="shared" si="16"/>
        <v>Short Supply</v>
      </c>
      <c r="R138" s="6">
        <f t="shared" si="17"/>
        <v>122500</v>
      </c>
    </row>
    <row r="139" spans="1:18" x14ac:dyDescent="0.25">
      <c r="A139" s="2">
        <v>45717</v>
      </c>
      <c r="B139" s="3" t="s">
        <v>47</v>
      </c>
      <c r="C139" s="3" t="s">
        <v>48</v>
      </c>
      <c r="D139" s="3" t="s">
        <v>30</v>
      </c>
      <c r="E139" s="3" t="s">
        <v>27</v>
      </c>
      <c r="F139" s="3">
        <v>285</v>
      </c>
      <c r="G139" s="3">
        <v>304</v>
      </c>
      <c r="H139" s="3">
        <v>278</v>
      </c>
      <c r="I139" s="3">
        <v>290</v>
      </c>
      <c r="J139" s="3">
        <v>91</v>
      </c>
      <c r="K139" s="3">
        <v>84</v>
      </c>
      <c r="L139" s="3">
        <v>1250</v>
      </c>
      <c r="M139" s="4">
        <f t="shared" si="12"/>
        <v>0.9754385964912281</v>
      </c>
      <c r="N139" s="5">
        <f t="shared" si="13"/>
        <v>3.5368421052631573</v>
      </c>
      <c r="O139" s="3">
        <f t="shared" si="14"/>
        <v>7</v>
      </c>
      <c r="P139" s="3" t="str">
        <f t="shared" si="15"/>
        <v>Healthy</v>
      </c>
      <c r="Q139" s="3" t="str">
        <f t="shared" si="16"/>
        <v>Short Supply</v>
      </c>
      <c r="R139" s="6">
        <f t="shared" si="17"/>
        <v>105000</v>
      </c>
    </row>
    <row r="140" spans="1:18" x14ac:dyDescent="0.25">
      <c r="A140" s="2">
        <v>45717</v>
      </c>
      <c r="B140" s="3" t="s">
        <v>47</v>
      </c>
      <c r="C140" s="3" t="s">
        <v>48</v>
      </c>
      <c r="D140" s="3" t="s">
        <v>32</v>
      </c>
      <c r="E140" s="3" t="s">
        <v>34</v>
      </c>
      <c r="F140" s="3">
        <v>334</v>
      </c>
      <c r="G140" s="3">
        <v>362</v>
      </c>
      <c r="H140" s="3">
        <v>362</v>
      </c>
      <c r="I140" s="3">
        <v>327</v>
      </c>
      <c r="J140" s="3">
        <v>85</v>
      </c>
      <c r="K140" s="3">
        <v>113</v>
      </c>
      <c r="L140" s="3">
        <v>1250</v>
      </c>
      <c r="M140" s="4">
        <f t="shared" si="12"/>
        <v>1.0838323353293413</v>
      </c>
      <c r="N140" s="5">
        <f t="shared" si="13"/>
        <v>4.0598802395209583</v>
      </c>
      <c r="O140" s="3">
        <f t="shared" si="14"/>
        <v>-28</v>
      </c>
      <c r="P140" s="3" t="str">
        <f t="shared" si="15"/>
        <v>Healthy</v>
      </c>
      <c r="Q140" s="3" t="str">
        <f t="shared" si="16"/>
        <v>On Track</v>
      </c>
      <c r="R140" s="6">
        <f t="shared" si="17"/>
        <v>141250</v>
      </c>
    </row>
    <row r="141" spans="1:18" x14ac:dyDescent="0.25">
      <c r="A141" s="2">
        <v>45717</v>
      </c>
      <c r="B141" s="3" t="s">
        <v>47</v>
      </c>
      <c r="C141" s="3" t="s">
        <v>48</v>
      </c>
      <c r="D141" s="3" t="s">
        <v>33</v>
      </c>
      <c r="E141" s="3" t="s">
        <v>31</v>
      </c>
      <c r="F141" s="3">
        <v>373</v>
      </c>
      <c r="G141" s="3">
        <v>331</v>
      </c>
      <c r="H141" s="3">
        <v>294</v>
      </c>
      <c r="I141" s="3">
        <v>380</v>
      </c>
      <c r="J141" s="3">
        <v>133</v>
      </c>
      <c r="K141" s="3">
        <v>54</v>
      </c>
      <c r="L141" s="3">
        <v>1250</v>
      </c>
      <c r="M141" s="4">
        <f t="shared" si="12"/>
        <v>0.7882037533512064</v>
      </c>
      <c r="N141" s="5">
        <f t="shared" si="13"/>
        <v>1.7372654155495981</v>
      </c>
      <c r="O141" s="3">
        <f t="shared" si="14"/>
        <v>79</v>
      </c>
      <c r="P141" s="3" t="str">
        <f t="shared" si="15"/>
        <v>Medium</v>
      </c>
      <c r="Q141" s="3" t="str">
        <f t="shared" si="16"/>
        <v>Short Supply</v>
      </c>
      <c r="R141" s="6">
        <f t="shared" si="17"/>
        <v>67500</v>
      </c>
    </row>
    <row r="142" spans="1:18" x14ac:dyDescent="0.25">
      <c r="A142" s="2">
        <v>45717</v>
      </c>
      <c r="B142" s="3" t="s">
        <v>49</v>
      </c>
      <c r="C142" s="3" t="s">
        <v>50</v>
      </c>
      <c r="D142" s="3" t="s">
        <v>26</v>
      </c>
      <c r="E142" s="3" t="s">
        <v>34</v>
      </c>
      <c r="F142" s="3">
        <v>869</v>
      </c>
      <c r="G142" s="3">
        <v>855</v>
      </c>
      <c r="H142" s="3">
        <v>764</v>
      </c>
      <c r="I142" s="3">
        <v>887</v>
      </c>
      <c r="J142" s="3">
        <v>129</v>
      </c>
      <c r="K142" s="3">
        <v>24</v>
      </c>
      <c r="L142" s="3">
        <v>1750</v>
      </c>
      <c r="M142" s="4">
        <f t="shared" si="12"/>
        <v>0.87917146144994252</v>
      </c>
      <c r="N142" s="5">
        <f t="shared" si="13"/>
        <v>0.33141542002301494</v>
      </c>
      <c r="O142" s="3">
        <f t="shared" si="14"/>
        <v>105</v>
      </c>
      <c r="P142" s="3" t="str">
        <f t="shared" si="15"/>
        <v>Low</v>
      </c>
      <c r="Q142" s="3" t="str">
        <f t="shared" si="16"/>
        <v>Short Supply</v>
      </c>
      <c r="R142" s="6">
        <f t="shared" si="17"/>
        <v>42000</v>
      </c>
    </row>
    <row r="143" spans="1:18" x14ac:dyDescent="0.25">
      <c r="A143" s="2">
        <v>45717</v>
      </c>
      <c r="B143" s="3" t="s">
        <v>49</v>
      </c>
      <c r="C143" s="3" t="s">
        <v>50</v>
      </c>
      <c r="D143" s="3" t="s">
        <v>28</v>
      </c>
      <c r="E143" s="3" t="s">
        <v>29</v>
      </c>
      <c r="F143" s="3">
        <v>566</v>
      </c>
      <c r="G143" s="3">
        <v>538</v>
      </c>
      <c r="H143" s="3">
        <v>475</v>
      </c>
      <c r="I143" s="3">
        <v>550</v>
      </c>
      <c r="J143" s="3">
        <v>64</v>
      </c>
      <c r="K143" s="3">
        <v>0</v>
      </c>
      <c r="L143" s="3">
        <v>1750</v>
      </c>
      <c r="M143" s="4">
        <f t="shared" si="12"/>
        <v>0.83922261484098937</v>
      </c>
      <c r="N143" s="5">
        <f t="shared" si="13"/>
        <v>0</v>
      </c>
      <c r="O143" s="3">
        <f t="shared" si="14"/>
        <v>91</v>
      </c>
      <c r="P143" s="3" t="str">
        <f t="shared" si="15"/>
        <v>Low</v>
      </c>
      <c r="Q143" s="3" t="str">
        <f t="shared" si="16"/>
        <v>Short Supply</v>
      </c>
      <c r="R143" s="6">
        <f t="shared" si="17"/>
        <v>0</v>
      </c>
    </row>
    <row r="144" spans="1:18" x14ac:dyDescent="0.25">
      <c r="A144" s="2">
        <v>45717</v>
      </c>
      <c r="B144" s="3" t="s">
        <v>49</v>
      </c>
      <c r="C144" s="3" t="s">
        <v>50</v>
      </c>
      <c r="D144" s="3" t="s">
        <v>30</v>
      </c>
      <c r="E144" s="3" t="s">
        <v>31</v>
      </c>
      <c r="F144" s="3">
        <v>450</v>
      </c>
      <c r="G144" s="3">
        <v>411</v>
      </c>
      <c r="H144" s="3">
        <v>392</v>
      </c>
      <c r="I144" s="3">
        <v>454</v>
      </c>
      <c r="J144" s="3">
        <v>123</v>
      </c>
      <c r="K144" s="3">
        <v>65</v>
      </c>
      <c r="L144" s="3">
        <v>1750</v>
      </c>
      <c r="M144" s="4">
        <f t="shared" si="12"/>
        <v>0.87111111111111106</v>
      </c>
      <c r="N144" s="5">
        <f t="shared" si="13"/>
        <v>1.7333333333333332</v>
      </c>
      <c r="O144" s="3">
        <f t="shared" si="14"/>
        <v>58</v>
      </c>
      <c r="P144" s="3" t="str">
        <f t="shared" si="15"/>
        <v>Medium</v>
      </c>
      <c r="Q144" s="3" t="str">
        <f t="shared" si="16"/>
        <v>Short Supply</v>
      </c>
      <c r="R144" s="6">
        <f t="shared" si="17"/>
        <v>113750</v>
      </c>
    </row>
    <row r="145" spans="1:18" x14ac:dyDescent="0.25">
      <c r="A145" s="2">
        <v>45717</v>
      </c>
      <c r="B145" s="3" t="s">
        <v>49</v>
      </c>
      <c r="C145" s="3" t="s">
        <v>50</v>
      </c>
      <c r="D145" s="3" t="s">
        <v>32</v>
      </c>
      <c r="E145" s="3" t="s">
        <v>31</v>
      </c>
      <c r="F145" s="3">
        <v>389</v>
      </c>
      <c r="G145" s="3">
        <v>399</v>
      </c>
      <c r="H145" s="3">
        <v>372</v>
      </c>
      <c r="I145" s="3">
        <v>400</v>
      </c>
      <c r="J145" s="3">
        <v>99</v>
      </c>
      <c r="K145" s="3">
        <v>82</v>
      </c>
      <c r="L145" s="3">
        <v>1750</v>
      </c>
      <c r="M145" s="4">
        <f t="shared" si="12"/>
        <v>0.95629820051413883</v>
      </c>
      <c r="N145" s="5">
        <f t="shared" si="13"/>
        <v>2.5295629820051415</v>
      </c>
      <c r="O145" s="3">
        <f t="shared" si="14"/>
        <v>17</v>
      </c>
      <c r="P145" s="3" t="str">
        <f t="shared" si="15"/>
        <v>Healthy</v>
      </c>
      <c r="Q145" s="3" t="str">
        <f t="shared" si="16"/>
        <v>Short Supply</v>
      </c>
      <c r="R145" s="6">
        <f t="shared" si="17"/>
        <v>143500</v>
      </c>
    </row>
    <row r="146" spans="1:18" x14ac:dyDescent="0.25">
      <c r="A146" s="2">
        <v>45717</v>
      </c>
      <c r="B146" s="3" t="s">
        <v>49</v>
      </c>
      <c r="C146" s="3" t="s">
        <v>50</v>
      </c>
      <c r="D146" s="3" t="s">
        <v>33</v>
      </c>
      <c r="E146" s="3" t="s">
        <v>34</v>
      </c>
      <c r="F146" s="3">
        <v>441</v>
      </c>
      <c r="G146" s="3">
        <v>455</v>
      </c>
      <c r="H146" s="3">
        <v>429</v>
      </c>
      <c r="I146" s="3">
        <v>452</v>
      </c>
      <c r="J146" s="3">
        <v>131</v>
      </c>
      <c r="K146" s="3">
        <v>119</v>
      </c>
      <c r="L146" s="3">
        <v>1750</v>
      </c>
      <c r="M146" s="4">
        <f t="shared" si="12"/>
        <v>0.97278911564625847</v>
      </c>
      <c r="N146" s="5">
        <f t="shared" si="13"/>
        <v>3.2380952380952381</v>
      </c>
      <c r="O146" s="3">
        <f t="shared" si="14"/>
        <v>12</v>
      </c>
      <c r="P146" s="3" t="str">
        <f t="shared" si="15"/>
        <v>Healthy</v>
      </c>
      <c r="Q146" s="3" t="str">
        <f t="shared" si="16"/>
        <v>Short Supply</v>
      </c>
      <c r="R146" s="6">
        <f t="shared" si="17"/>
        <v>208250</v>
      </c>
    </row>
    <row r="147" spans="1:18" x14ac:dyDescent="0.25">
      <c r="A147" s="2">
        <v>45717</v>
      </c>
      <c r="B147" s="3" t="s">
        <v>51</v>
      </c>
      <c r="C147" s="3" t="s">
        <v>36</v>
      </c>
      <c r="D147" s="3" t="s">
        <v>26</v>
      </c>
      <c r="E147" s="3" t="s">
        <v>29</v>
      </c>
      <c r="F147" s="3">
        <v>695</v>
      </c>
      <c r="G147" s="3">
        <v>724</v>
      </c>
      <c r="H147" s="3">
        <v>653</v>
      </c>
      <c r="I147" s="3">
        <v>688</v>
      </c>
      <c r="J147" s="3">
        <v>87</v>
      </c>
      <c r="K147" s="3">
        <v>45</v>
      </c>
      <c r="L147" s="3">
        <v>1450</v>
      </c>
      <c r="M147" s="4">
        <f t="shared" si="12"/>
        <v>0.93956834532374101</v>
      </c>
      <c r="N147" s="5">
        <f t="shared" si="13"/>
        <v>0.7769784172661871</v>
      </c>
      <c r="O147" s="3">
        <f t="shared" si="14"/>
        <v>42</v>
      </c>
      <c r="P147" s="3" t="str">
        <f t="shared" si="15"/>
        <v>Low</v>
      </c>
      <c r="Q147" s="3" t="str">
        <f t="shared" si="16"/>
        <v>Short Supply</v>
      </c>
      <c r="R147" s="6">
        <f t="shared" si="17"/>
        <v>65250</v>
      </c>
    </row>
    <row r="148" spans="1:18" x14ac:dyDescent="0.25">
      <c r="A148" s="2">
        <v>45717</v>
      </c>
      <c r="B148" s="3" t="s">
        <v>51</v>
      </c>
      <c r="C148" s="3" t="s">
        <v>36</v>
      </c>
      <c r="D148" s="3" t="s">
        <v>28</v>
      </c>
      <c r="E148" s="3" t="s">
        <v>34</v>
      </c>
      <c r="F148" s="3">
        <v>503</v>
      </c>
      <c r="G148" s="3">
        <v>493</v>
      </c>
      <c r="H148" s="3">
        <v>451</v>
      </c>
      <c r="I148" s="3">
        <v>530</v>
      </c>
      <c r="J148" s="3">
        <v>75</v>
      </c>
      <c r="K148" s="3">
        <v>23</v>
      </c>
      <c r="L148" s="3">
        <v>1450</v>
      </c>
      <c r="M148" s="4">
        <f t="shared" si="12"/>
        <v>0.89662027833001989</v>
      </c>
      <c r="N148" s="5">
        <f t="shared" si="13"/>
        <v>0.54870775347912526</v>
      </c>
      <c r="O148" s="3">
        <f t="shared" si="14"/>
        <v>52</v>
      </c>
      <c r="P148" s="3" t="str">
        <f t="shared" si="15"/>
        <v>Low</v>
      </c>
      <c r="Q148" s="3" t="str">
        <f t="shared" si="16"/>
        <v>Short Supply</v>
      </c>
      <c r="R148" s="6">
        <f t="shared" si="17"/>
        <v>33350</v>
      </c>
    </row>
    <row r="149" spans="1:18" x14ac:dyDescent="0.25">
      <c r="A149" s="2">
        <v>45717</v>
      </c>
      <c r="B149" s="3" t="s">
        <v>51</v>
      </c>
      <c r="C149" s="3" t="s">
        <v>36</v>
      </c>
      <c r="D149" s="3" t="s">
        <v>30</v>
      </c>
      <c r="E149" s="3" t="s">
        <v>29</v>
      </c>
      <c r="F149" s="3">
        <v>396</v>
      </c>
      <c r="G149" s="3">
        <v>358</v>
      </c>
      <c r="H149" s="3">
        <v>334</v>
      </c>
      <c r="I149" s="3">
        <v>387</v>
      </c>
      <c r="J149" s="3">
        <v>83</v>
      </c>
      <c r="K149" s="3">
        <v>21</v>
      </c>
      <c r="L149" s="3">
        <v>1450</v>
      </c>
      <c r="M149" s="4">
        <f t="shared" si="12"/>
        <v>0.84343434343434343</v>
      </c>
      <c r="N149" s="5">
        <f t="shared" si="13"/>
        <v>0.63636363636363635</v>
      </c>
      <c r="O149" s="3">
        <f t="shared" si="14"/>
        <v>62</v>
      </c>
      <c r="P149" s="3" t="str">
        <f t="shared" si="15"/>
        <v>Low</v>
      </c>
      <c r="Q149" s="3" t="str">
        <f t="shared" si="16"/>
        <v>Short Supply</v>
      </c>
      <c r="R149" s="6">
        <f t="shared" si="17"/>
        <v>30450</v>
      </c>
    </row>
    <row r="150" spans="1:18" x14ac:dyDescent="0.25">
      <c r="A150" s="2">
        <v>45717</v>
      </c>
      <c r="B150" s="3" t="s">
        <v>51</v>
      </c>
      <c r="C150" s="3" t="s">
        <v>36</v>
      </c>
      <c r="D150" s="3" t="s">
        <v>32</v>
      </c>
      <c r="E150" s="3" t="s">
        <v>27</v>
      </c>
      <c r="F150" s="3">
        <v>283</v>
      </c>
      <c r="G150" s="3">
        <v>305</v>
      </c>
      <c r="H150" s="3">
        <v>285</v>
      </c>
      <c r="I150" s="3">
        <v>260</v>
      </c>
      <c r="J150" s="3">
        <v>129</v>
      </c>
      <c r="K150" s="3">
        <v>131</v>
      </c>
      <c r="L150" s="3">
        <v>1450</v>
      </c>
      <c r="M150" s="4">
        <f t="shared" si="12"/>
        <v>1.0070671378091873</v>
      </c>
      <c r="N150" s="5">
        <f t="shared" si="13"/>
        <v>5.5547703180212018</v>
      </c>
      <c r="O150" s="3">
        <f t="shared" si="14"/>
        <v>-2</v>
      </c>
      <c r="P150" s="3" t="str">
        <f t="shared" si="15"/>
        <v>Healthy</v>
      </c>
      <c r="Q150" s="3" t="str">
        <f t="shared" si="16"/>
        <v>On Track</v>
      </c>
      <c r="R150" s="6">
        <f t="shared" si="17"/>
        <v>189950</v>
      </c>
    </row>
    <row r="151" spans="1:18" x14ac:dyDescent="0.25">
      <c r="A151" s="2">
        <v>45717</v>
      </c>
      <c r="B151" s="3" t="s">
        <v>51</v>
      </c>
      <c r="C151" s="3" t="s">
        <v>36</v>
      </c>
      <c r="D151" s="3" t="s">
        <v>33</v>
      </c>
      <c r="E151" s="3" t="s">
        <v>31</v>
      </c>
      <c r="F151" s="3">
        <v>413</v>
      </c>
      <c r="G151" s="3">
        <v>437</v>
      </c>
      <c r="H151" s="3">
        <v>435</v>
      </c>
      <c r="I151" s="3">
        <v>439</v>
      </c>
      <c r="J151" s="3">
        <v>122</v>
      </c>
      <c r="K151" s="3">
        <v>144</v>
      </c>
      <c r="L151" s="3">
        <v>1450</v>
      </c>
      <c r="M151" s="4">
        <f t="shared" si="12"/>
        <v>1.0532687651331718</v>
      </c>
      <c r="N151" s="5">
        <f t="shared" si="13"/>
        <v>4.1840193704600477</v>
      </c>
      <c r="O151" s="3">
        <f t="shared" si="14"/>
        <v>-22</v>
      </c>
      <c r="P151" s="3" t="str">
        <f t="shared" si="15"/>
        <v>Healthy</v>
      </c>
      <c r="Q151" s="3" t="str">
        <f t="shared" si="16"/>
        <v>On Track</v>
      </c>
      <c r="R151" s="6">
        <f t="shared" si="17"/>
        <v>208800</v>
      </c>
    </row>
    <row r="152" spans="1:18" x14ac:dyDescent="0.25">
      <c r="A152" s="2">
        <v>45748</v>
      </c>
      <c r="B152" s="3" t="s">
        <v>24</v>
      </c>
      <c r="C152" s="3" t="s">
        <v>25</v>
      </c>
      <c r="D152" s="3" t="s">
        <v>26</v>
      </c>
      <c r="E152" s="3" t="s">
        <v>31</v>
      </c>
      <c r="F152" s="3">
        <v>936</v>
      </c>
      <c r="G152" s="3">
        <v>902</v>
      </c>
      <c r="H152" s="3">
        <v>874</v>
      </c>
      <c r="I152" s="3">
        <v>954</v>
      </c>
      <c r="J152" s="3">
        <v>114</v>
      </c>
      <c r="K152" s="3">
        <v>52</v>
      </c>
      <c r="L152" s="3">
        <v>1800</v>
      </c>
      <c r="M152" s="4">
        <f t="shared" si="12"/>
        <v>0.93376068376068377</v>
      </c>
      <c r="N152" s="5">
        <f t="shared" si="13"/>
        <v>0.66666666666666663</v>
      </c>
      <c r="O152" s="3">
        <f t="shared" si="14"/>
        <v>62</v>
      </c>
      <c r="P152" s="3" t="str">
        <f t="shared" si="15"/>
        <v>Low</v>
      </c>
      <c r="Q152" s="3" t="str">
        <f t="shared" si="16"/>
        <v>Short Supply</v>
      </c>
      <c r="R152" s="6">
        <f t="shared" si="17"/>
        <v>93600</v>
      </c>
    </row>
    <row r="153" spans="1:18" x14ac:dyDescent="0.25">
      <c r="A153" s="2">
        <v>45748</v>
      </c>
      <c r="B153" s="3" t="s">
        <v>24</v>
      </c>
      <c r="C153" s="3" t="s">
        <v>25</v>
      </c>
      <c r="D153" s="3" t="s">
        <v>28</v>
      </c>
      <c r="E153" s="3" t="s">
        <v>29</v>
      </c>
      <c r="F153" s="3">
        <v>732</v>
      </c>
      <c r="G153" s="3">
        <v>802</v>
      </c>
      <c r="H153" s="3">
        <v>778</v>
      </c>
      <c r="I153" s="3">
        <v>709</v>
      </c>
      <c r="J153" s="3">
        <v>95</v>
      </c>
      <c r="K153" s="3">
        <v>141</v>
      </c>
      <c r="L153" s="3">
        <v>1800</v>
      </c>
      <c r="M153" s="4">
        <f t="shared" si="12"/>
        <v>1.0628415300546448</v>
      </c>
      <c r="N153" s="5">
        <f t="shared" si="13"/>
        <v>2.3114754098360653</v>
      </c>
      <c r="O153" s="3">
        <f t="shared" si="14"/>
        <v>-46</v>
      </c>
      <c r="P153" s="3" t="str">
        <f t="shared" si="15"/>
        <v>Healthy</v>
      </c>
      <c r="Q153" s="3" t="str">
        <f t="shared" si="16"/>
        <v>On Track</v>
      </c>
      <c r="R153" s="6">
        <f t="shared" si="17"/>
        <v>253800</v>
      </c>
    </row>
    <row r="154" spans="1:18" x14ac:dyDescent="0.25">
      <c r="A154" s="2">
        <v>45748</v>
      </c>
      <c r="B154" s="3" t="s">
        <v>24</v>
      </c>
      <c r="C154" s="3" t="s">
        <v>25</v>
      </c>
      <c r="D154" s="3" t="s">
        <v>30</v>
      </c>
      <c r="E154" s="3" t="s">
        <v>31</v>
      </c>
      <c r="F154" s="3">
        <v>560</v>
      </c>
      <c r="G154" s="3">
        <v>504</v>
      </c>
      <c r="H154" s="3">
        <v>464</v>
      </c>
      <c r="I154" s="3">
        <v>582</v>
      </c>
      <c r="J154" s="3">
        <v>74</v>
      </c>
      <c r="K154" s="3">
        <v>0</v>
      </c>
      <c r="L154" s="3">
        <v>1800</v>
      </c>
      <c r="M154" s="4">
        <f t="shared" si="12"/>
        <v>0.82857142857142863</v>
      </c>
      <c r="N154" s="5">
        <f t="shared" si="13"/>
        <v>0</v>
      </c>
      <c r="O154" s="3">
        <f t="shared" si="14"/>
        <v>96</v>
      </c>
      <c r="P154" s="3" t="str">
        <f t="shared" si="15"/>
        <v>Low</v>
      </c>
      <c r="Q154" s="3" t="str">
        <f t="shared" si="16"/>
        <v>Short Supply</v>
      </c>
      <c r="R154" s="6">
        <f t="shared" si="17"/>
        <v>0</v>
      </c>
    </row>
    <row r="155" spans="1:18" x14ac:dyDescent="0.25">
      <c r="A155" s="2">
        <v>45748</v>
      </c>
      <c r="B155" s="3" t="s">
        <v>24</v>
      </c>
      <c r="C155" s="3" t="s">
        <v>25</v>
      </c>
      <c r="D155" s="3" t="s">
        <v>32</v>
      </c>
      <c r="E155" s="3" t="s">
        <v>31</v>
      </c>
      <c r="F155" s="3">
        <v>525</v>
      </c>
      <c r="G155" s="3">
        <v>572</v>
      </c>
      <c r="H155" s="3">
        <v>532</v>
      </c>
      <c r="I155" s="3">
        <v>525</v>
      </c>
      <c r="J155" s="3">
        <v>81</v>
      </c>
      <c r="K155" s="3">
        <v>88</v>
      </c>
      <c r="L155" s="3">
        <v>1800</v>
      </c>
      <c r="M155" s="4">
        <f t="shared" si="12"/>
        <v>1.0133333333333334</v>
      </c>
      <c r="N155" s="5">
        <f t="shared" si="13"/>
        <v>2.0114285714285716</v>
      </c>
      <c r="O155" s="3">
        <f t="shared" si="14"/>
        <v>-7</v>
      </c>
      <c r="P155" s="3" t="str">
        <f t="shared" si="15"/>
        <v>Healthy</v>
      </c>
      <c r="Q155" s="3" t="str">
        <f t="shared" si="16"/>
        <v>On Track</v>
      </c>
      <c r="R155" s="6">
        <f t="shared" si="17"/>
        <v>158400</v>
      </c>
    </row>
    <row r="156" spans="1:18" x14ac:dyDescent="0.25">
      <c r="A156" s="2">
        <v>45748</v>
      </c>
      <c r="B156" s="3" t="s">
        <v>24</v>
      </c>
      <c r="C156" s="3" t="s">
        <v>25</v>
      </c>
      <c r="D156" s="3" t="s">
        <v>33</v>
      </c>
      <c r="E156" s="3" t="s">
        <v>29</v>
      </c>
      <c r="F156" s="3">
        <v>498</v>
      </c>
      <c r="G156" s="3">
        <v>536</v>
      </c>
      <c r="H156" s="3">
        <v>507</v>
      </c>
      <c r="I156" s="3">
        <v>522</v>
      </c>
      <c r="J156" s="3">
        <v>119</v>
      </c>
      <c r="K156" s="3">
        <v>128</v>
      </c>
      <c r="L156" s="3">
        <v>1800</v>
      </c>
      <c r="M156" s="4">
        <f t="shared" si="12"/>
        <v>1.0180722891566265</v>
      </c>
      <c r="N156" s="5">
        <f t="shared" si="13"/>
        <v>3.0843373493975901</v>
      </c>
      <c r="O156" s="3">
        <f t="shared" si="14"/>
        <v>-9</v>
      </c>
      <c r="P156" s="3" t="str">
        <f t="shared" si="15"/>
        <v>Healthy</v>
      </c>
      <c r="Q156" s="3" t="str">
        <f t="shared" si="16"/>
        <v>On Track</v>
      </c>
      <c r="R156" s="6">
        <f t="shared" si="17"/>
        <v>230400</v>
      </c>
    </row>
    <row r="157" spans="1:18" x14ac:dyDescent="0.25">
      <c r="A157" s="2">
        <v>45748</v>
      </c>
      <c r="B157" s="3" t="s">
        <v>35</v>
      </c>
      <c r="C157" s="3" t="s">
        <v>36</v>
      </c>
      <c r="D157" s="3" t="s">
        <v>26</v>
      </c>
      <c r="E157" s="3" t="s">
        <v>34</v>
      </c>
      <c r="F157" s="3">
        <v>804</v>
      </c>
      <c r="G157" s="3">
        <v>797</v>
      </c>
      <c r="H157" s="3">
        <v>709</v>
      </c>
      <c r="I157" s="3">
        <v>836</v>
      </c>
      <c r="J157" s="3">
        <v>78</v>
      </c>
      <c r="K157" s="3">
        <v>0</v>
      </c>
      <c r="L157" s="3">
        <v>1600</v>
      </c>
      <c r="M157" s="4">
        <f t="shared" si="12"/>
        <v>0.88184079601990051</v>
      </c>
      <c r="N157" s="5">
        <f t="shared" si="13"/>
        <v>0</v>
      </c>
      <c r="O157" s="3">
        <f t="shared" si="14"/>
        <v>95</v>
      </c>
      <c r="P157" s="3" t="str">
        <f t="shared" si="15"/>
        <v>Low</v>
      </c>
      <c r="Q157" s="3" t="str">
        <f t="shared" si="16"/>
        <v>Short Supply</v>
      </c>
      <c r="R157" s="6">
        <f t="shared" si="17"/>
        <v>0</v>
      </c>
    </row>
    <row r="158" spans="1:18" x14ac:dyDescent="0.25">
      <c r="A158" s="2">
        <v>45748</v>
      </c>
      <c r="B158" s="3" t="s">
        <v>35</v>
      </c>
      <c r="C158" s="3" t="s">
        <v>36</v>
      </c>
      <c r="D158" s="3" t="s">
        <v>28</v>
      </c>
      <c r="E158" s="3" t="s">
        <v>27</v>
      </c>
      <c r="F158" s="3">
        <v>653</v>
      </c>
      <c r="G158" s="3">
        <v>700</v>
      </c>
      <c r="H158" s="3">
        <v>651</v>
      </c>
      <c r="I158" s="3">
        <v>683</v>
      </c>
      <c r="J158" s="3">
        <v>61</v>
      </c>
      <c r="K158" s="3">
        <v>59</v>
      </c>
      <c r="L158" s="3">
        <v>1600</v>
      </c>
      <c r="M158" s="4">
        <f t="shared" si="12"/>
        <v>0.99693721286370596</v>
      </c>
      <c r="N158" s="5">
        <f t="shared" si="13"/>
        <v>1.0842266462480856</v>
      </c>
      <c r="O158" s="3">
        <f t="shared" si="14"/>
        <v>2</v>
      </c>
      <c r="P158" s="3" t="str">
        <f t="shared" si="15"/>
        <v>Medium</v>
      </c>
      <c r="Q158" s="3" t="str">
        <f t="shared" si="16"/>
        <v>Short Supply</v>
      </c>
      <c r="R158" s="6">
        <f t="shared" si="17"/>
        <v>94400</v>
      </c>
    </row>
    <row r="159" spans="1:18" x14ac:dyDescent="0.25">
      <c r="A159" s="2">
        <v>45748</v>
      </c>
      <c r="B159" s="3" t="s">
        <v>35</v>
      </c>
      <c r="C159" s="3" t="s">
        <v>36</v>
      </c>
      <c r="D159" s="3" t="s">
        <v>30</v>
      </c>
      <c r="E159" s="3" t="s">
        <v>29</v>
      </c>
      <c r="F159" s="3">
        <v>420</v>
      </c>
      <c r="G159" s="3">
        <v>437</v>
      </c>
      <c r="H159" s="3">
        <v>425</v>
      </c>
      <c r="I159" s="3">
        <v>425</v>
      </c>
      <c r="J159" s="3">
        <v>125</v>
      </c>
      <c r="K159" s="3">
        <v>130</v>
      </c>
      <c r="L159" s="3">
        <v>1600</v>
      </c>
      <c r="M159" s="4">
        <f t="shared" si="12"/>
        <v>1.0119047619047619</v>
      </c>
      <c r="N159" s="5">
        <f t="shared" si="13"/>
        <v>3.7142857142857144</v>
      </c>
      <c r="O159" s="3">
        <f t="shared" si="14"/>
        <v>-5</v>
      </c>
      <c r="P159" s="3" t="str">
        <f t="shared" si="15"/>
        <v>Healthy</v>
      </c>
      <c r="Q159" s="3" t="str">
        <f t="shared" si="16"/>
        <v>On Track</v>
      </c>
      <c r="R159" s="6">
        <f t="shared" si="17"/>
        <v>208000</v>
      </c>
    </row>
    <row r="160" spans="1:18" x14ac:dyDescent="0.25">
      <c r="A160" s="2">
        <v>45748</v>
      </c>
      <c r="B160" s="3" t="s">
        <v>35</v>
      </c>
      <c r="C160" s="3" t="s">
        <v>36</v>
      </c>
      <c r="D160" s="3" t="s">
        <v>32</v>
      </c>
      <c r="E160" s="3" t="s">
        <v>31</v>
      </c>
      <c r="F160" s="3">
        <v>346</v>
      </c>
      <c r="G160" s="3">
        <v>323</v>
      </c>
      <c r="H160" s="3">
        <v>285</v>
      </c>
      <c r="I160" s="3">
        <v>367</v>
      </c>
      <c r="J160" s="3">
        <v>104</v>
      </c>
      <c r="K160" s="3">
        <v>43</v>
      </c>
      <c r="L160" s="3">
        <v>1600</v>
      </c>
      <c r="M160" s="4">
        <f t="shared" si="12"/>
        <v>0.82369942196531787</v>
      </c>
      <c r="N160" s="5">
        <f t="shared" si="13"/>
        <v>1.4913294797687859</v>
      </c>
      <c r="O160" s="3">
        <f t="shared" si="14"/>
        <v>61</v>
      </c>
      <c r="P160" s="3" t="str">
        <f t="shared" si="15"/>
        <v>Medium</v>
      </c>
      <c r="Q160" s="3" t="str">
        <f t="shared" si="16"/>
        <v>Short Supply</v>
      </c>
      <c r="R160" s="6">
        <f t="shared" si="17"/>
        <v>68800</v>
      </c>
    </row>
    <row r="161" spans="1:18" x14ac:dyDescent="0.25">
      <c r="A161" s="2">
        <v>45748</v>
      </c>
      <c r="B161" s="3" t="s">
        <v>35</v>
      </c>
      <c r="C161" s="3" t="s">
        <v>36</v>
      </c>
      <c r="D161" s="3" t="s">
        <v>33</v>
      </c>
      <c r="E161" s="3" t="s">
        <v>27</v>
      </c>
      <c r="F161" s="3">
        <v>456</v>
      </c>
      <c r="G161" s="3">
        <v>470</v>
      </c>
      <c r="H161" s="3">
        <v>444</v>
      </c>
      <c r="I161" s="3">
        <v>470</v>
      </c>
      <c r="J161" s="3">
        <v>111</v>
      </c>
      <c r="K161" s="3">
        <v>99</v>
      </c>
      <c r="L161" s="3">
        <v>1600</v>
      </c>
      <c r="M161" s="4">
        <f t="shared" si="12"/>
        <v>0.97368421052631582</v>
      </c>
      <c r="N161" s="5">
        <f t="shared" si="13"/>
        <v>2.6052631578947372</v>
      </c>
      <c r="O161" s="3">
        <f t="shared" si="14"/>
        <v>12</v>
      </c>
      <c r="P161" s="3" t="str">
        <f t="shared" si="15"/>
        <v>Healthy</v>
      </c>
      <c r="Q161" s="3" t="str">
        <f t="shared" si="16"/>
        <v>Short Supply</v>
      </c>
      <c r="R161" s="6">
        <f t="shared" si="17"/>
        <v>158400</v>
      </c>
    </row>
    <row r="162" spans="1:18" x14ac:dyDescent="0.25">
      <c r="A162" s="2">
        <v>45748</v>
      </c>
      <c r="B162" s="3" t="s">
        <v>37</v>
      </c>
      <c r="C162" s="3" t="s">
        <v>38</v>
      </c>
      <c r="D162" s="3" t="s">
        <v>26</v>
      </c>
      <c r="E162" s="3" t="s">
        <v>31</v>
      </c>
      <c r="F162" s="3">
        <v>556</v>
      </c>
      <c r="G162" s="3">
        <v>615</v>
      </c>
      <c r="H162" s="3">
        <v>567</v>
      </c>
      <c r="I162" s="3">
        <v>555</v>
      </c>
      <c r="J162" s="3">
        <v>67</v>
      </c>
      <c r="K162" s="3">
        <v>78</v>
      </c>
      <c r="L162" s="3">
        <v>1300</v>
      </c>
      <c r="M162" s="4">
        <f t="shared" si="12"/>
        <v>1.0197841726618706</v>
      </c>
      <c r="N162" s="5">
        <f t="shared" si="13"/>
        <v>1.6834532374100717</v>
      </c>
      <c r="O162" s="3">
        <f t="shared" si="14"/>
        <v>-11</v>
      </c>
      <c r="P162" s="3" t="str">
        <f t="shared" si="15"/>
        <v>Medium</v>
      </c>
      <c r="Q162" s="3" t="str">
        <f t="shared" si="16"/>
        <v>On Track</v>
      </c>
      <c r="R162" s="6">
        <f t="shared" si="17"/>
        <v>101400</v>
      </c>
    </row>
    <row r="163" spans="1:18" x14ac:dyDescent="0.25">
      <c r="A163" s="2">
        <v>45748</v>
      </c>
      <c r="B163" s="3" t="s">
        <v>37</v>
      </c>
      <c r="C163" s="3" t="s">
        <v>38</v>
      </c>
      <c r="D163" s="3" t="s">
        <v>28</v>
      </c>
      <c r="E163" s="3" t="s">
        <v>31</v>
      </c>
      <c r="F163" s="3">
        <v>468</v>
      </c>
      <c r="G163" s="3">
        <v>453</v>
      </c>
      <c r="H163" s="3">
        <v>458</v>
      </c>
      <c r="I163" s="3">
        <v>482</v>
      </c>
      <c r="J163" s="3">
        <v>103</v>
      </c>
      <c r="K163" s="3">
        <v>93</v>
      </c>
      <c r="L163" s="3">
        <v>1300</v>
      </c>
      <c r="M163" s="4">
        <f t="shared" si="12"/>
        <v>0.9786324786324786</v>
      </c>
      <c r="N163" s="5">
        <f t="shared" si="13"/>
        <v>2.3846153846153846</v>
      </c>
      <c r="O163" s="3">
        <f t="shared" si="14"/>
        <v>10</v>
      </c>
      <c r="P163" s="3" t="str">
        <f t="shared" si="15"/>
        <v>Healthy</v>
      </c>
      <c r="Q163" s="3" t="str">
        <f t="shared" si="16"/>
        <v>Short Supply</v>
      </c>
      <c r="R163" s="6">
        <f t="shared" si="17"/>
        <v>120900</v>
      </c>
    </row>
    <row r="164" spans="1:18" x14ac:dyDescent="0.25">
      <c r="A164" s="2">
        <v>45748</v>
      </c>
      <c r="B164" s="3" t="s">
        <v>37</v>
      </c>
      <c r="C164" s="3" t="s">
        <v>38</v>
      </c>
      <c r="D164" s="3" t="s">
        <v>30</v>
      </c>
      <c r="E164" s="3" t="s">
        <v>29</v>
      </c>
      <c r="F164" s="3">
        <v>402</v>
      </c>
      <c r="G164" s="3">
        <v>416</v>
      </c>
      <c r="H164" s="3">
        <v>414</v>
      </c>
      <c r="I164" s="3">
        <v>409</v>
      </c>
      <c r="J164" s="3">
        <v>135</v>
      </c>
      <c r="K164" s="3">
        <v>147</v>
      </c>
      <c r="L164" s="3">
        <v>1300</v>
      </c>
      <c r="M164" s="4">
        <f t="shared" si="12"/>
        <v>1.0298507462686568</v>
      </c>
      <c r="N164" s="5">
        <f t="shared" si="13"/>
        <v>4.3880597014925371</v>
      </c>
      <c r="O164" s="3">
        <f t="shared" si="14"/>
        <v>-12</v>
      </c>
      <c r="P164" s="3" t="str">
        <f t="shared" si="15"/>
        <v>Healthy</v>
      </c>
      <c r="Q164" s="3" t="str">
        <f t="shared" si="16"/>
        <v>On Track</v>
      </c>
      <c r="R164" s="6">
        <f t="shared" si="17"/>
        <v>191100</v>
      </c>
    </row>
    <row r="165" spans="1:18" x14ac:dyDescent="0.25">
      <c r="A165" s="2">
        <v>45748</v>
      </c>
      <c r="B165" s="3" t="s">
        <v>37</v>
      </c>
      <c r="C165" s="3" t="s">
        <v>38</v>
      </c>
      <c r="D165" s="3" t="s">
        <v>32</v>
      </c>
      <c r="E165" s="3" t="s">
        <v>27</v>
      </c>
      <c r="F165" s="3">
        <v>286</v>
      </c>
      <c r="G165" s="3">
        <v>277</v>
      </c>
      <c r="H165" s="3">
        <v>260</v>
      </c>
      <c r="I165" s="3">
        <v>306</v>
      </c>
      <c r="J165" s="3">
        <v>128</v>
      </c>
      <c r="K165" s="3">
        <v>102</v>
      </c>
      <c r="L165" s="3">
        <v>1300</v>
      </c>
      <c r="M165" s="4">
        <f t="shared" si="12"/>
        <v>0.90909090909090906</v>
      </c>
      <c r="N165" s="5">
        <f t="shared" si="13"/>
        <v>4.27972027972028</v>
      </c>
      <c r="O165" s="3">
        <f t="shared" si="14"/>
        <v>26</v>
      </c>
      <c r="P165" s="3" t="str">
        <f t="shared" si="15"/>
        <v>Healthy</v>
      </c>
      <c r="Q165" s="3" t="str">
        <f t="shared" si="16"/>
        <v>Short Supply</v>
      </c>
      <c r="R165" s="6">
        <f t="shared" si="17"/>
        <v>132600</v>
      </c>
    </row>
    <row r="166" spans="1:18" x14ac:dyDescent="0.25">
      <c r="A166" s="2">
        <v>45748</v>
      </c>
      <c r="B166" s="3" t="s">
        <v>37</v>
      </c>
      <c r="C166" s="3" t="s">
        <v>38</v>
      </c>
      <c r="D166" s="3" t="s">
        <v>33</v>
      </c>
      <c r="E166" s="3" t="s">
        <v>29</v>
      </c>
      <c r="F166" s="3">
        <v>422</v>
      </c>
      <c r="G166" s="3">
        <v>408</v>
      </c>
      <c r="H166" s="3">
        <v>410</v>
      </c>
      <c r="I166" s="3">
        <v>431</v>
      </c>
      <c r="J166" s="3">
        <v>64</v>
      </c>
      <c r="K166" s="3">
        <v>52</v>
      </c>
      <c r="L166" s="3">
        <v>1300</v>
      </c>
      <c r="M166" s="4">
        <f t="shared" si="12"/>
        <v>0.97156398104265407</v>
      </c>
      <c r="N166" s="5">
        <f t="shared" si="13"/>
        <v>1.4786729857819905</v>
      </c>
      <c r="O166" s="3">
        <f t="shared" si="14"/>
        <v>12</v>
      </c>
      <c r="P166" s="3" t="str">
        <f t="shared" si="15"/>
        <v>Medium</v>
      </c>
      <c r="Q166" s="3" t="str">
        <f t="shared" si="16"/>
        <v>Short Supply</v>
      </c>
      <c r="R166" s="6">
        <f t="shared" si="17"/>
        <v>67600</v>
      </c>
    </row>
    <row r="167" spans="1:18" x14ac:dyDescent="0.25">
      <c r="A167" s="2">
        <v>45748</v>
      </c>
      <c r="B167" s="3" t="s">
        <v>39</v>
      </c>
      <c r="C167" s="3" t="s">
        <v>40</v>
      </c>
      <c r="D167" s="3" t="s">
        <v>26</v>
      </c>
      <c r="E167" s="3" t="s">
        <v>27</v>
      </c>
      <c r="F167" s="3">
        <v>745</v>
      </c>
      <c r="G167" s="3">
        <v>677</v>
      </c>
      <c r="H167" s="3">
        <v>676</v>
      </c>
      <c r="I167" s="3">
        <v>739</v>
      </c>
      <c r="J167" s="3">
        <v>113</v>
      </c>
      <c r="K167" s="3">
        <v>44</v>
      </c>
      <c r="L167" s="3">
        <v>1700</v>
      </c>
      <c r="M167" s="4">
        <f t="shared" si="12"/>
        <v>0.90738255033557047</v>
      </c>
      <c r="N167" s="5">
        <f t="shared" si="13"/>
        <v>0.70872483221476512</v>
      </c>
      <c r="O167" s="3">
        <f t="shared" si="14"/>
        <v>69</v>
      </c>
      <c r="P167" s="3" t="str">
        <f t="shared" si="15"/>
        <v>Low</v>
      </c>
      <c r="Q167" s="3" t="str">
        <f t="shared" si="16"/>
        <v>Short Supply</v>
      </c>
      <c r="R167" s="6">
        <f t="shared" si="17"/>
        <v>74800</v>
      </c>
    </row>
    <row r="168" spans="1:18" x14ac:dyDescent="0.25">
      <c r="A168" s="2">
        <v>45748</v>
      </c>
      <c r="B168" s="3" t="s">
        <v>39</v>
      </c>
      <c r="C168" s="3" t="s">
        <v>40</v>
      </c>
      <c r="D168" s="3" t="s">
        <v>28</v>
      </c>
      <c r="E168" s="3" t="s">
        <v>31</v>
      </c>
      <c r="F168" s="3">
        <v>553</v>
      </c>
      <c r="G168" s="3">
        <v>530</v>
      </c>
      <c r="H168" s="3">
        <v>539</v>
      </c>
      <c r="I168" s="3">
        <v>578</v>
      </c>
      <c r="J168" s="3">
        <v>76</v>
      </c>
      <c r="K168" s="3">
        <v>62</v>
      </c>
      <c r="L168" s="3">
        <v>1700</v>
      </c>
      <c r="M168" s="4">
        <f t="shared" si="12"/>
        <v>0.97468354430379744</v>
      </c>
      <c r="N168" s="5">
        <f t="shared" si="13"/>
        <v>1.345388788426763</v>
      </c>
      <c r="O168" s="3">
        <f t="shared" si="14"/>
        <v>14</v>
      </c>
      <c r="P168" s="3" t="str">
        <f t="shared" si="15"/>
        <v>Medium</v>
      </c>
      <c r="Q168" s="3" t="str">
        <f t="shared" si="16"/>
        <v>Short Supply</v>
      </c>
      <c r="R168" s="6">
        <f t="shared" si="17"/>
        <v>105400</v>
      </c>
    </row>
    <row r="169" spans="1:18" x14ac:dyDescent="0.25">
      <c r="A169" s="2">
        <v>45748</v>
      </c>
      <c r="B169" s="3" t="s">
        <v>39</v>
      </c>
      <c r="C169" s="3" t="s">
        <v>40</v>
      </c>
      <c r="D169" s="3" t="s">
        <v>30</v>
      </c>
      <c r="E169" s="3" t="s">
        <v>27</v>
      </c>
      <c r="F169" s="3">
        <v>487</v>
      </c>
      <c r="G169" s="3">
        <v>523</v>
      </c>
      <c r="H169" s="3">
        <v>477</v>
      </c>
      <c r="I169" s="3">
        <v>508</v>
      </c>
      <c r="J169" s="3">
        <v>123</v>
      </c>
      <c r="K169" s="3">
        <v>113</v>
      </c>
      <c r="L169" s="3">
        <v>1700</v>
      </c>
      <c r="M169" s="4">
        <f t="shared" si="12"/>
        <v>0.97946611909650927</v>
      </c>
      <c r="N169" s="5">
        <f t="shared" si="13"/>
        <v>2.7843942505133468</v>
      </c>
      <c r="O169" s="3">
        <f t="shared" si="14"/>
        <v>10</v>
      </c>
      <c r="P169" s="3" t="str">
        <f t="shared" si="15"/>
        <v>Healthy</v>
      </c>
      <c r="Q169" s="3" t="str">
        <f t="shared" si="16"/>
        <v>Short Supply</v>
      </c>
      <c r="R169" s="6">
        <f t="shared" si="17"/>
        <v>192100</v>
      </c>
    </row>
    <row r="170" spans="1:18" x14ac:dyDescent="0.25">
      <c r="A170" s="2">
        <v>45748</v>
      </c>
      <c r="B170" s="3" t="s">
        <v>39</v>
      </c>
      <c r="C170" s="3" t="s">
        <v>40</v>
      </c>
      <c r="D170" s="3" t="s">
        <v>32</v>
      </c>
      <c r="E170" s="3" t="s">
        <v>27</v>
      </c>
      <c r="F170" s="3">
        <v>409</v>
      </c>
      <c r="G170" s="3">
        <v>456</v>
      </c>
      <c r="H170" s="3">
        <v>464</v>
      </c>
      <c r="I170" s="3">
        <v>411</v>
      </c>
      <c r="J170" s="3">
        <v>123</v>
      </c>
      <c r="K170" s="3">
        <v>178</v>
      </c>
      <c r="L170" s="3">
        <v>1700</v>
      </c>
      <c r="M170" s="4">
        <f t="shared" si="12"/>
        <v>1.1344743276283618</v>
      </c>
      <c r="N170" s="5">
        <f t="shared" si="13"/>
        <v>5.2224938875305629</v>
      </c>
      <c r="O170" s="3">
        <f t="shared" si="14"/>
        <v>-55</v>
      </c>
      <c r="P170" s="3" t="str">
        <f t="shared" si="15"/>
        <v>Healthy</v>
      </c>
      <c r="Q170" s="3" t="str">
        <f t="shared" si="16"/>
        <v>On Track</v>
      </c>
      <c r="R170" s="6">
        <f t="shared" si="17"/>
        <v>302600</v>
      </c>
    </row>
    <row r="171" spans="1:18" x14ac:dyDescent="0.25">
      <c r="A171" s="2">
        <v>45748</v>
      </c>
      <c r="B171" s="3" t="s">
        <v>39</v>
      </c>
      <c r="C171" s="3" t="s">
        <v>40</v>
      </c>
      <c r="D171" s="3" t="s">
        <v>33</v>
      </c>
      <c r="E171" s="3" t="s">
        <v>29</v>
      </c>
      <c r="F171" s="3">
        <v>510</v>
      </c>
      <c r="G171" s="3">
        <v>451</v>
      </c>
      <c r="H171" s="3">
        <v>397</v>
      </c>
      <c r="I171" s="3">
        <v>533</v>
      </c>
      <c r="J171" s="3">
        <v>79</v>
      </c>
      <c r="K171" s="3">
        <v>0</v>
      </c>
      <c r="L171" s="3">
        <v>1700</v>
      </c>
      <c r="M171" s="4">
        <f t="shared" si="12"/>
        <v>0.77843137254901962</v>
      </c>
      <c r="N171" s="5">
        <f t="shared" si="13"/>
        <v>0</v>
      </c>
      <c r="O171" s="3">
        <f t="shared" si="14"/>
        <v>113</v>
      </c>
      <c r="P171" s="3" t="str">
        <f t="shared" si="15"/>
        <v>Low</v>
      </c>
      <c r="Q171" s="3" t="str">
        <f t="shared" si="16"/>
        <v>Short Supply</v>
      </c>
      <c r="R171" s="6">
        <f t="shared" si="17"/>
        <v>0</v>
      </c>
    </row>
    <row r="172" spans="1:18" x14ac:dyDescent="0.25">
      <c r="A172" s="2">
        <v>45748</v>
      </c>
      <c r="B172" s="3" t="s">
        <v>41</v>
      </c>
      <c r="C172" s="3" t="s">
        <v>42</v>
      </c>
      <c r="D172" s="3" t="s">
        <v>26</v>
      </c>
      <c r="E172" s="3" t="s">
        <v>27</v>
      </c>
      <c r="F172" s="3">
        <v>436</v>
      </c>
      <c r="G172" s="3">
        <v>411</v>
      </c>
      <c r="H172" s="3">
        <v>368</v>
      </c>
      <c r="I172" s="3">
        <v>430</v>
      </c>
      <c r="J172" s="3">
        <v>69</v>
      </c>
      <c r="K172" s="3">
        <v>1</v>
      </c>
      <c r="L172" s="3">
        <v>1200</v>
      </c>
      <c r="M172" s="4">
        <f t="shared" si="12"/>
        <v>0.84403669724770647</v>
      </c>
      <c r="N172" s="5">
        <f t="shared" si="13"/>
        <v>2.7522935779816515E-2</v>
      </c>
      <c r="O172" s="3">
        <f t="shared" si="14"/>
        <v>68</v>
      </c>
      <c r="P172" s="3" t="str">
        <f t="shared" si="15"/>
        <v>Low</v>
      </c>
      <c r="Q172" s="3" t="str">
        <f t="shared" si="16"/>
        <v>Short Supply</v>
      </c>
      <c r="R172" s="6">
        <f t="shared" si="17"/>
        <v>1200</v>
      </c>
    </row>
    <row r="173" spans="1:18" x14ac:dyDescent="0.25">
      <c r="A173" s="2">
        <v>45748</v>
      </c>
      <c r="B173" s="3" t="s">
        <v>41</v>
      </c>
      <c r="C173" s="3" t="s">
        <v>42</v>
      </c>
      <c r="D173" s="3" t="s">
        <v>28</v>
      </c>
      <c r="E173" s="3" t="s">
        <v>27</v>
      </c>
      <c r="F173" s="3">
        <v>394</v>
      </c>
      <c r="G173" s="3">
        <v>420</v>
      </c>
      <c r="H173" s="3">
        <v>399</v>
      </c>
      <c r="I173" s="3">
        <v>369</v>
      </c>
      <c r="J173" s="3">
        <v>100</v>
      </c>
      <c r="K173" s="3">
        <v>105</v>
      </c>
      <c r="L173" s="3">
        <v>1200</v>
      </c>
      <c r="M173" s="4">
        <f t="shared" si="12"/>
        <v>1.0126903553299493</v>
      </c>
      <c r="N173" s="5">
        <f t="shared" si="13"/>
        <v>3.1979695431472086</v>
      </c>
      <c r="O173" s="3">
        <f t="shared" si="14"/>
        <v>-5</v>
      </c>
      <c r="P173" s="3" t="str">
        <f t="shared" si="15"/>
        <v>Healthy</v>
      </c>
      <c r="Q173" s="3" t="str">
        <f t="shared" si="16"/>
        <v>On Track</v>
      </c>
      <c r="R173" s="6">
        <f t="shared" si="17"/>
        <v>126000</v>
      </c>
    </row>
    <row r="174" spans="1:18" x14ac:dyDescent="0.25">
      <c r="A174" s="2">
        <v>45748</v>
      </c>
      <c r="B174" s="3" t="s">
        <v>41</v>
      </c>
      <c r="C174" s="3" t="s">
        <v>42</v>
      </c>
      <c r="D174" s="3" t="s">
        <v>30</v>
      </c>
      <c r="E174" s="3" t="s">
        <v>27</v>
      </c>
      <c r="F174" s="3">
        <v>314</v>
      </c>
      <c r="G174" s="3">
        <v>344</v>
      </c>
      <c r="H174" s="3">
        <v>334</v>
      </c>
      <c r="I174" s="3">
        <v>304</v>
      </c>
      <c r="J174" s="3">
        <v>111</v>
      </c>
      <c r="K174" s="3">
        <v>131</v>
      </c>
      <c r="L174" s="3">
        <v>1200</v>
      </c>
      <c r="M174" s="4">
        <f t="shared" si="12"/>
        <v>1.0636942675159236</v>
      </c>
      <c r="N174" s="5">
        <f t="shared" si="13"/>
        <v>5.0063694267515926</v>
      </c>
      <c r="O174" s="3">
        <f t="shared" si="14"/>
        <v>-20</v>
      </c>
      <c r="P174" s="3" t="str">
        <f t="shared" si="15"/>
        <v>Healthy</v>
      </c>
      <c r="Q174" s="3" t="str">
        <f t="shared" si="16"/>
        <v>On Track</v>
      </c>
      <c r="R174" s="6">
        <f t="shared" si="17"/>
        <v>157200</v>
      </c>
    </row>
    <row r="175" spans="1:18" x14ac:dyDescent="0.25">
      <c r="A175" s="2">
        <v>45748</v>
      </c>
      <c r="B175" s="3" t="s">
        <v>41</v>
      </c>
      <c r="C175" s="3" t="s">
        <v>42</v>
      </c>
      <c r="D175" s="3" t="s">
        <v>32</v>
      </c>
      <c r="E175" s="3" t="s">
        <v>34</v>
      </c>
      <c r="F175" s="3">
        <v>236</v>
      </c>
      <c r="G175" s="3">
        <v>234</v>
      </c>
      <c r="H175" s="3">
        <v>219</v>
      </c>
      <c r="I175" s="3">
        <v>243</v>
      </c>
      <c r="J175" s="3">
        <v>99</v>
      </c>
      <c r="K175" s="3">
        <v>82</v>
      </c>
      <c r="L175" s="3">
        <v>1200</v>
      </c>
      <c r="M175" s="4">
        <f t="shared" si="12"/>
        <v>0.92796610169491522</v>
      </c>
      <c r="N175" s="5">
        <f t="shared" si="13"/>
        <v>4.1694915254237293</v>
      </c>
      <c r="O175" s="3">
        <f t="shared" si="14"/>
        <v>17</v>
      </c>
      <c r="P175" s="3" t="str">
        <f t="shared" si="15"/>
        <v>Healthy</v>
      </c>
      <c r="Q175" s="3" t="str">
        <f t="shared" si="16"/>
        <v>Short Supply</v>
      </c>
      <c r="R175" s="6">
        <f t="shared" si="17"/>
        <v>98400</v>
      </c>
    </row>
    <row r="176" spans="1:18" x14ac:dyDescent="0.25">
      <c r="A176" s="2">
        <v>45748</v>
      </c>
      <c r="B176" s="3" t="s">
        <v>41</v>
      </c>
      <c r="C176" s="3" t="s">
        <v>42</v>
      </c>
      <c r="D176" s="3" t="s">
        <v>33</v>
      </c>
      <c r="E176" s="3" t="s">
        <v>29</v>
      </c>
      <c r="F176" s="3">
        <v>263</v>
      </c>
      <c r="G176" s="3">
        <v>236</v>
      </c>
      <c r="H176" s="3">
        <v>227</v>
      </c>
      <c r="I176" s="3">
        <v>244</v>
      </c>
      <c r="J176" s="3">
        <v>82</v>
      </c>
      <c r="K176" s="3">
        <v>46</v>
      </c>
      <c r="L176" s="3">
        <v>1200</v>
      </c>
      <c r="M176" s="4">
        <f t="shared" si="12"/>
        <v>0.86311787072243351</v>
      </c>
      <c r="N176" s="5">
        <f t="shared" si="13"/>
        <v>2.0988593155893538</v>
      </c>
      <c r="O176" s="3">
        <f t="shared" si="14"/>
        <v>36</v>
      </c>
      <c r="P176" s="3" t="str">
        <f t="shared" si="15"/>
        <v>Healthy</v>
      </c>
      <c r="Q176" s="3" t="str">
        <f t="shared" si="16"/>
        <v>Short Supply</v>
      </c>
      <c r="R176" s="6">
        <f t="shared" si="17"/>
        <v>55200</v>
      </c>
    </row>
    <row r="177" spans="1:18" x14ac:dyDescent="0.25">
      <c r="A177" s="2">
        <v>45748</v>
      </c>
      <c r="B177" s="3" t="s">
        <v>43</v>
      </c>
      <c r="C177" s="3" t="s">
        <v>44</v>
      </c>
      <c r="D177" s="3" t="s">
        <v>26</v>
      </c>
      <c r="E177" s="3" t="s">
        <v>27</v>
      </c>
      <c r="F177" s="3">
        <v>656</v>
      </c>
      <c r="G177" s="3">
        <v>671</v>
      </c>
      <c r="H177" s="3">
        <v>618</v>
      </c>
      <c r="I177" s="3">
        <v>656</v>
      </c>
      <c r="J177" s="3">
        <v>94</v>
      </c>
      <c r="K177" s="3">
        <v>56</v>
      </c>
      <c r="L177" s="3">
        <v>1400</v>
      </c>
      <c r="M177" s="4">
        <f t="shared" si="12"/>
        <v>0.94207317073170727</v>
      </c>
      <c r="N177" s="5">
        <f t="shared" si="13"/>
        <v>1.024390243902439</v>
      </c>
      <c r="O177" s="3">
        <f t="shared" si="14"/>
        <v>38</v>
      </c>
      <c r="P177" s="3" t="str">
        <f t="shared" si="15"/>
        <v>Medium</v>
      </c>
      <c r="Q177" s="3" t="str">
        <f t="shared" si="16"/>
        <v>Short Supply</v>
      </c>
      <c r="R177" s="6">
        <f t="shared" si="17"/>
        <v>78400</v>
      </c>
    </row>
    <row r="178" spans="1:18" x14ac:dyDescent="0.25">
      <c r="A178" s="2">
        <v>45748</v>
      </c>
      <c r="B178" s="3" t="s">
        <v>43</v>
      </c>
      <c r="C178" s="3" t="s">
        <v>44</v>
      </c>
      <c r="D178" s="3" t="s">
        <v>28</v>
      </c>
      <c r="E178" s="3" t="s">
        <v>34</v>
      </c>
      <c r="F178" s="3">
        <v>585</v>
      </c>
      <c r="G178" s="3">
        <v>606</v>
      </c>
      <c r="H178" s="3">
        <v>598</v>
      </c>
      <c r="I178" s="3">
        <v>605</v>
      </c>
      <c r="J178" s="3">
        <v>77</v>
      </c>
      <c r="K178" s="3">
        <v>90</v>
      </c>
      <c r="L178" s="3">
        <v>1400</v>
      </c>
      <c r="M178" s="4">
        <f t="shared" si="12"/>
        <v>1.0222222222222221</v>
      </c>
      <c r="N178" s="5">
        <f t="shared" si="13"/>
        <v>1.8461538461538463</v>
      </c>
      <c r="O178" s="3">
        <f t="shared" si="14"/>
        <v>-13</v>
      </c>
      <c r="P178" s="3" t="str">
        <f t="shared" si="15"/>
        <v>Medium</v>
      </c>
      <c r="Q178" s="3" t="str">
        <f t="shared" si="16"/>
        <v>On Track</v>
      </c>
      <c r="R178" s="6">
        <f t="shared" si="17"/>
        <v>126000</v>
      </c>
    </row>
    <row r="179" spans="1:18" x14ac:dyDescent="0.25">
      <c r="A179" s="2">
        <v>45748</v>
      </c>
      <c r="B179" s="3" t="s">
        <v>43</v>
      </c>
      <c r="C179" s="3" t="s">
        <v>44</v>
      </c>
      <c r="D179" s="3" t="s">
        <v>30</v>
      </c>
      <c r="E179" s="3" t="s">
        <v>29</v>
      </c>
      <c r="F179" s="3">
        <v>438</v>
      </c>
      <c r="G179" s="3">
        <v>428</v>
      </c>
      <c r="H179" s="3">
        <v>426</v>
      </c>
      <c r="I179" s="3">
        <v>430</v>
      </c>
      <c r="J179" s="3">
        <v>118</v>
      </c>
      <c r="K179" s="3">
        <v>106</v>
      </c>
      <c r="L179" s="3">
        <v>1400</v>
      </c>
      <c r="M179" s="4">
        <f t="shared" si="12"/>
        <v>0.9726027397260274</v>
      </c>
      <c r="N179" s="5">
        <f t="shared" si="13"/>
        <v>2.904109589041096</v>
      </c>
      <c r="O179" s="3">
        <f t="shared" si="14"/>
        <v>12</v>
      </c>
      <c r="P179" s="3" t="str">
        <f t="shared" si="15"/>
        <v>Healthy</v>
      </c>
      <c r="Q179" s="3" t="str">
        <f t="shared" si="16"/>
        <v>Short Supply</v>
      </c>
      <c r="R179" s="6">
        <f t="shared" si="17"/>
        <v>148400</v>
      </c>
    </row>
    <row r="180" spans="1:18" x14ac:dyDescent="0.25">
      <c r="A180" s="2">
        <v>45748</v>
      </c>
      <c r="B180" s="3" t="s">
        <v>43</v>
      </c>
      <c r="C180" s="3" t="s">
        <v>44</v>
      </c>
      <c r="D180" s="3" t="s">
        <v>32</v>
      </c>
      <c r="E180" s="3" t="s">
        <v>27</v>
      </c>
      <c r="F180" s="3">
        <v>354</v>
      </c>
      <c r="G180" s="3">
        <v>368</v>
      </c>
      <c r="H180" s="3">
        <v>343</v>
      </c>
      <c r="I180" s="3">
        <v>334</v>
      </c>
      <c r="J180" s="3">
        <v>133</v>
      </c>
      <c r="K180" s="3">
        <v>122</v>
      </c>
      <c r="L180" s="3">
        <v>1400</v>
      </c>
      <c r="M180" s="4">
        <f t="shared" si="12"/>
        <v>0.96892655367231639</v>
      </c>
      <c r="N180" s="5">
        <f t="shared" si="13"/>
        <v>4.1355932203389827</v>
      </c>
      <c r="O180" s="3">
        <f t="shared" si="14"/>
        <v>11</v>
      </c>
      <c r="P180" s="3" t="str">
        <f t="shared" si="15"/>
        <v>Healthy</v>
      </c>
      <c r="Q180" s="3" t="str">
        <f t="shared" si="16"/>
        <v>Short Supply</v>
      </c>
      <c r="R180" s="6">
        <f t="shared" si="17"/>
        <v>170800</v>
      </c>
    </row>
    <row r="181" spans="1:18" x14ac:dyDescent="0.25">
      <c r="A181" s="2">
        <v>45748</v>
      </c>
      <c r="B181" s="3" t="s">
        <v>43</v>
      </c>
      <c r="C181" s="3" t="s">
        <v>44</v>
      </c>
      <c r="D181" s="3" t="s">
        <v>33</v>
      </c>
      <c r="E181" s="3" t="s">
        <v>31</v>
      </c>
      <c r="F181" s="3">
        <v>353</v>
      </c>
      <c r="G181" s="3">
        <v>317</v>
      </c>
      <c r="H181" s="3">
        <v>298</v>
      </c>
      <c r="I181" s="3">
        <v>366</v>
      </c>
      <c r="J181" s="3">
        <v>89</v>
      </c>
      <c r="K181" s="3">
        <v>34</v>
      </c>
      <c r="L181" s="3">
        <v>1400</v>
      </c>
      <c r="M181" s="4">
        <f t="shared" si="12"/>
        <v>0.84419263456090654</v>
      </c>
      <c r="N181" s="5">
        <f t="shared" si="13"/>
        <v>1.1558073654390935</v>
      </c>
      <c r="O181" s="3">
        <f t="shared" si="14"/>
        <v>55</v>
      </c>
      <c r="P181" s="3" t="str">
        <f t="shared" si="15"/>
        <v>Medium</v>
      </c>
      <c r="Q181" s="3" t="str">
        <f t="shared" si="16"/>
        <v>Short Supply</v>
      </c>
      <c r="R181" s="6">
        <f t="shared" si="17"/>
        <v>47600</v>
      </c>
    </row>
    <row r="182" spans="1:18" x14ac:dyDescent="0.25">
      <c r="A182" s="2">
        <v>45748</v>
      </c>
      <c r="B182" s="3" t="s">
        <v>45</v>
      </c>
      <c r="C182" s="3" t="s">
        <v>46</v>
      </c>
      <c r="D182" s="3" t="s">
        <v>26</v>
      </c>
      <c r="E182" s="3" t="s">
        <v>29</v>
      </c>
      <c r="F182" s="3">
        <v>576</v>
      </c>
      <c r="G182" s="3">
        <v>587</v>
      </c>
      <c r="H182" s="3">
        <v>562</v>
      </c>
      <c r="I182" s="3">
        <v>560</v>
      </c>
      <c r="J182" s="3">
        <v>69</v>
      </c>
      <c r="K182" s="3">
        <v>55</v>
      </c>
      <c r="L182" s="3">
        <v>1500</v>
      </c>
      <c r="M182" s="4">
        <f t="shared" si="12"/>
        <v>0.97569444444444442</v>
      </c>
      <c r="N182" s="5">
        <f t="shared" si="13"/>
        <v>1.1458333333333333</v>
      </c>
      <c r="O182" s="3">
        <f t="shared" si="14"/>
        <v>14</v>
      </c>
      <c r="P182" s="3" t="str">
        <f t="shared" si="15"/>
        <v>Medium</v>
      </c>
      <c r="Q182" s="3" t="str">
        <f t="shared" si="16"/>
        <v>Short Supply</v>
      </c>
      <c r="R182" s="6">
        <f t="shared" si="17"/>
        <v>82500</v>
      </c>
    </row>
    <row r="183" spans="1:18" x14ac:dyDescent="0.25">
      <c r="A183" s="2">
        <v>45748</v>
      </c>
      <c r="B183" s="3" t="s">
        <v>45</v>
      </c>
      <c r="C183" s="3" t="s">
        <v>46</v>
      </c>
      <c r="D183" s="3" t="s">
        <v>28</v>
      </c>
      <c r="E183" s="3" t="s">
        <v>29</v>
      </c>
      <c r="F183" s="3">
        <v>490</v>
      </c>
      <c r="G183" s="3">
        <v>541</v>
      </c>
      <c r="H183" s="3">
        <v>508</v>
      </c>
      <c r="I183" s="3">
        <v>522</v>
      </c>
      <c r="J183" s="3">
        <v>64</v>
      </c>
      <c r="K183" s="3">
        <v>82</v>
      </c>
      <c r="L183" s="3">
        <v>1500</v>
      </c>
      <c r="M183" s="4">
        <f t="shared" si="12"/>
        <v>1.036734693877551</v>
      </c>
      <c r="N183" s="5">
        <f t="shared" si="13"/>
        <v>2.0081632653061225</v>
      </c>
      <c r="O183" s="3">
        <f t="shared" si="14"/>
        <v>-18</v>
      </c>
      <c r="P183" s="3" t="str">
        <f t="shared" si="15"/>
        <v>Healthy</v>
      </c>
      <c r="Q183" s="3" t="str">
        <f t="shared" si="16"/>
        <v>On Track</v>
      </c>
      <c r="R183" s="6">
        <f t="shared" si="17"/>
        <v>123000</v>
      </c>
    </row>
    <row r="184" spans="1:18" x14ac:dyDescent="0.25">
      <c r="A184" s="2">
        <v>45748</v>
      </c>
      <c r="B184" s="3" t="s">
        <v>45</v>
      </c>
      <c r="C184" s="3" t="s">
        <v>46</v>
      </c>
      <c r="D184" s="3" t="s">
        <v>30</v>
      </c>
      <c r="E184" s="3" t="s">
        <v>31</v>
      </c>
      <c r="F184" s="3">
        <v>337</v>
      </c>
      <c r="G184" s="3">
        <v>325</v>
      </c>
      <c r="H184" s="3">
        <v>312</v>
      </c>
      <c r="I184" s="3">
        <v>321</v>
      </c>
      <c r="J184" s="3">
        <v>112</v>
      </c>
      <c r="K184" s="3">
        <v>87</v>
      </c>
      <c r="L184" s="3">
        <v>1500</v>
      </c>
      <c r="M184" s="4">
        <f t="shared" si="12"/>
        <v>0.9258160237388724</v>
      </c>
      <c r="N184" s="5">
        <f t="shared" si="13"/>
        <v>3.0979228486646884</v>
      </c>
      <c r="O184" s="3">
        <f t="shared" si="14"/>
        <v>25</v>
      </c>
      <c r="P184" s="3" t="str">
        <f t="shared" si="15"/>
        <v>Healthy</v>
      </c>
      <c r="Q184" s="3" t="str">
        <f t="shared" si="16"/>
        <v>Short Supply</v>
      </c>
      <c r="R184" s="6">
        <f t="shared" si="17"/>
        <v>130500</v>
      </c>
    </row>
    <row r="185" spans="1:18" x14ac:dyDescent="0.25">
      <c r="A185" s="2">
        <v>45748</v>
      </c>
      <c r="B185" s="3" t="s">
        <v>45</v>
      </c>
      <c r="C185" s="3" t="s">
        <v>46</v>
      </c>
      <c r="D185" s="3" t="s">
        <v>32</v>
      </c>
      <c r="E185" s="3" t="s">
        <v>31</v>
      </c>
      <c r="F185" s="3">
        <v>333</v>
      </c>
      <c r="G185" s="3">
        <v>321</v>
      </c>
      <c r="H185" s="3">
        <v>307</v>
      </c>
      <c r="I185" s="3">
        <v>312</v>
      </c>
      <c r="J185" s="3">
        <v>82</v>
      </c>
      <c r="K185" s="3">
        <v>56</v>
      </c>
      <c r="L185" s="3">
        <v>1500</v>
      </c>
      <c r="M185" s="4">
        <f t="shared" si="12"/>
        <v>0.92192192192192191</v>
      </c>
      <c r="N185" s="5">
        <f t="shared" si="13"/>
        <v>2.0180180180180183</v>
      </c>
      <c r="O185" s="3">
        <f t="shared" si="14"/>
        <v>26</v>
      </c>
      <c r="P185" s="3" t="str">
        <f t="shared" si="15"/>
        <v>Healthy</v>
      </c>
      <c r="Q185" s="3" t="str">
        <f t="shared" si="16"/>
        <v>Short Supply</v>
      </c>
      <c r="R185" s="6">
        <f t="shared" si="17"/>
        <v>84000</v>
      </c>
    </row>
    <row r="186" spans="1:18" x14ac:dyDescent="0.25">
      <c r="A186" s="2">
        <v>45748</v>
      </c>
      <c r="B186" s="3" t="s">
        <v>45</v>
      </c>
      <c r="C186" s="3" t="s">
        <v>46</v>
      </c>
      <c r="D186" s="3" t="s">
        <v>33</v>
      </c>
      <c r="E186" s="3" t="s">
        <v>27</v>
      </c>
      <c r="F186" s="3">
        <v>366</v>
      </c>
      <c r="G186" s="3">
        <v>396</v>
      </c>
      <c r="H186" s="3">
        <v>402</v>
      </c>
      <c r="I186" s="3">
        <v>384</v>
      </c>
      <c r="J186" s="3">
        <v>109</v>
      </c>
      <c r="K186" s="3">
        <v>145</v>
      </c>
      <c r="L186" s="3">
        <v>1500</v>
      </c>
      <c r="M186" s="4">
        <f t="shared" si="12"/>
        <v>1.098360655737705</v>
      </c>
      <c r="N186" s="5">
        <f t="shared" si="13"/>
        <v>4.7540983606557372</v>
      </c>
      <c r="O186" s="3">
        <f t="shared" si="14"/>
        <v>-36</v>
      </c>
      <c r="P186" s="3" t="str">
        <f t="shared" si="15"/>
        <v>Healthy</v>
      </c>
      <c r="Q186" s="3" t="str">
        <f t="shared" si="16"/>
        <v>On Track</v>
      </c>
      <c r="R186" s="6">
        <f t="shared" si="17"/>
        <v>217500</v>
      </c>
    </row>
    <row r="187" spans="1:18" x14ac:dyDescent="0.25">
      <c r="A187" s="2">
        <v>45748</v>
      </c>
      <c r="B187" s="3" t="s">
        <v>47</v>
      </c>
      <c r="C187" s="3" t="s">
        <v>48</v>
      </c>
      <c r="D187" s="3" t="s">
        <v>26</v>
      </c>
      <c r="E187" s="3" t="s">
        <v>29</v>
      </c>
      <c r="F187" s="3">
        <v>614</v>
      </c>
      <c r="G187" s="3">
        <v>637</v>
      </c>
      <c r="H187" s="3">
        <v>622</v>
      </c>
      <c r="I187" s="3">
        <v>567</v>
      </c>
      <c r="J187" s="3">
        <v>81</v>
      </c>
      <c r="K187" s="3">
        <v>89</v>
      </c>
      <c r="L187" s="3">
        <v>1250</v>
      </c>
      <c r="M187" s="4">
        <f t="shared" si="12"/>
        <v>1.0130293159609121</v>
      </c>
      <c r="N187" s="5">
        <f t="shared" si="13"/>
        <v>1.7394136807817591</v>
      </c>
      <c r="O187" s="3">
        <f t="shared" si="14"/>
        <v>-8</v>
      </c>
      <c r="P187" s="3" t="str">
        <f t="shared" si="15"/>
        <v>Medium</v>
      </c>
      <c r="Q187" s="3" t="str">
        <f t="shared" si="16"/>
        <v>On Track</v>
      </c>
      <c r="R187" s="6">
        <f t="shared" si="17"/>
        <v>111250</v>
      </c>
    </row>
    <row r="188" spans="1:18" x14ac:dyDescent="0.25">
      <c r="A188" s="2">
        <v>45748</v>
      </c>
      <c r="B188" s="3" t="s">
        <v>47</v>
      </c>
      <c r="C188" s="3" t="s">
        <v>48</v>
      </c>
      <c r="D188" s="3" t="s">
        <v>28</v>
      </c>
      <c r="E188" s="3" t="s">
        <v>27</v>
      </c>
      <c r="F188" s="3">
        <v>521</v>
      </c>
      <c r="G188" s="3">
        <v>502</v>
      </c>
      <c r="H188" s="3">
        <v>454</v>
      </c>
      <c r="I188" s="3">
        <v>491</v>
      </c>
      <c r="J188" s="3">
        <v>112</v>
      </c>
      <c r="K188" s="3">
        <v>45</v>
      </c>
      <c r="L188" s="3">
        <v>1250</v>
      </c>
      <c r="M188" s="4">
        <f t="shared" si="12"/>
        <v>0.87140115163147791</v>
      </c>
      <c r="N188" s="5">
        <f t="shared" si="13"/>
        <v>1.0364683301343569</v>
      </c>
      <c r="O188" s="3">
        <f t="shared" si="14"/>
        <v>67</v>
      </c>
      <c r="P188" s="3" t="str">
        <f t="shared" si="15"/>
        <v>Medium</v>
      </c>
      <c r="Q188" s="3" t="str">
        <f t="shared" si="16"/>
        <v>Short Supply</v>
      </c>
      <c r="R188" s="6">
        <f t="shared" si="17"/>
        <v>56250</v>
      </c>
    </row>
    <row r="189" spans="1:18" x14ac:dyDescent="0.25">
      <c r="A189" s="2">
        <v>45748</v>
      </c>
      <c r="B189" s="3" t="s">
        <v>47</v>
      </c>
      <c r="C189" s="3" t="s">
        <v>48</v>
      </c>
      <c r="D189" s="3" t="s">
        <v>30</v>
      </c>
      <c r="E189" s="3" t="s">
        <v>34</v>
      </c>
      <c r="F189" s="3">
        <v>307</v>
      </c>
      <c r="G189" s="3">
        <v>316</v>
      </c>
      <c r="H189" s="3">
        <v>279</v>
      </c>
      <c r="I189" s="3">
        <v>319</v>
      </c>
      <c r="J189" s="3">
        <v>77</v>
      </c>
      <c r="K189" s="3">
        <v>49</v>
      </c>
      <c r="L189" s="3">
        <v>1250</v>
      </c>
      <c r="M189" s="4">
        <f t="shared" si="12"/>
        <v>0.90879478827361559</v>
      </c>
      <c r="N189" s="5">
        <f t="shared" si="13"/>
        <v>1.9153094462540716</v>
      </c>
      <c r="O189" s="3">
        <f t="shared" si="14"/>
        <v>28</v>
      </c>
      <c r="P189" s="3" t="str">
        <f t="shared" si="15"/>
        <v>Medium</v>
      </c>
      <c r="Q189" s="3" t="str">
        <f t="shared" si="16"/>
        <v>Short Supply</v>
      </c>
      <c r="R189" s="6">
        <f t="shared" si="17"/>
        <v>61250</v>
      </c>
    </row>
    <row r="190" spans="1:18" x14ac:dyDescent="0.25">
      <c r="A190" s="2">
        <v>45748</v>
      </c>
      <c r="B190" s="3" t="s">
        <v>47</v>
      </c>
      <c r="C190" s="3" t="s">
        <v>48</v>
      </c>
      <c r="D190" s="3" t="s">
        <v>32</v>
      </c>
      <c r="E190" s="3" t="s">
        <v>27</v>
      </c>
      <c r="F190" s="3">
        <v>313</v>
      </c>
      <c r="G190" s="3">
        <v>287</v>
      </c>
      <c r="H190" s="3">
        <v>265</v>
      </c>
      <c r="I190" s="3">
        <v>304</v>
      </c>
      <c r="J190" s="3">
        <v>135</v>
      </c>
      <c r="K190" s="3">
        <v>87</v>
      </c>
      <c r="L190" s="3">
        <v>1250</v>
      </c>
      <c r="M190" s="4">
        <f t="shared" si="12"/>
        <v>0.84664536741214058</v>
      </c>
      <c r="N190" s="5">
        <f t="shared" si="13"/>
        <v>3.3354632587859427</v>
      </c>
      <c r="O190" s="3">
        <f t="shared" si="14"/>
        <v>48</v>
      </c>
      <c r="P190" s="3" t="str">
        <f t="shared" si="15"/>
        <v>Healthy</v>
      </c>
      <c r="Q190" s="3" t="str">
        <f t="shared" si="16"/>
        <v>Short Supply</v>
      </c>
      <c r="R190" s="6">
        <f t="shared" si="17"/>
        <v>108750</v>
      </c>
    </row>
    <row r="191" spans="1:18" x14ac:dyDescent="0.25">
      <c r="A191" s="2">
        <v>45748</v>
      </c>
      <c r="B191" s="3" t="s">
        <v>47</v>
      </c>
      <c r="C191" s="3" t="s">
        <v>48</v>
      </c>
      <c r="D191" s="3" t="s">
        <v>33</v>
      </c>
      <c r="E191" s="3" t="s">
        <v>34</v>
      </c>
      <c r="F191" s="3">
        <v>393</v>
      </c>
      <c r="G191" s="3">
        <v>360</v>
      </c>
      <c r="H191" s="3">
        <v>354</v>
      </c>
      <c r="I191" s="3">
        <v>364</v>
      </c>
      <c r="J191" s="3">
        <v>66</v>
      </c>
      <c r="K191" s="3">
        <v>27</v>
      </c>
      <c r="L191" s="3">
        <v>1250</v>
      </c>
      <c r="M191" s="4">
        <f t="shared" si="12"/>
        <v>0.9007633587786259</v>
      </c>
      <c r="N191" s="5">
        <f t="shared" si="13"/>
        <v>0.82442748091603058</v>
      </c>
      <c r="O191" s="3">
        <f t="shared" si="14"/>
        <v>39</v>
      </c>
      <c r="P191" s="3" t="str">
        <f t="shared" si="15"/>
        <v>Low</v>
      </c>
      <c r="Q191" s="3" t="str">
        <f t="shared" si="16"/>
        <v>Short Supply</v>
      </c>
      <c r="R191" s="6">
        <f t="shared" si="17"/>
        <v>33750</v>
      </c>
    </row>
    <row r="192" spans="1:18" x14ac:dyDescent="0.25">
      <c r="A192" s="2">
        <v>45748</v>
      </c>
      <c r="B192" s="3" t="s">
        <v>49</v>
      </c>
      <c r="C192" s="3" t="s">
        <v>50</v>
      </c>
      <c r="D192" s="3" t="s">
        <v>26</v>
      </c>
      <c r="E192" s="3" t="s">
        <v>27</v>
      </c>
      <c r="F192" s="3">
        <v>891</v>
      </c>
      <c r="G192" s="3">
        <v>887</v>
      </c>
      <c r="H192" s="3">
        <v>835</v>
      </c>
      <c r="I192" s="3">
        <v>858</v>
      </c>
      <c r="J192" s="3">
        <v>120</v>
      </c>
      <c r="K192" s="3">
        <v>64</v>
      </c>
      <c r="L192" s="3">
        <v>1750</v>
      </c>
      <c r="M192" s="4">
        <f t="shared" si="12"/>
        <v>0.93714927048260377</v>
      </c>
      <c r="N192" s="5">
        <f t="shared" si="13"/>
        <v>0.86195286195286203</v>
      </c>
      <c r="O192" s="3">
        <f t="shared" si="14"/>
        <v>56</v>
      </c>
      <c r="P192" s="3" t="str">
        <f t="shared" si="15"/>
        <v>Low</v>
      </c>
      <c r="Q192" s="3" t="str">
        <f t="shared" si="16"/>
        <v>Short Supply</v>
      </c>
      <c r="R192" s="6">
        <f t="shared" si="17"/>
        <v>112000</v>
      </c>
    </row>
    <row r="193" spans="1:18" x14ac:dyDescent="0.25">
      <c r="A193" s="2">
        <v>45748</v>
      </c>
      <c r="B193" s="3" t="s">
        <v>49</v>
      </c>
      <c r="C193" s="3" t="s">
        <v>50</v>
      </c>
      <c r="D193" s="3" t="s">
        <v>28</v>
      </c>
      <c r="E193" s="3" t="s">
        <v>29</v>
      </c>
      <c r="F193" s="3">
        <v>630</v>
      </c>
      <c r="G193" s="3">
        <v>571</v>
      </c>
      <c r="H193" s="3">
        <v>556</v>
      </c>
      <c r="I193" s="3">
        <v>639</v>
      </c>
      <c r="J193" s="3">
        <v>102</v>
      </c>
      <c r="K193" s="3">
        <v>28</v>
      </c>
      <c r="L193" s="3">
        <v>1750</v>
      </c>
      <c r="M193" s="4">
        <f t="shared" si="12"/>
        <v>0.88253968253968251</v>
      </c>
      <c r="N193" s="5">
        <f t="shared" si="13"/>
        <v>0.53333333333333333</v>
      </c>
      <c r="O193" s="3">
        <f t="shared" si="14"/>
        <v>74</v>
      </c>
      <c r="P193" s="3" t="str">
        <f t="shared" si="15"/>
        <v>Low</v>
      </c>
      <c r="Q193" s="3" t="str">
        <f t="shared" si="16"/>
        <v>Short Supply</v>
      </c>
      <c r="R193" s="6">
        <f t="shared" si="17"/>
        <v>49000</v>
      </c>
    </row>
    <row r="194" spans="1:18" x14ac:dyDescent="0.25">
      <c r="A194" s="2">
        <v>45748</v>
      </c>
      <c r="B194" s="3" t="s">
        <v>49</v>
      </c>
      <c r="C194" s="3" t="s">
        <v>50</v>
      </c>
      <c r="D194" s="3" t="s">
        <v>30</v>
      </c>
      <c r="E194" s="3" t="s">
        <v>31</v>
      </c>
      <c r="F194" s="3">
        <v>424</v>
      </c>
      <c r="G194" s="3">
        <v>413</v>
      </c>
      <c r="H194" s="3">
        <v>398</v>
      </c>
      <c r="I194" s="3">
        <v>390</v>
      </c>
      <c r="J194" s="3">
        <v>84</v>
      </c>
      <c r="K194" s="3">
        <v>58</v>
      </c>
      <c r="L194" s="3">
        <v>1750</v>
      </c>
      <c r="M194" s="4">
        <f t="shared" ref="M194:M257" si="18">IFERROR(H194/F194,0)</f>
        <v>0.93867924528301883</v>
      </c>
      <c r="N194" s="5">
        <f t="shared" ref="N194:N257" si="19">IFERROR(K194/F194*12,0)</f>
        <v>1.641509433962264</v>
      </c>
      <c r="O194" s="3">
        <f t="shared" ref="O194:O257" si="20">F194-H194</f>
        <v>26</v>
      </c>
      <c r="P194" s="3" t="str">
        <f t="shared" ref="P194:P257" si="21">IF(N194&lt;1,"Low",IF(N194&lt;=2,"Medium","Healthy"))</f>
        <v>Medium</v>
      </c>
      <c r="Q194" s="3" t="str">
        <f t="shared" ref="Q194:Q257" si="22">IF(H194&lt;F194,"Short Supply","On Track")</f>
        <v>Short Supply</v>
      </c>
      <c r="R194" s="6">
        <f t="shared" ref="R194:R257" si="23">K194*L194</f>
        <v>101500</v>
      </c>
    </row>
    <row r="195" spans="1:18" x14ac:dyDescent="0.25">
      <c r="A195" s="2">
        <v>45748</v>
      </c>
      <c r="B195" s="3" t="s">
        <v>49</v>
      </c>
      <c r="C195" s="3" t="s">
        <v>50</v>
      </c>
      <c r="D195" s="3" t="s">
        <v>32</v>
      </c>
      <c r="E195" s="3" t="s">
        <v>34</v>
      </c>
      <c r="F195" s="3">
        <v>489</v>
      </c>
      <c r="G195" s="3">
        <v>520</v>
      </c>
      <c r="H195" s="3">
        <v>478</v>
      </c>
      <c r="I195" s="3">
        <v>459</v>
      </c>
      <c r="J195" s="3">
        <v>99</v>
      </c>
      <c r="K195" s="3">
        <v>88</v>
      </c>
      <c r="L195" s="3">
        <v>1750</v>
      </c>
      <c r="M195" s="4">
        <f t="shared" si="18"/>
        <v>0.97750511247443761</v>
      </c>
      <c r="N195" s="5">
        <f t="shared" si="19"/>
        <v>2.1595092024539877</v>
      </c>
      <c r="O195" s="3">
        <f t="shared" si="20"/>
        <v>11</v>
      </c>
      <c r="P195" s="3" t="str">
        <f t="shared" si="21"/>
        <v>Healthy</v>
      </c>
      <c r="Q195" s="3" t="str">
        <f t="shared" si="22"/>
        <v>Short Supply</v>
      </c>
      <c r="R195" s="6">
        <f t="shared" si="23"/>
        <v>154000</v>
      </c>
    </row>
    <row r="196" spans="1:18" x14ac:dyDescent="0.25">
      <c r="A196" s="2">
        <v>45748</v>
      </c>
      <c r="B196" s="3" t="s">
        <v>49</v>
      </c>
      <c r="C196" s="3" t="s">
        <v>50</v>
      </c>
      <c r="D196" s="3" t="s">
        <v>33</v>
      </c>
      <c r="E196" s="3" t="s">
        <v>29</v>
      </c>
      <c r="F196" s="3">
        <v>454</v>
      </c>
      <c r="G196" s="3">
        <v>440</v>
      </c>
      <c r="H196" s="3">
        <v>430</v>
      </c>
      <c r="I196" s="3">
        <v>454</v>
      </c>
      <c r="J196" s="3">
        <v>126</v>
      </c>
      <c r="K196" s="3">
        <v>102</v>
      </c>
      <c r="L196" s="3">
        <v>1750</v>
      </c>
      <c r="M196" s="4">
        <f t="shared" si="18"/>
        <v>0.94713656387665202</v>
      </c>
      <c r="N196" s="5">
        <f t="shared" si="19"/>
        <v>2.696035242290749</v>
      </c>
      <c r="O196" s="3">
        <f t="shared" si="20"/>
        <v>24</v>
      </c>
      <c r="P196" s="3" t="str">
        <f t="shared" si="21"/>
        <v>Healthy</v>
      </c>
      <c r="Q196" s="3" t="str">
        <f t="shared" si="22"/>
        <v>Short Supply</v>
      </c>
      <c r="R196" s="6">
        <f t="shared" si="23"/>
        <v>178500</v>
      </c>
    </row>
    <row r="197" spans="1:18" x14ac:dyDescent="0.25">
      <c r="A197" s="2">
        <v>45748</v>
      </c>
      <c r="B197" s="3" t="s">
        <v>51</v>
      </c>
      <c r="C197" s="3" t="s">
        <v>36</v>
      </c>
      <c r="D197" s="3" t="s">
        <v>26</v>
      </c>
      <c r="E197" s="3" t="s">
        <v>29</v>
      </c>
      <c r="F197" s="3">
        <v>568</v>
      </c>
      <c r="G197" s="3">
        <v>617</v>
      </c>
      <c r="H197" s="3">
        <v>546</v>
      </c>
      <c r="I197" s="3">
        <v>524</v>
      </c>
      <c r="J197" s="3">
        <v>133</v>
      </c>
      <c r="K197" s="3">
        <v>111</v>
      </c>
      <c r="L197" s="3">
        <v>1450</v>
      </c>
      <c r="M197" s="4">
        <f t="shared" si="18"/>
        <v>0.96126760563380287</v>
      </c>
      <c r="N197" s="5">
        <f t="shared" si="19"/>
        <v>2.345070422535211</v>
      </c>
      <c r="O197" s="3">
        <f t="shared" si="20"/>
        <v>22</v>
      </c>
      <c r="P197" s="3" t="str">
        <f t="shared" si="21"/>
        <v>Healthy</v>
      </c>
      <c r="Q197" s="3" t="str">
        <f t="shared" si="22"/>
        <v>Short Supply</v>
      </c>
      <c r="R197" s="6">
        <f t="shared" si="23"/>
        <v>160950</v>
      </c>
    </row>
    <row r="198" spans="1:18" x14ac:dyDescent="0.25">
      <c r="A198" s="2">
        <v>45748</v>
      </c>
      <c r="B198" s="3" t="s">
        <v>51</v>
      </c>
      <c r="C198" s="3" t="s">
        <v>36</v>
      </c>
      <c r="D198" s="3" t="s">
        <v>28</v>
      </c>
      <c r="E198" s="3" t="s">
        <v>27</v>
      </c>
      <c r="F198" s="3">
        <v>518</v>
      </c>
      <c r="G198" s="3">
        <v>527</v>
      </c>
      <c r="H198" s="3">
        <v>516</v>
      </c>
      <c r="I198" s="3">
        <v>511</v>
      </c>
      <c r="J198" s="3">
        <v>69</v>
      </c>
      <c r="K198" s="3">
        <v>67</v>
      </c>
      <c r="L198" s="3">
        <v>1450</v>
      </c>
      <c r="M198" s="4">
        <f t="shared" si="18"/>
        <v>0.99613899613899615</v>
      </c>
      <c r="N198" s="5">
        <f t="shared" si="19"/>
        <v>1.5521235521235521</v>
      </c>
      <c r="O198" s="3">
        <f t="shared" si="20"/>
        <v>2</v>
      </c>
      <c r="P198" s="3" t="str">
        <f t="shared" si="21"/>
        <v>Medium</v>
      </c>
      <c r="Q198" s="3" t="str">
        <f t="shared" si="22"/>
        <v>Short Supply</v>
      </c>
      <c r="R198" s="6">
        <f t="shared" si="23"/>
        <v>97150</v>
      </c>
    </row>
    <row r="199" spans="1:18" x14ac:dyDescent="0.25">
      <c r="A199" s="2">
        <v>45748</v>
      </c>
      <c r="B199" s="3" t="s">
        <v>51</v>
      </c>
      <c r="C199" s="3" t="s">
        <v>36</v>
      </c>
      <c r="D199" s="3" t="s">
        <v>30</v>
      </c>
      <c r="E199" s="3" t="s">
        <v>29</v>
      </c>
      <c r="F199" s="3">
        <v>429</v>
      </c>
      <c r="G199" s="3">
        <v>395</v>
      </c>
      <c r="H199" s="3">
        <v>400</v>
      </c>
      <c r="I199" s="3">
        <v>426</v>
      </c>
      <c r="J199" s="3">
        <v>115</v>
      </c>
      <c r="K199" s="3">
        <v>86</v>
      </c>
      <c r="L199" s="3">
        <v>1450</v>
      </c>
      <c r="M199" s="4">
        <f t="shared" si="18"/>
        <v>0.93240093240093236</v>
      </c>
      <c r="N199" s="5">
        <f t="shared" si="19"/>
        <v>2.4055944055944058</v>
      </c>
      <c r="O199" s="3">
        <f t="shared" si="20"/>
        <v>29</v>
      </c>
      <c r="P199" s="3" t="str">
        <f t="shared" si="21"/>
        <v>Healthy</v>
      </c>
      <c r="Q199" s="3" t="str">
        <f t="shared" si="22"/>
        <v>Short Supply</v>
      </c>
      <c r="R199" s="6">
        <f t="shared" si="23"/>
        <v>124700</v>
      </c>
    </row>
    <row r="200" spans="1:18" x14ac:dyDescent="0.25">
      <c r="A200" s="2">
        <v>45748</v>
      </c>
      <c r="B200" s="3" t="s">
        <v>51</v>
      </c>
      <c r="C200" s="3" t="s">
        <v>36</v>
      </c>
      <c r="D200" s="3" t="s">
        <v>32</v>
      </c>
      <c r="E200" s="3" t="s">
        <v>34</v>
      </c>
      <c r="F200" s="3">
        <v>304</v>
      </c>
      <c r="G200" s="3">
        <v>329</v>
      </c>
      <c r="H200" s="3">
        <v>300</v>
      </c>
      <c r="I200" s="3">
        <v>308</v>
      </c>
      <c r="J200" s="3">
        <v>101</v>
      </c>
      <c r="K200" s="3">
        <v>97</v>
      </c>
      <c r="L200" s="3">
        <v>1450</v>
      </c>
      <c r="M200" s="4">
        <f t="shared" si="18"/>
        <v>0.98684210526315785</v>
      </c>
      <c r="N200" s="5">
        <f t="shared" si="19"/>
        <v>3.8289473684210531</v>
      </c>
      <c r="O200" s="3">
        <f t="shared" si="20"/>
        <v>4</v>
      </c>
      <c r="P200" s="3" t="str">
        <f t="shared" si="21"/>
        <v>Healthy</v>
      </c>
      <c r="Q200" s="3" t="str">
        <f t="shared" si="22"/>
        <v>Short Supply</v>
      </c>
      <c r="R200" s="6">
        <f t="shared" si="23"/>
        <v>140650</v>
      </c>
    </row>
    <row r="201" spans="1:18" x14ac:dyDescent="0.25">
      <c r="A201" s="2">
        <v>45748</v>
      </c>
      <c r="B201" s="3" t="s">
        <v>51</v>
      </c>
      <c r="C201" s="3" t="s">
        <v>36</v>
      </c>
      <c r="D201" s="3" t="s">
        <v>33</v>
      </c>
      <c r="E201" s="3" t="s">
        <v>27</v>
      </c>
      <c r="F201" s="3">
        <v>429</v>
      </c>
      <c r="G201" s="3">
        <v>454</v>
      </c>
      <c r="H201" s="3">
        <v>413</v>
      </c>
      <c r="I201" s="3">
        <v>448</v>
      </c>
      <c r="J201" s="3">
        <v>66</v>
      </c>
      <c r="K201" s="3">
        <v>50</v>
      </c>
      <c r="L201" s="3">
        <v>1450</v>
      </c>
      <c r="M201" s="4">
        <f t="shared" si="18"/>
        <v>0.96270396270396275</v>
      </c>
      <c r="N201" s="5">
        <f t="shared" si="19"/>
        <v>1.3986013986013985</v>
      </c>
      <c r="O201" s="3">
        <f t="shared" si="20"/>
        <v>16</v>
      </c>
      <c r="P201" s="3" t="str">
        <f t="shared" si="21"/>
        <v>Medium</v>
      </c>
      <c r="Q201" s="3" t="str">
        <f t="shared" si="22"/>
        <v>Short Supply</v>
      </c>
      <c r="R201" s="6">
        <f t="shared" si="23"/>
        <v>72500</v>
      </c>
    </row>
    <row r="202" spans="1:18" x14ac:dyDescent="0.25">
      <c r="A202" s="2">
        <v>45778</v>
      </c>
      <c r="B202" s="3" t="s">
        <v>24</v>
      </c>
      <c r="C202" s="3" t="s">
        <v>25</v>
      </c>
      <c r="D202" s="3" t="s">
        <v>26</v>
      </c>
      <c r="E202" s="3" t="s">
        <v>31</v>
      </c>
      <c r="F202" s="3">
        <v>959</v>
      </c>
      <c r="G202" s="3">
        <v>888</v>
      </c>
      <c r="H202" s="3">
        <v>877</v>
      </c>
      <c r="I202" s="3">
        <v>936</v>
      </c>
      <c r="J202" s="3">
        <v>136</v>
      </c>
      <c r="K202" s="3">
        <v>54</v>
      </c>
      <c r="L202" s="3">
        <v>1800</v>
      </c>
      <c r="M202" s="4">
        <f t="shared" si="18"/>
        <v>0.91449426485922836</v>
      </c>
      <c r="N202" s="5">
        <f t="shared" si="19"/>
        <v>0.67570385818561007</v>
      </c>
      <c r="O202" s="3">
        <f t="shared" si="20"/>
        <v>82</v>
      </c>
      <c r="P202" s="3" t="str">
        <f t="shared" si="21"/>
        <v>Low</v>
      </c>
      <c r="Q202" s="3" t="str">
        <f t="shared" si="22"/>
        <v>Short Supply</v>
      </c>
      <c r="R202" s="6">
        <f t="shared" si="23"/>
        <v>97200</v>
      </c>
    </row>
    <row r="203" spans="1:18" x14ac:dyDescent="0.25">
      <c r="A203" s="2">
        <v>45778</v>
      </c>
      <c r="B203" s="3" t="s">
        <v>24</v>
      </c>
      <c r="C203" s="3" t="s">
        <v>25</v>
      </c>
      <c r="D203" s="3" t="s">
        <v>28</v>
      </c>
      <c r="E203" s="3" t="s">
        <v>27</v>
      </c>
      <c r="F203" s="3">
        <v>680</v>
      </c>
      <c r="G203" s="3">
        <v>622</v>
      </c>
      <c r="H203" s="3">
        <v>564</v>
      </c>
      <c r="I203" s="3">
        <v>691</v>
      </c>
      <c r="J203" s="3">
        <v>120</v>
      </c>
      <c r="K203" s="3">
        <v>4</v>
      </c>
      <c r="L203" s="3">
        <v>1800</v>
      </c>
      <c r="M203" s="4">
        <f t="shared" si="18"/>
        <v>0.8294117647058824</v>
      </c>
      <c r="N203" s="5">
        <f t="shared" si="19"/>
        <v>7.0588235294117646E-2</v>
      </c>
      <c r="O203" s="3">
        <f t="shared" si="20"/>
        <v>116</v>
      </c>
      <c r="P203" s="3" t="str">
        <f t="shared" si="21"/>
        <v>Low</v>
      </c>
      <c r="Q203" s="3" t="str">
        <f t="shared" si="22"/>
        <v>Short Supply</v>
      </c>
      <c r="R203" s="6">
        <f t="shared" si="23"/>
        <v>7200</v>
      </c>
    </row>
    <row r="204" spans="1:18" x14ac:dyDescent="0.25">
      <c r="A204" s="2">
        <v>45778</v>
      </c>
      <c r="B204" s="3" t="s">
        <v>24</v>
      </c>
      <c r="C204" s="3" t="s">
        <v>25</v>
      </c>
      <c r="D204" s="3" t="s">
        <v>30</v>
      </c>
      <c r="E204" s="3" t="s">
        <v>34</v>
      </c>
      <c r="F204" s="3">
        <v>495</v>
      </c>
      <c r="G204" s="3">
        <v>527</v>
      </c>
      <c r="H204" s="3">
        <v>500</v>
      </c>
      <c r="I204" s="3">
        <v>515</v>
      </c>
      <c r="J204" s="3">
        <v>120</v>
      </c>
      <c r="K204" s="3">
        <v>125</v>
      </c>
      <c r="L204" s="3">
        <v>1800</v>
      </c>
      <c r="M204" s="4">
        <f t="shared" si="18"/>
        <v>1.0101010101010102</v>
      </c>
      <c r="N204" s="5">
        <f t="shared" si="19"/>
        <v>3.0303030303030303</v>
      </c>
      <c r="O204" s="3">
        <f t="shared" si="20"/>
        <v>-5</v>
      </c>
      <c r="P204" s="3" t="str">
        <f t="shared" si="21"/>
        <v>Healthy</v>
      </c>
      <c r="Q204" s="3" t="str">
        <f t="shared" si="22"/>
        <v>On Track</v>
      </c>
      <c r="R204" s="6">
        <f t="shared" si="23"/>
        <v>225000</v>
      </c>
    </row>
    <row r="205" spans="1:18" x14ac:dyDescent="0.25">
      <c r="A205" s="2">
        <v>45778</v>
      </c>
      <c r="B205" s="3" t="s">
        <v>24</v>
      </c>
      <c r="C205" s="3" t="s">
        <v>25</v>
      </c>
      <c r="D205" s="3" t="s">
        <v>32</v>
      </c>
      <c r="E205" s="3" t="s">
        <v>29</v>
      </c>
      <c r="F205" s="3">
        <v>534</v>
      </c>
      <c r="G205" s="3">
        <v>582</v>
      </c>
      <c r="H205" s="3">
        <v>564</v>
      </c>
      <c r="I205" s="3">
        <v>575</v>
      </c>
      <c r="J205" s="3">
        <v>85</v>
      </c>
      <c r="K205" s="3">
        <v>115</v>
      </c>
      <c r="L205" s="3">
        <v>1800</v>
      </c>
      <c r="M205" s="4">
        <f t="shared" si="18"/>
        <v>1.0561797752808988</v>
      </c>
      <c r="N205" s="5">
        <f t="shared" si="19"/>
        <v>2.5842696629213484</v>
      </c>
      <c r="O205" s="3">
        <f t="shared" si="20"/>
        <v>-30</v>
      </c>
      <c r="P205" s="3" t="str">
        <f t="shared" si="21"/>
        <v>Healthy</v>
      </c>
      <c r="Q205" s="3" t="str">
        <f t="shared" si="22"/>
        <v>On Track</v>
      </c>
      <c r="R205" s="6">
        <f t="shared" si="23"/>
        <v>207000</v>
      </c>
    </row>
    <row r="206" spans="1:18" x14ac:dyDescent="0.25">
      <c r="A206" s="2">
        <v>45778</v>
      </c>
      <c r="B206" s="3" t="s">
        <v>24</v>
      </c>
      <c r="C206" s="3" t="s">
        <v>25</v>
      </c>
      <c r="D206" s="3" t="s">
        <v>33</v>
      </c>
      <c r="E206" s="3" t="s">
        <v>27</v>
      </c>
      <c r="F206" s="3">
        <v>504</v>
      </c>
      <c r="G206" s="3">
        <v>451</v>
      </c>
      <c r="H206" s="3">
        <v>424</v>
      </c>
      <c r="I206" s="3">
        <v>488</v>
      </c>
      <c r="J206" s="3">
        <v>81</v>
      </c>
      <c r="K206" s="3">
        <v>1</v>
      </c>
      <c r="L206" s="3">
        <v>1800</v>
      </c>
      <c r="M206" s="4">
        <f t="shared" si="18"/>
        <v>0.84126984126984128</v>
      </c>
      <c r="N206" s="5">
        <f t="shared" si="19"/>
        <v>2.3809523809523808E-2</v>
      </c>
      <c r="O206" s="3">
        <f t="shared" si="20"/>
        <v>80</v>
      </c>
      <c r="P206" s="3" t="str">
        <f t="shared" si="21"/>
        <v>Low</v>
      </c>
      <c r="Q206" s="3" t="str">
        <f t="shared" si="22"/>
        <v>Short Supply</v>
      </c>
      <c r="R206" s="6">
        <f t="shared" si="23"/>
        <v>1800</v>
      </c>
    </row>
    <row r="207" spans="1:18" x14ac:dyDescent="0.25">
      <c r="A207" s="2">
        <v>45778</v>
      </c>
      <c r="B207" s="3" t="s">
        <v>35</v>
      </c>
      <c r="C207" s="3" t="s">
        <v>36</v>
      </c>
      <c r="D207" s="3" t="s">
        <v>26</v>
      </c>
      <c r="E207" s="3" t="s">
        <v>29</v>
      </c>
      <c r="F207" s="3">
        <v>737</v>
      </c>
      <c r="G207" s="3">
        <v>661</v>
      </c>
      <c r="H207" s="3">
        <v>624</v>
      </c>
      <c r="I207" s="3">
        <v>682</v>
      </c>
      <c r="J207" s="3">
        <v>89</v>
      </c>
      <c r="K207" s="3">
        <v>0</v>
      </c>
      <c r="L207" s="3">
        <v>1600</v>
      </c>
      <c r="M207" s="4">
        <f t="shared" si="18"/>
        <v>0.84667571234735417</v>
      </c>
      <c r="N207" s="5">
        <f t="shared" si="19"/>
        <v>0</v>
      </c>
      <c r="O207" s="3">
        <f t="shared" si="20"/>
        <v>113</v>
      </c>
      <c r="P207" s="3" t="str">
        <f t="shared" si="21"/>
        <v>Low</v>
      </c>
      <c r="Q207" s="3" t="str">
        <f t="shared" si="22"/>
        <v>Short Supply</v>
      </c>
      <c r="R207" s="6">
        <f t="shared" si="23"/>
        <v>0</v>
      </c>
    </row>
    <row r="208" spans="1:18" x14ac:dyDescent="0.25">
      <c r="A208" s="2">
        <v>45778</v>
      </c>
      <c r="B208" s="3" t="s">
        <v>35</v>
      </c>
      <c r="C208" s="3" t="s">
        <v>36</v>
      </c>
      <c r="D208" s="3" t="s">
        <v>28</v>
      </c>
      <c r="E208" s="3" t="s">
        <v>34</v>
      </c>
      <c r="F208" s="3">
        <v>524</v>
      </c>
      <c r="G208" s="3">
        <v>569</v>
      </c>
      <c r="H208" s="3">
        <v>568</v>
      </c>
      <c r="I208" s="3">
        <v>533</v>
      </c>
      <c r="J208" s="3">
        <v>100</v>
      </c>
      <c r="K208" s="3">
        <v>144</v>
      </c>
      <c r="L208" s="3">
        <v>1600</v>
      </c>
      <c r="M208" s="4">
        <f t="shared" si="18"/>
        <v>1.083969465648855</v>
      </c>
      <c r="N208" s="5">
        <f t="shared" si="19"/>
        <v>3.2977099236641223</v>
      </c>
      <c r="O208" s="3">
        <f t="shared" si="20"/>
        <v>-44</v>
      </c>
      <c r="P208" s="3" t="str">
        <f t="shared" si="21"/>
        <v>Healthy</v>
      </c>
      <c r="Q208" s="3" t="str">
        <f t="shared" si="22"/>
        <v>On Track</v>
      </c>
      <c r="R208" s="6">
        <f t="shared" si="23"/>
        <v>230400</v>
      </c>
    </row>
    <row r="209" spans="1:18" x14ac:dyDescent="0.25">
      <c r="A209" s="2">
        <v>45778</v>
      </c>
      <c r="B209" s="3" t="s">
        <v>35</v>
      </c>
      <c r="C209" s="3" t="s">
        <v>36</v>
      </c>
      <c r="D209" s="3" t="s">
        <v>30</v>
      </c>
      <c r="E209" s="3" t="s">
        <v>31</v>
      </c>
      <c r="F209" s="3">
        <v>456</v>
      </c>
      <c r="G209" s="3">
        <v>505</v>
      </c>
      <c r="H209" s="3">
        <v>496</v>
      </c>
      <c r="I209" s="3">
        <v>422</v>
      </c>
      <c r="J209" s="3">
        <v>132</v>
      </c>
      <c r="K209" s="3">
        <v>172</v>
      </c>
      <c r="L209" s="3">
        <v>1600</v>
      </c>
      <c r="M209" s="4">
        <f t="shared" si="18"/>
        <v>1.0877192982456141</v>
      </c>
      <c r="N209" s="5">
        <f t="shared" si="19"/>
        <v>4.5263157894736841</v>
      </c>
      <c r="O209" s="3">
        <f t="shared" si="20"/>
        <v>-40</v>
      </c>
      <c r="P209" s="3" t="str">
        <f t="shared" si="21"/>
        <v>Healthy</v>
      </c>
      <c r="Q209" s="3" t="str">
        <f t="shared" si="22"/>
        <v>On Track</v>
      </c>
      <c r="R209" s="6">
        <f t="shared" si="23"/>
        <v>275200</v>
      </c>
    </row>
    <row r="210" spans="1:18" x14ac:dyDescent="0.25">
      <c r="A210" s="2">
        <v>45778</v>
      </c>
      <c r="B210" s="3" t="s">
        <v>35</v>
      </c>
      <c r="C210" s="3" t="s">
        <v>36</v>
      </c>
      <c r="D210" s="3" t="s">
        <v>32</v>
      </c>
      <c r="E210" s="3" t="s">
        <v>29</v>
      </c>
      <c r="F210" s="3">
        <v>389</v>
      </c>
      <c r="G210" s="3">
        <v>386</v>
      </c>
      <c r="H210" s="3">
        <v>347</v>
      </c>
      <c r="I210" s="3">
        <v>361</v>
      </c>
      <c r="J210" s="3">
        <v>68</v>
      </c>
      <c r="K210" s="3">
        <v>26</v>
      </c>
      <c r="L210" s="3">
        <v>1600</v>
      </c>
      <c r="M210" s="4">
        <f t="shared" si="18"/>
        <v>0.89203084832904889</v>
      </c>
      <c r="N210" s="5">
        <f t="shared" si="19"/>
        <v>0.80205655526992281</v>
      </c>
      <c r="O210" s="3">
        <f t="shared" si="20"/>
        <v>42</v>
      </c>
      <c r="P210" s="3" t="str">
        <f t="shared" si="21"/>
        <v>Low</v>
      </c>
      <c r="Q210" s="3" t="str">
        <f t="shared" si="22"/>
        <v>Short Supply</v>
      </c>
      <c r="R210" s="6">
        <f t="shared" si="23"/>
        <v>41600</v>
      </c>
    </row>
    <row r="211" spans="1:18" x14ac:dyDescent="0.25">
      <c r="A211" s="2">
        <v>45778</v>
      </c>
      <c r="B211" s="3" t="s">
        <v>35</v>
      </c>
      <c r="C211" s="3" t="s">
        <v>36</v>
      </c>
      <c r="D211" s="3" t="s">
        <v>33</v>
      </c>
      <c r="E211" s="3" t="s">
        <v>34</v>
      </c>
      <c r="F211" s="3">
        <v>523</v>
      </c>
      <c r="G211" s="3">
        <v>470</v>
      </c>
      <c r="H211" s="3">
        <v>456</v>
      </c>
      <c r="I211" s="3">
        <v>484</v>
      </c>
      <c r="J211" s="3">
        <v>116</v>
      </c>
      <c r="K211" s="3">
        <v>49</v>
      </c>
      <c r="L211" s="3">
        <v>1600</v>
      </c>
      <c r="M211" s="4">
        <f t="shared" si="18"/>
        <v>0.87189292543021035</v>
      </c>
      <c r="N211" s="5">
        <f t="shared" si="19"/>
        <v>1.124282982791587</v>
      </c>
      <c r="O211" s="3">
        <f t="shared" si="20"/>
        <v>67</v>
      </c>
      <c r="P211" s="3" t="str">
        <f t="shared" si="21"/>
        <v>Medium</v>
      </c>
      <c r="Q211" s="3" t="str">
        <f t="shared" si="22"/>
        <v>Short Supply</v>
      </c>
      <c r="R211" s="6">
        <f t="shared" si="23"/>
        <v>78400</v>
      </c>
    </row>
    <row r="212" spans="1:18" x14ac:dyDescent="0.25">
      <c r="A212" s="2">
        <v>45778</v>
      </c>
      <c r="B212" s="3" t="s">
        <v>37</v>
      </c>
      <c r="C212" s="3" t="s">
        <v>38</v>
      </c>
      <c r="D212" s="3" t="s">
        <v>26</v>
      </c>
      <c r="E212" s="3" t="s">
        <v>29</v>
      </c>
      <c r="F212" s="3">
        <v>658</v>
      </c>
      <c r="G212" s="3">
        <v>675</v>
      </c>
      <c r="H212" s="3">
        <v>628</v>
      </c>
      <c r="I212" s="3">
        <v>702</v>
      </c>
      <c r="J212" s="3">
        <v>90</v>
      </c>
      <c r="K212" s="3">
        <v>60</v>
      </c>
      <c r="L212" s="3">
        <v>1300</v>
      </c>
      <c r="M212" s="4">
        <f t="shared" si="18"/>
        <v>0.95440729483282671</v>
      </c>
      <c r="N212" s="5">
        <f t="shared" si="19"/>
        <v>1.094224924012158</v>
      </c>
      <c r="O212" s="3">
        <f t="shared" si="20"/>
        <v>30</v>
      </c>
      <c r="P212" s="3" t="str">
        <f t="shared" si="21"/>
        <v>Medium</v>
      </c>
      <c r="Q212" s="3" t="str">
        <f t="shared" si="22"/>
        <v>Short Supply</v>
      </c>
      <c r="R212" s="6">
        <f t="shared" si="23"/>
        <v>78000</v>
      </c>
    </row>
    <row r="213" spans="1:18" x14ac:dyDescent="0.25">
      <c r="A213" s="2">
        <v>45778</v>
      </c>
      <c r="B213" s="3" t="s">
        <v>37</v>
      </c>
      <c r="C213" s="3" t="s">
        <v>38</v>
      </c>
      <c r="D213" s="3" t="s">
        <v>28</v>
      </c>
      <c r="E213" s="3" t="s">
        <v>34</v>
      </c>
      <c r="F213" s="3">
        <v>535</v>
      </c>
      <c r="G213" s="3">
        <v>477</v>
      </c>
      <c r="H213" s="3">
        <v>461</v>
      </c>
      <c r="I213" s="3">
        <v>520</v>
      </c>
      <c r="J213" s="3">
        <v>86</v>
      </c>
      <c r="K213" s="3">
        <v>12</v>
      </c>
      <c r="L213" s="3">
        <v>1300</v>
      </c>
      <c r="M213" s="4">
        <f t="shared" si="18"/>
        <v>0.86168224299065421</v>
      </c>
      <c r="N213" s="5">
        <f t="shared" si="19"/>
        <v>0.2691588785046729</v>
      </c>
      <c r="O213" s="3">
        <f t="shared" si="20"/>
        <v>74</v>
      </c>
      <c r="P213" s="3" t="str">
        <f t="shared" si="21"/>
        <v>Low</v>
      </c>
      <c r="Q213" s="3" t="str">
        <f t="shared" si="22"/>
        <v>Short Supply</v>
      </c>
      <c r="R213" s="6">
        <f t="shared" si="23"/>
        <v>15600</v>
      </c>
    </row>
    <row r="214" spans="1:18" x14ac:dyDescent="0.25">
      <c r="A214" s="2">
        <v>45778</v>
      </c>
      <c r="B214" s="3" t="s">
        <v>37</v>
      </c>
      <c r="C214" s="3" t="s">
        <v>38</v>
      </c>
      <c r="D214" s="3" t="s">
        <v>30</v>
      </c>
      <c r="E214" s="3" t="s">
        <v>29</v>
      </c>
      <c r="F214" s="3">
        <v>353</v>
      </c>
      <c r="G214" s="3">
        <v>371</v>
      </c>
      <c r="H214" s="3">
        <v>360</v>
      </c>
      <c r="I214" s="3">
        <v>375</v>
      </c>
      <c r="J214" s="3">
        <v>129</v>
      </c>
      <c r="K214" s="3">
        <v>136</v>
      </c>
      <c r="L214" s="3">
        <v>1300</v>
      </c>
      <c r="M214" s="4">
        <f t="shared" si="18"/>
        <v>1.0198300283286119</v>
      </c>
      <c r="N214" s="5">
        <f t="shared" si="19"/>
        <v>4.6232294617563738</v>
      </c>
      <c r="O214" s="3">
        <f t="shared" si="20"/>
        <v>-7</v>
      </c>
      <c r="P214" s="3" t="str">
        <f t="shared" si="21"/>
        <v>Healthy</v>
      </c>
      <c r="Q214" s="3" t="str">
        <f t="shared" si="22"/>
        <v>On Track</v>
      </c>
      <c r="R214" s="6">
        <f t="shared" si="23"/>
        <v>176800</v>
      </c>
    </row>
    <row r="215" spans="1:18" x14ac:dyDescent="0.25">
      <c r="A215" s="2">
        <v>45778</v>
      </c>
      <c r="B215" s="3" t="s">
        <v>37</v>
      </c>
      <c r="C215" s="3" t="s">
        <v>38</v>
      </c>
      <c r="D215" s="3" t="s">
        <v>32</v>
      </c>
      <c r="E215" s="3" t="s">
        <v>34</v>
      </c>
      <c r="F215" s="3">
        <v>304</v>
      </c>
      <c r="G215" s="3">
        <v>315</v>
      </c>
      <c r="H215" s="3">
        <v>317</v>
      </c>
      <c r="I215" s="3">
        <v>294</v>
      </c>
      <c r="J215" s="3">
        <v>112</v>
      </c>
      <c r="K215" s="3">
        <v>125</v>
      </c>
      <c r="L215" s="3">
        <v>1300</v>
      </c>
      <c r="M215" s="4">
        <f t="shared" si="18"/>
        <v>1.0427631578947369</v>
      </c>
      <c r="N215" s="5">
        <f t="shared" si="19"/>
        <v>4.9342105263157894</v>
      </c>
      <c r="O215" s="3">
        <f t="shared" si="20"/>
        <v>-13</v>
      </c>
      <c r="P215" s="3" t="str">
        <f t="shared" si="21"/>
        <v>Healthy</v>
      </c>
      <c r="Q215" s="3" t="str">
        <f t="shared" si="22"/>
        <v>On Track</v>
      </c>
      <c r="R215" s="6">
        <f t="shared" si="23"/>
        <v>162500</v>
      </c>
    </row>
    <row r="216" spans="1:18" x14ac:dyDescent="0.25">
      <c r="A216" s="2">
        <v>45778</v>
      </c>
      <c r="B216" s="3" t="s">
        <v>37</v>
      </c>
      <c r="C216" s="3" t="s">
        <v>38</v>
      </c>
      <c r="D216" s="3" t="s">
        <v>33</v>
      </c>
      <c r="E216" s="3" t="s">
        <v>29</v>
      </c>
      <c r="F216" s="3">
        <v>344</v>
      </c>
      <c r="G216" s="3">
        <v>361</v>
      </c>
      <c r="H216" s="3">
        <v>321</v>
      </c>
      <c r="I216" s="3">
        <v>347</v>
      </c>
      <c r="J216" s="3">
        <v>111</v>
      </c>
      <c r="K216" s="3">
        <v>88</v>
      </c>
      <c r="L216" s="3">
        <v>1300</v>
      </c>
      <c r="M216" s="4">
        <f t="shared" si="18"/>
        <v>0.93313953488372092</v>
      </c>
      <c r="N216" s="5">
        <f t="shared" si="19"/>
        <v>3.0697674418604652</v>
      </c>
      <c r="O216" s="3">
        <f t="shared" si="20"/>
        <v>23</v>
      </c>
      <c r="P216" s="3" t="str">
        <f t="shared" si="21"/>
        <v>Healthy</v>
      </c>
      <c r="Q216" s="3" t="str">
        <f t="shared" si="22"/>
        <v>Short Supply</v>
      </c>
      <c r="R216" s="6">
        <f t="shared" si="23"/>
        <v>114400</v>
      </c>
    </row>
    <row r="217" spans="1:18" x14ac:dyDescent="0.25">
      <c r="A217" s="2">
        <v>45778</v>
      </c>
      <c r="B217" s="3" t="s">
        <v>39</v>
      </c>
      <c r="C217" s="3" t="s">
        <v>40</v>
      </c>
      <c r="D217" s="3" t="s">
        <v>26</v>
      </c>
      <c r="E217" s="3" t="s">
        <v>27</v>
      </c>
      <c r="F217" s="3">
        <v>942</v>
      </c>
      <c r="G217" s="3">
        <v>980</v>
      </c>
      <c r="H217" s="3">
        <v>976</v>
      </c>
      <c r="I217" s="3">
        <v>977</v>
      </c>
      <c r="J217" s="3">
        <v>114</v>
      </c>
      <c r="K217" s="3">
        <v>148</v>
      </c>
      <c r="L217" s="3">
        <v>1700</v>
      </c>
      <c r="M217" s="4">
        <f t="shared" si="18"/>
        <v>1.0360934182590233</v>
      </c>
      <c r="N217" s="5">
        <f t="shared" si="19"/>
        <v>1.8853503184713376</v>
      </c>
      <c r="O217" s="3">
        <f t="shared" si="20"/>
        <v>-34</v>
      </c>
      <c r="P217" s="3" t="str">
        <f t="shared" si="21"/>
        <v>Medium</v>
      </c>
      <c r="Q217" s="3" t="str">
        <f t="shared" si="22"/>
        <v>On Track</v>
      </c>
      <c r="R217" s="6">
        <f t="shared" si="23"/>
        <v>251600</v>
      </c>
    </row>
    <row r="218" spans="1:18" x14ac:dyDescent="0.25">
      <c r="A218" s="2">
        <v>45778</v>
      </c>
      <c r="B218" s="3" t="s">
        <v>39</v>
      </c>
      <c r="C218" s="3" t="s">
        <v>40</v>
      </c>
      <c r="D218" s="3" t="s">
        <v>28</v>
      </c>
      <c r="E218" s="3" t="s">
        <v>31</v>
      </c>
      <c r="F218" s="3">
        <v>699</v>
      </c>
      <c r="G218" s="3">
        <v>686</v>
      </c>
      <c r="H218" s="3">
        <v>638</v>
      </c>
      <c r="I218" s="3">
        <v>683</v>
      </c>
      <c r="J218" s="3">
        <v>74</v>
      </c>
      <c r="K218" s="3">
        <v>13</v>
      </c>
      <c r="L218" s="3">
        <v>1700</v>
      </c>
      <c r="M218" s="4">
        <f t="shared" si="18"/>
        <v>0.9127324749642346</v>
      </c>
      <c r="N218" s="5">
        <f t="shared" si="19"/>
        <v>0.22317596566523606</v>
      </c>
      <c r="O218" s="3">
        <f t="shared" si="20"/>
        <v>61</v>
      </c>
      <c r="P218" s="3" t="str">
        <f t="shared" si="21"/>
        <v>Low</v>
      </c>
      <c r="Q218" s="3" t="str">
        <f t="shared" si="22"/>
        <v>Short Supply</v>
      </c>
      <c r="R218" s="6">
        <f t="shared" si="23"/>
        <v>22100</v>
      </c>
    </row>
    <row r="219" spans="1:18" x14ac:dyDescent="0.25">
      <c r="A219" s="2">
        <v>45778</v>
      </c>
      <c r="B219" s="3" t="s">
        <v>39</v>
      </c>
      <c r="C219" s="3" t="s">
        <v>40</v>
      </c>
      <c r="D219" s="3" t="s">
        <v>30</v>
      </c>
      <c r="E219" s="3" t="s">
        <v>29</v>
      </c>
      <c r="F219" s="3">
        <v>474</v>
      </c>
      <c r="G219" s="3">
        <v>504</v>
      </c>
      <c r="H219" s="3">
        <v>457</v>
      </c>
      <c r="I219" s="3">
        <v>511</v>
      </c>
      <c r="J219" s="3">
        <v>72</v>
      </c>
      <c r="K219" s="3">
        <v>55</v>
      </c>
      <c r="L219" s="3">
        <v>1700</v>
      </c>
      <c r="M219" s="4">
        <f t="shared" si="18"/>
        <v>0.96413502109704641</v>
      </c>
      <c r="N219" s="5">
        <f t="shared" si="19"/>
        <v>1.3924050632911391</v>
      </c>
      <c r="O219" s="3">
        <f t="shared" si="20"/>
        <v>17</v>
      </c>
      <c r="P219" s="3" t="str">
        <f t="shared" si="21"/>
        <v>Medium</v>
      </c>
      <c r="Q219" s="3" t="str">
        <f t="shared" si="22"/>
        <v>Short Supply</v>
      </c>
      <c r="R219" s="6">
        <f t="shared" si="23"/>
        <v>93500</v>
      </c>
    </row>
    <row r="220" spans="1:18" x14ac:dyDescent="0.25">
      <c r="A220" s="2">
        <v>45778</v>
      </c>
      <c r="B220" s="3" t="s">
        <v>39</v>
      </c>
      <c r="C220" s="3" t="s">
        <v>40</v>
      </c>
      <c r="D220" s="3" t="s">
        <v>32</v>
      </c>
      <c r="E220" s="3" t="s">
        <v>27</v>
      </c>
      <c r="F220" s="3">
        <v>506</v>
      </c>
      <c r="G220" s="3">
        <v>457</v>
      </c>
      <c r="H220" s="3">
        <v>451</v>
      </c>
      <c r="I220" s="3">
        <v>533</v>
      </c>
      <c r="J220" s="3">
        <v>130</v>
      </c>
      <c r="K220" s="3">
        <v>75</v>
      </c>
      <c r="L220" s="3">
        <v>1700</v>
      </c>
      <c r="M220" s="4">
        <f t="shared" si="18"/>
        <v>0.89130434782608692</v>
      </c>
      <c r="N220" s="5">
        <f t="shared" si="19"/>
        <v>1.7786561264822134</v>
      </c>
      <c r="O220" s="3">
        <f t="shared" si="20"/>
        <v>55</v>
      </c>
      <c r="P220" s="3" t="str">
        <f t="shared" si="21"/>
        <v>Medium</v>
      </c>
      <c r="Q220" s="3" t="str">
        <f t="shared" si="22"/>
        <v>Short Supply</v>
      </c>
      <c r="R220" s="6">
        <f t="shared" si="23"/>
        <v>127500</v>
      </c>
    </row>
    <row r="221" spans="1:18" x14ac:dyDescent="0.25">
      <c r="A221" s="2">
        <v>45778</v>
      </c>
      <c r="B221" s="3" t="s">
        <v>39</v>
      </c>
      <c r="C221" s="3" t="s">
        <v>40</v>
      </c>
      <c r="D221" s="3" t="s">
        <v>33</v>
      </c>
      <c r="E221" s="3" t="s">
        <v>31</v>
      </c>
      <c r="F221" s="3">
        <v>535</v>
      </c>
      <c r="G221" s="3">
        <v>583</v>
      </c>
      <c r="H221" s="3">
        <v>563</v>
      </c>
      <c r="I221" s="3">
        <v>543</v>
      </c>
      <c r="J221" s="3">
        <v>72</v>
      </c>
      <c r="K221" s="3">
        <v>100</v>
      </c>
      <c r="L221" s="3">
        <v>1700</v>
      </c>
      <c r="M221" s="4">
        <f t="shared" si="18"/>
        <v>1.0523364485981308</v>
      </c>
      <c r="N221" s="5">
        <f t="shared" si="19"/>
        <v>2.2429906542056073</v>
      </c>
      <c r="O221" s="3">
        <f t="shared" si="20"/>
        <v>-28</v>
      </c>
      <c r="P221" s="3" t="str">
        <f t="shared" si="21"/>
        <v>Healthy</v>
      </c>
      <c r="Q221" s="3" t="str">
        <f t="shared" si="22"/>
        <v>On Track</v>
      </c>
      <c r="R221" s="6">
        <f t="shared" si="23"/>
        <v>170000</v>
      </c>
    </row>
    <row r="222" spans="1:18" x14ac:dyDescent="0.25">
      <c r="A222" s="2">
        <v>45778</v>
      </c>
      <c r="B222" s="3" t="s">
        <v>41</v>
      </c>
      <c r="C222" s="3" t="s">
        <v>42</v>
      </c>
      <c r="D222" s="3" t="s">
        <v>26</v>
      </c>
      <c r="E222" s="3" t="s">
        <v>34</v>
      </c>
      <c r="F222" s="3">
        <v>587</v>
      </c>
      <c r="G222" s="3">
        <v>625</v>
      </c>
      <c r="H222" s="3">
        <v>620</v>
      </c>
      <c r="I222" s="3">
        <v>555</v>
      </c>
      <c r="J222" s="3">
        <v>95</v>
      </c>
      <c r="K222" s="3">
        <v>128</v>
      </c>
      <c r="L222" s="3">
        <v>1200</v>
      </c>
      <c r="M222" s="4">
        <f t="shared" si="18"/>
        <v>1.0562180579216354</v>
      </c>
      <c r="N222" s="5">
        <f t="shared" si="19"/>
        <v>2.6166950596252132</v>
      </c>
      <c r="O222" s="3">
        <f t="shared" si="20"/>
        <v>-33</v>
      </c>
      <c r="P222" s="3" t="str">
        <f t="shared" si="21"/>
        <v>Healthy</v>
      </c>
      <c r="Q222" s="3" t="str">
        <f t="shared" si="22"/>
        <v>On Track</v>
      </c>
      <c r="R222" s="6">
        <f t="shared" si="23"/>
        <v>153600</v>
      </c>
    </row>
    <row r="223" spans="1:18" x14ac:dyDescent="0.25">
      <c r="A223" s="2">
        <v>45778</v>
      </c>
      <c r="B223" s="3" t="s">
        <v>41</v>
      </c>
      <c r="C223" s="3" t="s">
        <v>42</v>
      </c>
      <c r="D223" s="3" t="s">
        <v>28</v>
      </c>
      <c r="E223" s="3" t="s">
        <v>34</v>
      </c>
      <c r="F223" s="3">
        <v>398</v>
      </c>
      <c r="G223" s="3">
        <v>418</v>
      </c>
      <c r="H223" s="3">
        <v>424</v>
      </c>
      <c r="I223" s="3">
        <v>405</v>
      </c>
      <c r="J223" s="3">
        <v>120</v>
      </c>
      <c r="K223" s="3">
        <v>146</v>
      </c>
      <c r="L223" s="3">
        <v>1200</v>
      </c>
      <c r="M223" s="4">
        <f t="shared" si="18"/>
        <v>1.0653266331658291</v>
      </c>
      <c r="N223" s="5">
        <f t="shared" si="19"/>
        <v>4.4020100502512562</v>
      </c>
      <c r="O223" s="3">
        <f t="shared" si="20"/>
        <v>-26</v>
      </c>
      <c r="P223" s="3" t="str">
        <f t="shared" si="21"/>
        <v>Healthy</v>
      </c>
      <c r="Q223" s="3" t="str">
        <f t="shared" si="22"/>
        <v>On Track</v>
      </c>
      <c r="R223" s="6">
        <f t="shared" si="23"/>
        <v>175200</v>
      </c>
    </row>
    <row r="224" spans="1:18" x14ac:dyDescent="0.25">
      <c r="A224" s="2">
        <v>45778</v>
      </c>
      <c r="B224" s="3" t="s">
        <v>41</v>
      </c>
      <c r="C224" s="3" t="s">
        <v>42</v>
      </c>
      <c r="D224" s="3" t="s">
        <v>30</v>
      </c>
      <c r="E224" s="3" t="s">
        <v>31</v>
      </c>
      <c r="F224" s="3">
        <v>284</v>
      </c>
      <c r="G224" s="3">
        <v>266</v>
      </c>
      <c r="H224" s="3">
        <v>270</v>
      </c>
      <c r="I224" s="3">
        <v>296</v>
      </c>
      <c r="J224" s="3">
        <v>132</v>
      </c>
      <c r="K224" s="3">
        <v>118</v>
      </c>
      <c r="L224" s="3">
        <v>1200</v>
      </c>
      <c r="M224" s="4">
        <f t="shared" si="18"/>
        <v>0.95070422535211263</v>
      </c>
      <c r="N224" s="5">
        <f t="shared" si="19"/>
        <v>4.9859154929577461</v>
      </c>
      <c r="O224" s="3">
        <f t="shared" si="20"/>
        <v>14</v>
      </c>
      <c r="P224" s="3" t="str">
        <f t="shared" si="21"/>
        <v>Healthy</v>
      </c>
      <c r="Q224" s="3" t="str">
        <f t="shared" si="22"/>
        <v>Short Supply</v>
      </c>
      <c r="R224" s="6">
        <f t="shared" si="23"/>
        <v>141600</v>
      </c>
    </row>
    <row r="225" spans="1:18" x14ac:dyDescent="0.25">
      <c r="A225" s="2">
        <v>45778</v>
      </c>
      <c r="B225" s="3" t="s">
        <v>41</v>
      </c>
      <c r="C225" s="3" t="s">
        <v>42</v>
      </c>
      <c r="D225" s="3" t="s">
        <v>32</v>
      </c>
      <c r="E225" s="3" t="s">
        <v>34</v>
      </c>
      <c r="F225" s="3">
        <v>273</v>
      </c>
      <c r="G225" s="3">
        <v>302</v>
      </c>
      <c r="H225" s="3">
        <v>307</v>
      </c>
      <c r="I225" s="3">
        <v>271</v>
      </c>
      <c r="J225" s="3">
        <v>82</v>
      </c>
      <c r="K225" s="3">
        <v>116</v>
      </c>
      <c r="L225" s="3">
        <v>1200</v>
      </c>
      <c r="M225" s="4">
        <f t="shared" si="18"/>
        <v>1.1245421245421245</v>
      </c>
      <c r="N225" s="5">
        <f t="shared" si="19"/>
        <v>5.0989010989010985</v>
      </c>
      <c r="O225" s="3">
        <f t="shared" si="20"/>
        <v>-34</v>
      </c>
      <c r="P225" s="3" t="str">
        <f t="shared" si="21"/>
        <v>Healthy</v>
      </c>
      <c r="Q225" s="3" t="str">
        <f t="shared" si="22"/>
        <v>On Track</v>
      </c>
      <c r="R225" s="6">
        <f t="shared" si="23"/>
        <v>139200</v>
      </c>
    </row>
    <row r="226" spans="1:18" x14ac:dyDescent="0.25">
      <c r="A226" s="2">
        <v>45778</v>
      </c>
      <c r="B226" s="3" t="s">
        <v>41</v>
      </c>
      <c r="C226" s="3" t="s">
        <v>42</v>
      </c>
      <c r="D226" s="3" t="s">
        <v>33</v>
      </c>
      <c r="E226" s="3" t="s">
        <v>29</v>
      </c>
      <c r="F226" s="3">
        <v>317</v>
      </c>
      <c r="G226" s="3">
        <v>310</v>
      </c>
      <c r="H226" s="3">
        <v>279</v>
      </c>
      <c r="I226" s="3">
        <v>301</v>
      </c>
      <c r="J226" s="3">
        <v>108</v>
      </c>
      <c r="K226" s="3">
        <v>70</v>
      </c>
      <c r="L226" s="3">
        <v>1200</v>
      </c>
      <c r="M226" s="4">
        <f t="shared" si="18"/>
        <v>0.88012618296529965</v>
      </c>
      <c r="N226" s="5">
        <f t="shared" si="19"/>
        <v>2.6498422712933754</v>
      </c>
      <c r="O226" s="3">
        <f t="shared" si="20"/>
        <v>38</v>
      </c>
      <c r="P226" s="3" t="str">
        <f t="shared" si="21"/>
        <v>Healthy</v>
      </c>
      <c r="Q226" s="3" t="str">
        <f t="shared" si="22"/>
        <v>Short Supply</v>
      </c>
      <c r="R226" s="6">
        <f t="shared" si="23"/>
        <v>84000</v>
      </c>
    </row>
    <row r="227" spans="1:18" x14ac:dyDescent="0.25">
      <c r="A227" s="2">
        <v>45778</v>
      </c>
      <c r="B227" s="3" t="s">
        <v>43</v>
      </c>
      <c r="C227" s="3" t="s">
        <v>44</v>
      </c>
      <c r="D227" s="3" t="s">
        <v>26</v>
      </c>
      <c r="E227" s="3" t="s">
        <v>27</v>
      </c>
      <c r="F227" s="3">
        <v>617</v>
      </c>
      <c r="G227" s="3">
        <v>614</v>
      </c>
      <c r="H227" s="3">
        <v>572</v>
      </c>
      <c r="I227" s="3">
        <v>659</v>
      </c>
      <c r="J227" s="3">
        <v>116</v>
      </c>
      <c r="K227" s="3">
        <v>71</v>
      </c>
      <c r="L227" s="3">
        <v>1400</v>
      </c>
      <c r="M227" s="4">
        <f t="shared" si="18"/>
        <v>0.92706645056726089</v>
      </c>
      <c r="N227" s="5">
        <f t="shared" si="19"/>
        <v>1.380875202593193</v>
      </c>
      <c r="O227" s="3">
        <f t="shared" si="20"/>
        <v>45</v>
      </c>
      <c r="P227" s="3" t="str">
        <f t="shared" si="21"/>
        <v>Medium</v>
      </c>
      <c r="Q227" s="3" t="str">
        <f t="shared" si="22"/>
        <v>Short Supply</v>
      </c>
      <c r="R227" s="6">
        <f t="shared" si="23"/>
        <v>99400</v>
      </c>
    </row>
    <row r="228" spans="1:18" x14ac:dyDescent="0.25">
      <c r="A228" s="2">
        <v>45778</v>
      </c>
      <c r="B228" s="3" t="s">
        <v>43</v>
      </c>
      <c r="C228" s="3" t="s">
        <v>44</v>
      </c>
      <c r="D228" s="3" t="s">
        <v>28</v>
      </c>
      <c r="E228" s="3" t="s">
        <v>34</v>
      </c>
      <c r="F228" s="3">
        <v>518</v>
      </c>
      <c r="G228" s="3">
        <v>550</v>
      </c>
      <c r="H228" s="3">
        <v>505</v>
      </c>
      <c r="I228" s="3">
        <v>551</v>
      </c>
      <c r="J228" s="3">
        <v>71</v>
      </c>
      <c r="K228" s="3">
        <v>58</v>
      </c>
      <c r="L228" s="3">
        <v>1400</v>
      </c>
      <c r="M228" s="4">
        <f t="shared" si="18"/>
        <v>0.97490347490347495</v>
      </c>
      <c r="N228" s="5">
        <f t="shared" si="19"/>
        <v>1.3436293436293436</v>
      </c>
      <c r="O228" s="3">
        <f t="shared" si="20"/>
        <v>13</v>
      </c>
      <c r="P228" s="3" t="str">
        <f t="shared" si="21"/>
        <v>Medium</v>
      </c>
      <c r="Q228" s="3" t="str">
        <f t="shared" si="22"/>
        <v>Short Supply</v>
      </c>
      <c r="R228" s="6">
        <f t="shared" si="23"/>
        <v>81200</v>
      </c>
    </row>
    <row r="229" spans="1:18" x14ac:dyDescent="0.25">
      <c r="A229" s="2">
        <v>45778</v>
      </c>
      <c r="B229" s="3" t="s">
        <v>43</v>
      </c>
      <c r="C229" s="3" t="s">
        <v>44</v>
      </c>
      <c r="D229" s="3" t="s">
        <v>30</v>
      </c>
      <c r="E229" s="3" t="s">
        <v>34</v>
      </c>
      <c r="F229" s="3">
        <v>361</v>
      </c>
      <c r="G229" s="3">
        <v>396</v>
      </c>
      <c r="H229" s="3">
        <v>393</v>
      </c>
      <c r="I229" s="3">
        <v>383</v>
      </c>
      <c r="J229" s="3">
        <v>134</v>
      </c>
      <c r="K229" s="3">
        <v>166</v>
      </c>
      <c r="L229" s="3">
        <v>1400</v>
      </c>
      <c r="M229" s="4">
        <f t="shared" si="18"/>
        <v>1.0886426592797784</v>
      </c>
      <c r="N229" s="5">
        <f t="shared" si="19"/>
        <v>5.5180055401662047</v>
      </c>
      <c r="O229" s="3">
        <f t="shared" si="20"/>
        <v>-32</v>
      </c>
      <c r="P229" s="3" t="str">
        <f t="shared" si="21"/>
        <v>Healthy</v>
      </c>
      <c r="Q229" s="3" t="str">
        <f t="shared" si="22"/>
        <v>On Track</v>
      </c>
      <c r="R229" s="6">
        <f t="shared" si="23"/>
        <v>232400</v>
      </c>
    </row>
    <row r="230" spans="1:18" x14ac:dyDescent="0.25">
      <c r="A230" s="2">
        <v>45778</v>
      </c>
      <c r="B230" s="3" t="s">
        <v>43</v>
      </c>
      <c r="C230" s="3" t="s">
        <v>44</v>
      </c>
      <c r="D230" s="3" t="s">
        <v>32</v>
      </c>
      <c r="E230" s="3" t="s">
        <v>27</v>
      </c>
      <c r="F230" s="3">
        <v>329</v>
      </c>
      <c r="G230" s="3">
        <v>329</v>
      </c>
      <c r="H230" s="3">
        <v>300</v>
      </c>
      <c r="I230" s="3">
        <v>355</v>
      </c>
      <c r="J230" s="3">
        <v>89</v>
      </c>
      <c r="K230" s="3">
        <v>60</v>
      </c>
      <c r="L230" s="3">
        <v>1400</v>
      </c>
      <c r="M230" s="4">
        <f t="shared" si="18"/>
        <v>0.91185410334346506</v>
      </c>
      <c r="N230" s="5">
        <f t="shared" si="19"/>
        <v>2.188449848024316</v>
      </c>
      <c r="O230" s="3">
        <f t="shared" si="20"/>
        <v>29</v>
      </c>
      <c r="P230" s="3" t="str">
        <f t="shared" si="21"/>
        <v>Healthy</v>
      </c>
      <c r="Q230" s="3" t="str">
        <f t="shared" si="22"/>
        <v>Short Supply</v>
      </c>
      <c r="R230" s="6">
        <f t="shared" si="23"/>
        <v>84000</v>
      </c>
    </row>
    <row r="231" spans="1:18" x14ac:dyDescent="0.25">
      <c r="A231" s="2">
        <v>45778</v>
      </c>
      <c r="B231" s="3" t="s">
        <v>43</v>
      </c>
      <c r="C231" s="3" t="s">
        <v>44</v>
      </c>
      <c r="D231" s="3" t="s">
        <v>33</v>
      </c>
      <c r="E231" s="3" t="s">
        <v>27</v>
      </c>
      <c r="F231" s="3">
        <v>399</v>
      </c>
      <c r="G231" s="3">
        <v>360</v>
      </c>
      <c r="H231" s="3">
        <v>352</v>
      </c>
      <c r="I231" s="3">
        <v>388</v>
      </c>
      <c r="J231" s="3">
        <v>71</v>
      </c>
      <c r="K231" s="3">
        <v>24</v>
      </c>
      <c r="L231" s="3">
        <v>1400</v>
      </c>
      <c r="M231" s="4">
        <f t="shared" si="18"/>
        <v>0.8822055137844611</v>
      </c>
      <c r="N231" s="5">
        <f t="shared" si="19"/>
        <v>0.72180451127819545</v>
      </c>
      <c r="O231" s="3">
        <f t="shared" si="20"/>
        <v>47</v>
      </c>
      <c r="P231" s="3" t="str">
        <f t="shared" si="21"/>
        <v>Low</v>
      </c>
      <c r="Q231" s="3" t="str">
        <f t="shared" si="22"/>
        <v>Short Supply</v>
      </c>
      <c r="R231" s="6">
        <f t="shared" si="23"/>
        <v>33600</v>
      </c>
    </row>
    <row r="232" spans="1:18" x14ac:dyDescent="0.25">
      <c r="A232" s="2">
        <v>45778</v>
      </c>
      <c r="B232" s="3" t="s">
        <v>45</v>
      </c>
      <c r="C232" s="3" t="s">
        <v>46</v>
      </c>
      <c r="D232" s="3" t="s">
        <v>26</v>
      </c>
      <c r="E232" s="3" t="s">
        <v>34</v>
      </c>
      <c r="F232" s="3">
        <v>556</v>
      </c>
      <c r="G232" s="3">
        <v>600</v>
      </c>
      <c r="H232" s="3">
        <v>586</v>
      </c>
      <c r="I232" s="3">
        <v>523</v>
      </c>
      <c r="J232" s="3">
        <v>116</v>
      </c>
      <c r="K232" s="3">
        <v>146</v>
      </c>
      <c r="L232" s="3">
        <v>1500</v>
      </c>
      <c r="M232" s="4">
        <f t="shared" si="18"/>
        <v>1.0539568345323742</v>
      </c>
      <c r="N232" s="5">
        <f t="shared" si="19"/>
        <v>3.1510791366906474</v>
      </c>
      <c r="O232" s="3">
        <f t="shared" si="20"/>
        <v>-30</v>
      </c>
      <c r="P232" s="3" t="str">
        <f t="shared" si="21"/>
        <v>Healthy</v>
      </c>
      <c r="Q232" s="3" t="str">
        <f t="shared" si="22"/>
        <v>On Track</v>
      </c>
      <c r="R232" s="6">
        <f t="shared" si="23"/>
        <v>219000</v>
      </c>
    </row>
    <row r="233" spans="1:18" x14ac:dyDescent="0.25">
      <c r="A233" s="2">
        <v>45778</v>
      </c>
      <c r="B233" s="3" t="s">
        <v>45</v>
      </c>
      <c r="C233" s="3" t="s">
        <v>46</v>
      </c>
      <c r="D233" s="3" t="s">
        <v>28</v>
      </c>
      <c r="E233" s="3" t="s">
        <v>34</v>
      </c>
      <c r="F233" s="3">
        <v>477</v>
      </c>
      <c r="G233" s="3">
        <v>523</v>
      </c>
      <c r="H233" s="3">
        <v>461</v>
      </c>
      <c r="I233" s="3">
        <v>455</v>
      </c>
      <c r="J233" s="3">
        <v>71</v>
      </c>
      <c r="K233" s="3">
        <v>55</v>
      </c>
      <c r="L233" s="3">
        <v>1500</v>
      </c>
      <c r="M233" s="4">
        <f t="shared" si="18"/>
        <v>0.96645702306079662</v>
      </c>
      <c r="N233" s="5">
        <f t="shared" si="19"/>
        <v>1.3836477987421383</v>
      </c>
      <c r="O233" s="3">
        <f t="shared" si="20"/>
        <v>16</v>
      </c>
      <c r="P233" s="3" t="str">
        <f t="shared" si="21"/>
        <v>Medium</v>
      </c>
      <c r="Q233" s="3" t="str">
        <f t="shared" si="22"/>
        <v>Short Supply</v>
      </c>
      <c r="R233" s="6">
        <f t="shared" si="23"/>
        <v>82500</v>
      </c>
    </row>
    <row r="234" spans="1:18" x14ac:dyDescent="0.25">
      <c r="A234" s="2">
        <v>45778</v>
      </c>
      <c r="B234" s="3" t="s">
        <v>45</v>
      </c>
      <c r="C234" s="3" t="s">
        <v>46</v>
      </c>
      <c r="D234" s="3" t="s">
        <v>30</v>
      </c>
      <c r="E234" s="3" t="s">
        <v>34</v>
      </c>
      <c r="F234" s="3">
        <v>303</v>
      </c>
      <c r="G234" s="3">
        <v>287</v>
      </c>
      <c r="H234" s="3">
        <v>264</v>
      </c>
      <c r="I234" s="3">
        <v>281</v>
      </c>
      <c r="J234" s="3">
        <v>93</v>
      </c>
      <c r="K234" s="3">
        <v>54</v>
      </c>
      <c r="L234" s="3">
        <v>1500</v>
      </c>
      <c r="M234" s="4">
        <f t="shared" si="18"/>
        <v>0.87128712871287128</v>
      </c>
      <c r="N234" s="5">
        <f t="shared" si="19"/>
        <v>2.1386138613861387</v>
      </c>
      <c r="O234" s="3">
        <f t="shared" si="20"/>
        <v>39</v>
      </c>
      <c r="P234" s="3" t="str">
        <f t="shared" si="21"/>
        <v>Healthy</v>
      </c>
      <c r="Q234" s="3" t="str">
        <f t="shared" si="22"/>
        <v>Short Supply</v>
      </c>
      <c r="R234" s="6">
        <f t="shared" si="23"/>
        <v>81000</v>
      </c>
    </row>
    <row r="235" spans="1:18" x14ac:dyDescent="0.25">
      <c r="A235" s="2">
        <v>45778</v>
      </c>
      <c r="B235" s="3" t="s">
        <v>45</v>
      </c>
      <c r="C235" s="3" t="s">
        <v>46</v>
      </c>
      <c r="D235" s="3" t="s">
        <v>32</v>
      </c>
      <c r="E235" s="3" t="s">
        <v>31</v>
      </c>
      <c r="F235" s="3">
        <v>275</v>
      </c>
      <c r="G235" s="3">
        <v>297</v>
      </c>
      <c r="H235" s="3">
        <v>282</v>
      </c>
      <c r="I235" s="3">
        <v>276</v>
      </c>
      <c r="J235" s="3">
        <v>110</v>
      </c>
      <c r="K235" s="3">
        <v>117</v>
      </c>
      <c r="L235" s="3">
        <v>1500</v>
      </c>
      <c r="M235" s="4">
        <f t="shared" si="18"/>
        <v>1.0254545454545454</v>
      </c>
      <c r="N235" s="5">
        <f t="shared" si="19"/>
        <v>5.1054545454545455</v>
      </c>
      <c r="O235" s="3">
        <f t="shared" si="20"/>
        <v>-7</v>
      </c>
      <c r="P235" s="3" t="str">
        <f t="shared" si="21"/>
        <v>Healthy</v>
      </c>
      <c r="Q235" s="3" t="str">
        <f t="shared" si="22"/>
        <v>On Track</v>
      </c>
      <c r="R235" s="6">
        <f t="shared" si="23"/>
        <v>175500</v>
      </c>
    </row>
    <row r="236" spans="1:18" x14ac:dyDescent="0.25">
      <c r="A236" s="2">
        <v>45778</v>
      </c>
      <c r="B236" s="3" t="s">
        <v>45</v>
      </c>
      <c r="C236" s="3" t="s">
        <v>46</v>
      </c>
      <c r="D236" s="3" t="s">
        <v>33</v>
      </c>
      <c r="E236" s="3" t="s">
        <v>31</v>
      </c>
      <c r="F236" s="3">
        <v>375</v>
      </c>
      <c r="G236" s="3">
        <v>356</v>
      </c>
      <c r="H236" s="3">
        <v>313</v>
      </c>
      <c r="I236" s="3">
        <v>366</v>
      </c>
      <c r="J236" s="3">
        <v>105</v>
      </c>
      <c r="K236" s="3">
        <v>43</v>
      </c>
      <c r="L236" s="3">
        <v>1500</v>
      </c>
      <c r="M236" s="4">
        <f t="shared" si="18"/>
        <v>0.83466666666666667</v>
      </c>
      <c r="N236" s="5">
        <f t="shared" si="19"/>
        <v>1.3759999999999999</v>
      </c>
      <c r="O236" s="3">
        <f t="shared" si="20"/>
        <v>62</v>
      </c>
      <c r="P236" s="3" t="str">
        <f t="shared" si="21"/>
        <v>Medium</v>
      </c>
      <c r="Q236" s="3" t="str">
        <f t="shared" si="22"/>
        <v>Short Supply</v>
      </c>
      <c r="R236" s="6">
        <f t="shared" si="23"/>
        <v>64500</v>
      </c>
    </row>
    <row r="237" spans="1:18" x14ac:dyDescent="0.25">
      <c r="A237" s="2">
        <v>45778</v>
      </c>
      <c r="B237" s="3" t="s">
        <v>47</v>
      </c>
      <c r="C237" s="3" t="s">
        <v>48</v>
      </c>
      <c r="D237" s="3" t="s">
        <v>26</v>
      </c>
      <c r="E237" s="3" t="s">
        <v>27</v>
      </c>
      <c r="F237" s="3">
        <v>654</v>
      </c>
      <c r="G237" s="3">
        <v>588</v>
      </c>
      <c r="H237" s="3">
        <v>597</v>
      </c>
      <c r="I237" s="3">
        <v>608</v>
      </c>
      <c r="J237" s="3">
        <v>102</v>
      </c>
      <c r="K237" s="3">
        <v>45</v>
      </c>
      <c r="L237" s="3">
        <v>1250</v>
      </c>
      <c r="M237" s="4">
        <f t="shared" si="18"/>
        <v>0.91284403669724767</v>
      </c>
      <c r="N237" s="5">
        <f t="shared" si="19"/>
        <v>0.82568807339449546</v>
      </c>
      <c r="O237" s="3">
        <f t="shared" si="20"/>
        <v>57</v>
      </c>
      <c r="P237" s="3" t="str">
        <f t="shared" si="21"/>
        <v>Low</v>
      </c>
      <c r="Q237" s="3" t="str">
        <f t="shared" si="22"/>
        <v>Short Supply</v>
      </c>
      <c r="R237" s="6">
        <f t="shared" si="23"/>
        <v>56250</v>
      </c>
    </row>
    <row r="238" spans="1:18" x14ac:dyDescent="0.25">
      <c r="A238" s="2">
        <v>45778</v>
      </c>
      <c r="B238" s="3" t="s">
        <v>47</v>
      </c>
      <c r="C238" s="3" t="s">
        <v>48</v>
      </c>
      <c r="D238" s="3" t="s">
        <v>28</v>
      </c>
      <c r="E238" s="3" t="s">
        <v>27</v>
      </c>
      <c r="F238" s="3">
        <v>469</v>
      </c>
      <c r="G238" s="3">
        <v>465</v>
      </c>
      <c r="H238" s="3">
        <v>450</v>
      </c>
      <c r="I238" s="3">
        <v>505</v>
      </c>
      <c r="J238" s="3">
        <v>80</v>
      </c>
      <c r="K238" s="3">
        <v>61</v>
      </c>
      <c r="L238" s="3">
        <v>1250</v>
      </c>
      <c r="M238" s="4">
        <f t="shared" si="18"/>
        <v>0.95948827292110872</v>
      </c>
      <c r="N238" s="5">
        <f t="shared" si="19"/>
        <v>1.5607675906183369</v>
      </c>
      <c r="O238" s="3">
        <f t="shared" si="20"/>
        <v>19</v>
      </c>
      <c r="P238" s="3" t="str">
        <f t="shared" si="21"/>
        <v>Medium</v>
      </c>
      <c r="Q238" s="3" t="str">
        <f t="shared" si="22"/>
        <v>Short Supply</v>
      </c>
      <c r="R238" s="6">
        <f t="shared" si="23"/>
        <v>76250</v>
      </c>
    </row>
    <row r="239" spans="1:18" x14ac:dyDescent="0.25">
      <c r="A239" s="2">
        <v>45778</v>
      </c>
      <c r="B239" s="3" t="s">
        <v>47</v>
      </c>
      <c r="C239" s="3" t="s">
        <v>48</v>
      </c>
      <c r="D239" s="3" t="s">
        <v>30</v>
      </c>
      <c r="E239" s="3" t="s">
        <v>29</v>
      </c>
      <c r="F239" s="3">
        <v>344</v>
      </c>
      <c r="G239" s="3">
        <v>308</v>
      </c>
      <c r="H239" s="3">
        <v>281</v>
      </c>
      <c r="I239" s="3">
        <v>352</v>
      </c>
      <c r="J239" s="3">
        <v>68</v>
      </c>
      <c r="K239" s="3">
        <v>5</v>
      </c>
      <c r="L239" s="3">
        <v>1250</v>
      </c>
      <c r="M239" s="4">
        <f t="shared" si="18"/>
        <v>0.81686046511627908</v>
      </c>
      <c r="N239" s="5">
        <f t="shared" si="19"/>
        <v>0.1744186046511628</v>
      </c>
      <c r="O239" s="3">
        <f t="shared" si="20"/>
        <v>63</v>
      </c>
      <c r="P239" s="3" t="str">
        <f t="shared" si="21"/>
        <v>Low</v>
      </c>
      <c r="Q239" s="3" t="str">
        <f t="shared" si="22"/>
        <v>Short Supply</v>
      </c>
      <c r="R239" s="6">
        <f t="shared" si="23"/>
        <v>6250</v>
      </c>
    </row>
    <row r="240" spans="1:18" x14ac:dyDescent="0.25">
      <c r="A240" s="2">
        <v>45778</v>
      </c>
      <c r="B240" s="3" t="s">
        <v>47</v>
      </c>
      <c r="C240" s="3" t="s">
        <v>48</v>
      </c>
      <c r="D240" s="3" t="s">
        <v>32</v>
      </c>
      <c r="E240" s="3" t="s">
        <v>34</v>
      </c>
      <c r="F240" s="3">
        <v>296</v>
      </c>
      <c r="G240" s="3">
        <v>285</v>
      </c>
      <c r="H240" s="3">
        <v>264</v>
      </c>
      <c r="I240" s="3">
        <v>302</v>
      </c>
      <c r="J240" s="3">
        <v>126</v>
      </c>
      <c r="K240" s="3">
        <v>94</v>
      </c>
      <c r="L240" s="3">
        <v>1250</v>
      </c>
      <c r="M240" s="4">
        <f t="shared" si="18"/>
        <v>0.89189189189189189</v>
      </c>
      <c r="N240" s="5">
        <f t="shared" si="19"/>
        <v>3.8108108108108105</v>
      </c>
      <c r="O240" s="3">
        <f t="shared" si="20"/>
        <v>32</v>
      </c>
      <c r="P240" s="3" t="str">
        <f t="shared" si="21"/>
        <v>Healthy</v>
      </c>
      <c r="Q240" s="3" t="str">
        <f t="shared" si="22"/>
        <v>Short Supply</v>
      </c>
      <c r="R240" s="6">
        <f t="shared" si="23"/>
        <v>117500</v>
      </c>
    </row>
    <row r="241" spans="1:18" x14ac:dyDescent="0.25">
      <c r="A241" s="2">
        <v>45778</v>
      </c>
      <c r="B241" s="3" t="s">
        <v>47</v>
      </c>
      <c r="C241" s="3" t="s">
        <v>48</v>
      </c>
      <c r="D241" s="3" t="s">
        <v>33</v>
      </c>
      <c r="E241" s="3" t="s">
        <v>34</v>
      </c>
      <c r="F241" s="3">
        <v>422</v>
      </c>
      <c r="G241" s="3">
        <v>419</v>
      </c>
      <c r="H241" s="3">
        <v>379</v>
      </c>
      <c r="I241" s="3">
        <v>397</v>
      </c>
      <c r="J241" s="3">
        <v>117</v>
      </c>
      <c r="K241" s="3">
        <v>74</v>
      </c>
      <c r="L241" s="3">
        <v>1250</v>
      </c>
      <c r="M241" s="4">
        <f t="shared" si="18"/>
        <v>0.8981042654028436</v>
      </c>
      <c r="N241" s="5">
        <f t="shared" si="19"/>
        <v>2.1042654028436019</v>
      </c>
      <c r="O241" s="3">
        <f t="shared" si="20"/>
        <v>43</v>
      </c>
      <c r="P241" s="3" t="str">
        <f t="shared" si="21"/>
        <v>Healthy</v>
      </c>
      <c r="Q241" s="3" t="str">
        <f t="shared" si="22"/>
        <v>Short Supply</v>
      </c>
      <c r="R241" s="6">
        <f t="shared" si="23"/>
        <v>92500</v>
      </c>
    </row>
    <row r="242" spans="1:18" x14ac:dyDescent="0.25">
      <c r="A242" s="2">
        <v>45778</v>
      </c>
      <c r="B242" s="3" t="s">
        <v>49</v>
      </c>
      <c r="C242" s="3" t="s">
        <v>50</v>
      </c>
      <c r="D242" s="3" t="s">
        <v>26</v>
      </c>
      <c r="E242" s="3" t="s">
        <v>29</v>
      </c>
      <c r="F242" s="3">
        <v>767</v>
      </c>
      <c r="G242" s="3">
        <v>712</v>
      </c>
      <c r="H242" s="3">
        <v>705</v>
      </c>
      <c r="I242" s="3">
        <v>814</v>
      </c>
      <c r="J242" s="3">
        <v>85</v>
      </c>
      <c r="K242" s="3">
        <v>23</v>
      </c>
      <c r="L242" s="3">
        <v>1750</v>
      </c>
      <c r="M242" s="4">
        <f t="shared" si="18"/>
        <v>0.91916558018252936</v>
      </c>
      <c r="N242" s="5">
        <f t="shared" si="19"/>
        <v>0.35984354628422427</v>
      </c>
      <c r="O242" s="3">
        <f t="shared" si="20"/>
        <v>62</v>
      </c>
      <c r="P242" s="3" t="str">
        <f t="shared" si="21"/>
        <v>Low</v>
      </c>
      <c r="Q242" s="3" t="str">
        <f t="shared" si="22"/>
        <v>Short Supply</v>
      </c>
      <c r="R242" s="6">
        <f t="shared" si="23"/>
        <v>40250</v>
      </c>
    </row>
    <row r="243" spans="1:18" x14ac:dyDescent="0.25">
      <c r="A243" s="2">
        <v>45778</v>
      </c>
      <c r="B243" s="3" t="s">
        <v>49</v>
      </c>
      <c r="C243" s="3" t="s">
        <v>50</v>
      </c>
      <c r="D243" s="3" t="s">
        <v>28</v>
      </c>
      <c r="E243" s="3" t="s">
        <v>31</v>
      </c>
      <c r="F243" s="3">
        <v>696</v>
      </c>
      <c r="G243" s="3">
        <v>777</v>
      </c>
      <c r="H243" s="3">
        <v>742</v>
      </c>
      <c r="I243" s="3">
        <v>668</v>
      </c>
      <c r="J243" s="3">
        <v>120</v>
      </c>
      <c r="K243" s="3">
        <v>166</v>
      </c>
      <c r="L243" s="3">
        <v>1750</v>
      </c>
      <c r="M243" s="4">
        <f t="shared" si="18"/>
        <v>1.0660919540229885</v>
      </c>
      <c r="N243" s="5">
        <f t="shared" si="19"/>
        <v>2.8620689655172411</v>
      </c>
      <c r="O243" s="3">
        <f t="shared" si="20"/>
        <v>-46</v>
      </c>
      <c r="P243" s="3" t="str">
        <f t="shared" si="21"/>
        <v>Healthy</v>
      </c>
      <c r="Q243" s="3" t="str">
        <f t="shared" si="22"/>
        <v>On Track</v>
      </c>
      <c r="R243" s="6">
        <f t="shared" si="23"/>
        <v>290500</v>
      </c>
    </row>
    <row r="244" spans="1:18" x14ac:dyDescent="0.25">
      <c r="A244" s="2">
        <v>45778</v>
      </c>
      <c r="B244" s="3" t="s">
        <v>49</v>
      </c>
      <c r="C244" s="3" t="s">
        <v>50</v>
      </c>
      <c r="D244" s="3" t="s">
        <v>30</v>
      </c>
      <c r="E244" s="3" t="s">
        <v>29</v>
      </c>
      <c r="F244" s="3">
        <v>481</v>
      </c>
      <c r="G244" s="3">
        <v>522</v>
      </c>
      <c r="H244" s="3">
        <v>462</v>
      </c>
      <c r="I244" s="3">
        <v>492</v>
      </c>
      <c r="J244" s="3">
        <v>81</v>
      </c>
      <c r="K244" s="3">
        <v>62</v>
      </c>
      <c r="L244" s="3">
        <v>1750</v>
      </c>
      <c r="M244" s="4">
        <f t="shared" si="18"/>
        <v>0.96049896049896055</v>
      </c>
      <c r="N244" s="5">
        <f t="shared" si="19"/>
        <v>1.5467775467775469</v>
      </c>
      <c r="O244" s="3">
        <f t="shared" si="20"/>
        <v>19</v>
      </c>
      <c r="P244" s="3" t="str">
        <f t="shared" si="21"/>
        <v>Medium</v>
      </c>
      <c r="Q244" s="3" t="str">
        <f t="shared" si="22"/>
        <v>Short Supply</v>
      </c>
      <c r="R244" s="6">
        <f t="shared" si="23"/>
        <v>108500</v>
      </c>
    </row>
    <row r="245" spans="1:18" x14ac:dyDescent="0.25">
      <c r="A245" s="2">
        <v>45778</v>
      </c>
      <c r="B245" s="3" t="s">
        <v>49</v>
      </c>
      <c r="C245" s="3" t="s">
        <v>50</v>
      </c>
      <c r="D245" s="3" t="s">
        <v>32</v>
      </c>
      <c r="E245" s="3" t="s">
        <v>31</v>
      </c>
      <c r="F245" s="3">
        <v>466</v>
      </c>
      <c r="G245" s="3">
        <v>454</v>
      </c>
      <c r="H245" s="3">
        <v>427</v>
      </c>
      <c r="I245" s="3">
        <v>500</v>
      </c>
      <c r="J245" s="3">
        <v>87</v>
      </c>
      <c r="K245" s="3">
        <v>48</v>
      </c>
      <c r="L245" s="3">
        <v>1750</v>
      </c>
      <c r="M245" s="4">
        <f t="shared" si="18"/>
        <v>0.91630901287553645</v>
      </c>
      <c r="N245" s="5">
        <f t="shared" si="19"/>
        <v>1.2360515021459229</v>
      </c>
      <c r="O245" s="3">
        <f t="shared" si="20"/>
        <v>39</v>
      </c>
      <c r="P245" s="3" t="str">
        <f t="shared" si="21"/>
        <v>Medium</v>
      </c>
      <c r="Q245" s="3" t="str">
        <f t="shared" si="22"/>
        <v>Short Supply</v>
      </c>
      <c r="R245" s="6">
        <f t="shared" si="23"/>
        <v>84000</v>
      </c>
    </row>
    <row r="246" spans="1:18" x14ac:dyDescent="0.25">
      <c r="A246" s="2">
        <v>45778</v>
      </c>
      <c r="B246" s="3" t="s">
        <v>49</v>
      </c>
      <c r="C246" s="3" t="s">
        <v>50</v>
      </c>
      <c r="D246" s="3" t="s">
        <v>33</v>
      </c>
      <c r="E246" s="3" t="s">
        <v>34</v>
      </c>
      <c r="F246" s="3">
        <v>527</v>
      </c>
      <c r="G246" s="3">
        <v>526</v>
      </c>
      <c r="H246" s="3">
        <v>530</v>
      </c>
      <c r="I246" s="3">
        <v>528</v>
      </c>
      <c r="J246" s="3">
        <v>124</v>
      </c>
      <c r="K246" s="3">
        <v>127</v>
      </c>
      <c r="L246" s="3">
        <v>1750</v>
      </c>
      <c r="M246" s="4">
        <f t="shared" si="18"/>
        <v>1.0056925996204933</v>
      </c>
      <c r="N246" s="5">
        <f t="shared" si="19"/>
        <v>2.8918406072106264</v>
      </c>
      <c r="O246" s="3">
        <f t="shared" si="20"/>
        <v>-3</v>
      </c>
      <c r="P246" s="3" t="str">
        <f t="shared" si="21"/>
        <v>Healthy</v>
      </c>
      <c r="Q246" s="3" t="str">
        <f t="shared" si="22"/>
        <v>On Track</v>
      </c>
      <c r="R246" s="6">
        <f t="shared" si="23"/>
        <v>222250</v>
      </c>
    </row>
    <row r="247" spans="1:18" x14ac:dyDescent="0.25">
      <c r="A247" s="2">
        <v>45778</v>
      </c>
      <c r="B247" s="3" t="s">
        <v>51</v>
      </c>
      <c r="C247" s="3" t="s">
        <v>36</v>
      </c>
      <c r="D247" s="3" t="s">
        <v>26</v>
      </c>
      <c r="E247" s="3" t="s">
        <v>27</v>
      </c>
      <c r="F247" s="3">
        <v>596</v>
      </c>
      <c r="G247" s="3">
        <v>610</v>
      </c>
      <c r="H247" s="3">
        <v>607</v>
      </c>
      <c r="I247" s="3">
        <v>600</v>
      </c>
      <c r="J247" s="3">
        <v>85</v>
      </c>
      <c r="K247" s="3">
        <v>96</v>
      </c>
      <c r="L247" s="3">
        <v>1450</v>
      </c>
      <c r="M247" s="4">
        <f t="shared" si="18"/>
        <v>1.0184563758389262</v>
      </c>
      <c r="N247" s="5">
        <f t="shared" si="19"/>
        <v>1.9328859060402683</v>
      </c>
      <c r="O247" s="3">
        <f t="shared" si="20"/>
        <v>-11</v>
      </c>
      <c r="P247" s="3" t="str">
        <f t="shared" si="21"/>
        <v>Medium</v>
      </c>
      <c r="Q247" s="3" t="str">
        <f t="shared" si="22"/>
        <v>On Track</v>
      </c>
      <c r="R247" s="6">
        <f t="shared" si="23"/>
        <v>139200</v>
      </c>
    </row>
    <row r="248" spans="1:18" x14ac:dyDescent="0.25">
      <c r="A248" s="2">
        <v>45778</v>
      </c>
      <c r="B248" s="3" t="s">
        <v>51</v>
      </c>
      <c r="C248" s="3" t="s">
        <v>36</v>
      </c>
      <c r="D248" s="3" t="s">
        <v>28</v>
      </c>
      <c r="E248" s="3" t="s">
        <v>34</v>
      </c>
      <c r="F248" s="3">
        <v>503</v>
      </c>
      <c r="G248" s="3">
        <v>478</v>
      </c>
      <c r="H248" s="3">
        <v>450</v>
      </c>
      <c r="I248" s="3">
        <v>520</v>
      </c>
      <c r="J248" s="3">
        <v>73</v>
      </c>
      <c r="K248" s="3">
        <v>20</v>
      </c>
      <c r="L248" s="3">
        <v>1450</v>
      </c>
      <c r="M248" s="4">
        <f t="shared" si="18"/>
        <v>0.89463220675944333</v>
      </c>
      <c r="N248" s="5">
        <f t="shared" si="19"/>
        <v>0.47713717693836977</v>
      </c>
      <c r="O248" s="3">
        <f t="shared" si="20"/>
        <v>53</v>
      </c>
      <c r="P248" s="3" t="str">
        <f t="shared" si="21"/>
        <v>Low</v>
      </c>
      <c r="Q248" s="3" t="str">
        <f t="shared" si="22"/>
        <v>Short Supply</v>
      </c>
      <c r="R248" s="6">
        <f t="shared" si="23"/>
        <v>29000</v>
      </c>
    </row>
    <row r="249" spans="1:18" x14ac:dyDescent="0.25">
      <c r="A249" s="2">
        <v>45778</v>
      </c>
      <c r="B249" s="3" t="s">
        <v>51</v>
      </c>
      <c r="C249" s="3" t="s">
        <v>36</v>
      </c>
      <c r="D249" s="3" t="s">
        <v>30</v>
      </c>
      <c r="E249" s="3" t="s">
        <v>29</v>
      </c>
      <c r="F249" s="3">
        <v>377</v>
      </c>
      <c r="G249" s="3">
        <v>335</v>
      </c>
      <c r="H249" s="3">
        <v>335</v>
      </c>
      <c r="I249" s="3">
        <v>368</v>
      </c>
      <c r="J249" s="3">
        <v>139</v>
      </c>
      <c r="K249" s="3">
        <v>97</v>
      </c>
      <c r="L249" s="3">
        <v>1450</v>
      </c>
      <c r="M249" s="4">
        <f t="shared" si="18"/>
        <v>0.8885941644562334</v>
      </c>
      <c r="N249" s="5">
        <f t="shared" si="19"/>
        <v>3.0875331564986737</v>
      </c>
      <c r="O249" s="3">
        <f t="shared" si="20"/>
        <v>42</v>
      </c>
      <c r="P249" s="3" t="str">
        <f t="shared" si="21"/>
        <v>Healthy</v>
      </c>
      <c r="Q249" s="3" t="str">
        <f t="shared" si="22"/>
        <v>Short Supply</v>
      </c>
      <c r="R249" s="6">
        <f t="shared" si="23"/>
        <v>140650</v>
      </c>
    </row>
    <row r="250" spans="1:18" x14ac:dyDescent="0.25">
      <c r="A250" s="2">
        <v>45778</v>
      </c>
      <c r="B250" s="3" t="s">
        <v>51</v>
      </c>
      <c r="C250" s="3" t="s">
        <v>36</v>
      </c>
      <c r="D250" s="3" t="s">
        <v>32</v>
      </c>
      <c r="E250" s="3" t="s">
        <v>31</v>
      </c>
      <c r="F250" s="3">
        <v>379</v>
      </c>
      <c r="G250" s="3">
        <v>405</v>
      </c>
      <c r="H250" s="3">
        <v>359</v>
      </c>
      <c r="I250" s="3">
        <v>389</v>
      </c>
      <c r="J250" s="3">
        <v>92</v>
      </c>
      <c r="K250" s="3">
        <v>72</v>
      </c>
      <c r="L250" s="3">
        <v>1450</v>
      </c>
      <c r="M250" s="4">
        <f t="shared" si="18"/>
        <v>0.94722955145118737</v>
      </c>
      <c r="N250" s="5">
        <f t="shared" si="19"/>
        <v>2.2796833773087068</v>
      </c>
      <c r="O250" s="3">
        <f t="shared" si="20"/>
        <v>20</v>
      </c>
      <c r="P250" s="3" t="str">
        <f t="shared" si="21"/>
        <v>Healthy</v>
      </c>
      <c r="Q250" s="3" t="str">
        <f t="shared" si="22"/>
        <v>Short Supply</v>
      </c>
      <c r="R250" s="6">
        <f t="shared" si="23"/>
        <v>104400</v>
      </c>
    </row>
    <row r="251" spans="1:18" x14ac:dyDescent="0.25">
      <c r="A251" s="2">
        <v>45778</v>
      </c>
      <c r="B251" s="3" t="s">
        <v>51</v>
      </c>
      <c r="C251" s="3" t="s">
        <v>36</v>
      </c>
      <c r="D251" s="3" t="s">
        <v>33</v>
      </c>
      <c r="E251" s="3" t="s">
        <v>27</v>
      </c>
      <c r="F251" s="3">
        <v>459</v>
      </c>
      <c r="G251" s="3">
        <v>419</v>
      </c>
      <c r="H251" s="3">
        <v>404</v>
      </c>
      <c r="I251" s="3">
        <v>479</v>
      </c>
      <c r="J251" s="3">
        <v>62</v>
      </c>
      <c r="K251" s="3">
        <v>7</v>
      </c>
      <c r="L251" s="3">
        <v>1450</v>
      </c>
      <c r="M251" s="4">
        <f t="shared" si="18"/>
        <v>0.88017429193899777</v>
      </c>
      <c r="N251" s="5">
        <f t="shared" si="19"/>
        <v>0.18300653594771243</v>
      </c>
      <c r="O251" s="3">
        <f t="shared" si="20"/>
        <v>55</v>
      </c>
      <c r="P251" s="3" t="str">
        <f t="shared" si="21"/>
        <v>Low</v>
      </c>
      <c r="Q251" s="3" t="str">
        <f t="shared" si="22"/>
        <v>Short Supply</v>
      </c>
      <c r="R251" s="6">
        <f t="shared" si="23"/>
        <v>10150</v>
      </c>
    </row>
    <row r="252" spans="1:18" x14ac:dyDescent="0.25">
      <c r="A252" s="2">
        <v>45809</v>
      </c>
      <c r="B252" s="3" t="s">
        <v>24</v>
      </c>
      <c r="C252" s="3" t="s">
        <v>25</v>
      </c>
      <c r="D252" s="3" t="s">
        <v>26</v>
      </c>
      <c r="E252" s="3" t="s">
        <v>31</v>
      </c>
      <c r="F252" s="3">
        <v>914</v>
      </c>
      <c r="G252" s="3">
        <v>945</v>
      </c>
      <c r="H252" s="3">
        <v>879</v>
      </c>
      <c r="I252" s="3">
        <v>979</v>
      </c>
      <c r="J252" s="3">
        <v>62</v>
      </c>
      <c r="K252" s="3">
        <v>27</v>
      </c>
      <c r="L252" s="3">
        <v>1800</v>
      </c>
      <c r="M252" s="4">
        <f t="shared" si="18"/>
        <v>0.96170678336980309</v>
      </c>
      <c r="N252" s="5">
        <f t="shared" si="19"/>
        <v>0.35448577680525167</v>
      </c>
      <c r="O252" s="3">
        <f t="shared" si="20"/>
        <v>35</v>
      </c>
      <c r="P252" s="3" t="str">
        <f t="shared" si="21"/>
        <v>Low</v>
      </c>
      <c r="Q252" s="3" t="str">
        <f t="shared" si="22"/>
        <v>Short Supply</v>
      </c>
      <c r="R252" s="6">
        <f t="shared" si="23"/>
        <v>48600</v>
      </c>
    </row>
    <row r="253" spans="1:18" x14ac:dyDescent="0.25">
      <c r="A253" s="2">
        <v>45809</v>
      </c>
      <c r="B253" s="3" t="s">
        <v>24</v>
      </c>
      <c r="C253" s="3" t="s">
        <v>25</v>
      </c>
      <c r="D253" s="3" t="s">
        <v>28</v>
      </c>
      <c r="E253" s="3" t="s">
        <v>29</v>
      </c>
      <c r="F253" s="3">
        <v>814</v>
      </c>
      <c r="G253" s="3">
        <v>901</v>
      </c>
      <c r="H253" s="3">
        <v>839</v>
      </c>
      <c r="I253" s="3">
        <v>848</v>
      </c>
      <c r="J253" s="3">
        <v>105</v>
      </c>
      <c r="K253" s="3">
        <v>130</v>
      </c>
      <c r="L253" s="3">
        <v>1800</v>
      </c>
      <c r="M253" s="4">
        <f t="shared" si="18"/>
        <v>1.0307125307125307</v>
      </c>
      <c r="N253" s="5">
        <f t="shared" si="19"/>
        <v>1.9164619164619163</v>
      </c>
      <c r="O253" s="3">
        <f t="shared" si="20"/>
        <v>-25</v>
      </c>
      <c r="P253" s="3" t="str">
        <f t="shared" si="21"/>
        <v>Medium</v>
      </c>
      <c r="Q253" s="3" t="str">
        <f t="shared" si="22"/>
        <v>On Track</v>
      </c>
      <c r="R253" s="6">
        <f t="shared" si="23"/>
        <v>234000</v>
      </c>
    </row>
    <row r="254" spans="1:18" x14ac:dyDescent="0.25">
      <c r="A254" s="2">
        <v>45809</v>
      </c>
      <c r="B254" s="3" t="s">
        <v>24</v>
      </c>
      <c r="C254" s="3" t="s">
        <v>25</v>
      </c>
      <c r="D254" s="3" t="s">
        <v>30</v>
      </c>
      <c r="E254" s="3" t="s">
        <v>34</v>
      </c>
      <c r="F254" s="3">
        <v>556</v>
      </c>
      <c r="G254" s="3">
        <v>575</v>
      </c>
      <c r="H254" s="3">
        <v>526</v>
      </c>
      <c r="I254" s="3">
        <v>521</v>
      </c>
      <c r="J254" s="3">
        <v>118</v>
      </c>
      <c r="K254" s="3">
        <v>88</v>
      </c>
      <c r="L254" s="3">
        <v>1800</v>
      </c>
      <c r="M254" s="4">
        <f t="shared" si="18"/>
        <v>0.9460431654676259</v>
      </c>
      <c r="N254" s="5">
        <f t="shared" si="19"/>
        <v>1.8992805755395681</v>
      </c>
      <c r="O254" s="3">
        <f t="shared" si="20"/>
        <v>30</v>
      </c>
      <c r="P254" s="3" t="str">
        <f t="shared" si="21"/>
        <v>Medium</v>
      </c>
      <c r="Q254" s="3" t="str">
        <f t="shared" si="22"/>
        <v>Short Supply</v>
      </c>
      <c r="R254" s="6">
        <f t="shared" si="23"/>
        <v>158400</v>
      </c>
    </row>
    <row r="255" spans="1:18" x14ac:dyDescent="0.25">
      <c r="A255" s="2">
        <v>45809</v>
      </c>
      <c r="B255" s="3" t="s">
        <v>24</v>
      </c>
      <c r="C255" s="3" t="s">
        <v>25</v>
      </c>
      <c r="D255" s="3" t="s">
        <v>32</v>
      </c>
      <c r="E255" s="3" t="s">
        <v>31</v>
      </c>
      <c r="F255" s="3">
        <v>532</v>
      </c>
      <c r="G255" s="3">
        <v>584</v>
      </c>
      <c r="H255" s="3">
        <v>523</v>
      </c>
      <c r="I255" s="3">
        <v>555</v>
      </c>
      <c r="J255" s="3">
        <v>116</v>
      </c>
      <c r="K255" s="3">
        <v>107</v>
      </c>
      <c r="L255" s="3">
        <v>1800</v>
      </c>
      <c r="M255" s="4">
        <f t="shared" si="18"/>
        <v>0.98308270676691734</v>
      </c>
      <c r="N255" s="5">
        <f t="shared" si="19"/>
        <v>2.4135338345864663</v>
      </c>
      <c r="O255" s="3">
        <f t="shared" si="20"/>
        <v>9</v>
      </c>
      <c r="P255" s="3" t="str">
        <f t="shared" si="21"/>
        <v>Healthy</v>
      </c>
      <c r="Q255" s="3" t="str">
        <f t="shared" si="22"/>
        <v>Short Supply</v>
      </c>
      <c r="R255" s="6">
        <f t="shared" si="23"/>
        <v>192600</v>
      </c>
    </row>
    <row r="256" spans="1:18" x14ac:dyDescent="0.25">
      <c r="A256" s="2">
        <v>45809</v>
      </c>
      <c r="B256" s="3" t="s">
        <v>24</v>
      </c>
      <c r="C256" s="3" t="s">
        <v>25</v>
      </c>
      <c r="D256" s="3" t="s">
        <v>33</v>
      </c>
      <c r="E256" s="3" t="s">
        <v>27</v>
      </c>
      <c r="F256" s="3">
        <v>676</v>
      </c>
      <c r="G256" s="3">
        <v>641</v>
      </c>
      <c r="H256" s="3">
        <v>646</v>
      </c>
      <c r="I256" s="3">
        <v>675</v>
      </c>
      <c r="J256" s="3">
        <v>69</v>
      </c>
      <c r="K256" s="3">
        <v>39</v>
      </c>
      <c r="L256" s="3">
        <v>1800</v>
      </c>
      <c r="M256" s="4">
        <f t="shared" si="18"/>
        <v>0.95562130177514792</v>
      </c>
      <c r="N256" s="5">
        <f t="shared" si="19"/>
        <v>0.69230769230769229</v>
      </c>
      <c r="O256" s="3">
        <f t="shared" si="20"/>
        <v>30</v>
      </c>
      <c r="P256" s="3" t="str">
        <f t="shared" si="21"/>
        <v>Low</v>
      </c>
      <c r="Q256" s="3" t="str">
        <f t="shared" si="22"/>
        <v>Short Supply</v>
      </c>
      <c r="R256" s="6">
        <f t="shared" si="23"/>
        <v>70200</v>
      </c>
    </row>
    <row r="257" spans="1:18" x14ac:dyDescent="0.25">
      <c r="A257" s="2">
        <v>45809</v>
      </c>
      <c r="B257" s="3" t="s">
        <v>35</v>
      </c>
      <c r="C257" s="3" t="s">
        <v>36</v>
      </c>
      <c r="D257" s="3" t="s">
        <v>26</v>
      </c>
      <c r="E257" s="3" t="s">
        <v>29</v>
      </c>
      <c r="F257" s="3">
        <v>795</v>
      </c>
      <c r="G257" s="3">
        <v>871</v>
      </c>
      <c r="H257" s="3">
        <v>820</v>
      </c>
      <c r="I257" s="3">
        <v>742</v>
      </c>
      <c r="J257" s="3">
        <v>114</v>
      </c>
      <c r="K257" s="3">
        <v>139</v>
      </c>
      <c r="L257" s="3">
        <v>1600</v>
      </c>
      <c r="M257" s="4">
        <f t="shared" si="18"/>
        <v>1.0314465408805031</v>
      </c>
      <c r="N257" s="5">
        <f t="shared" si="19"/>
        <v>2.0981132075471698</v>
      </c>
      <c r="O257" s="3">
        <f t="shared" si="20"/>
        <v>-25</v>
      </c>
      <c r="P257" s="3" t="str">
        <f t="shared" si="21"/>
        <v>Healthy</v>
      </c>
      <c r="Q257" s="3" t="str">
        <f t="shared" si="22"/>
        <v>On Track</v>
      </c>
      <c r="R257" s="6">
        <f t="shared" si="23"/>
        <v>222400</v>
      </c>
    </row>
    <row r="258" spans="1:18" x14ac:dyDescent="0.25">
      <c r="A258" s="2">
        <v>45809</v>
      </c>
      <c r="B258" s="3" t="s">
        <v>35</v>
      </c>
      <c r="C258" s="3" t="s">
        <v>36</v>
      </c>
      <c r="D258" s="3" t="s">
        <v>28</v>
      </c>
      <c r="E258" s="3" t="s">
        <v>31</v>
      </c>
      <c r="F258" s="3">
        <v>659</v>
      </c>
      <c r="G258" s="3">
        <v>692</v>
      </c>
      <c r="H258" s="3">
        <v>662</v>
      </c>
      <c r="I258" s="3">
        <v>636</v>
      </c>
      <c r="J258" s="3">
        <v>83</v>
      </c>
      <c r="K258" s="3">
        <v>86</v>
      </c>
      <c r="L258" s="3">
        <v>1600</v>
      </c>
      <c r="M258" s="4">
        <f t="shared" ref="M258:M321" si="24">IFERROR(H258/F258,0)</f>
        <v>1.0045523520485584</v>
      </c>
      <c r="N258" s="5">
        <f t="shared" ref="N258:N321" si="25">IFERROR(K258/F258*12,0)</f>
        <v>1.5660091047040972</v>
      </c>
      <c r="O258" s="3">
        <f t="shared" ref="O258:O321" si="26">F258-H258</f>
        <v>-3</v>
      </c>
      <c r="P258" s="3" t="str">
        <f t="shared" ref="P258:P321" si="27">IF(N258&lt;1,"Low",IF(N258&lt;=2,"Medium","Healthy"))</f>
        <v>Medium</v>
      </c>
      <c r="Q258" s="3" t="str">
        <f t="shared" ref="Q258:Q321" si="28">IF(H258&lt;F258,"Short Supply","On Track")</f>
        <v>On Track</v>
      </c>
      <c r="R258" s="6">
        <f t="shared" ref="R258:R321" si="29">K258*L258</f>
        <v>137600</v>
      </c>
    </row>
    <row r="259" spans="1:18" x14ac:dyDescent="0.25">
      <c r="A259" s="2">
        <v>45809</v>
      </c>
      <c r="B259" s="3" t="s">
        <v>35</v>
      </c>
      <c r="C259" s="3" t="s">
        <v>36</v>
      </c>
      <c r="D259" s="3" t="s">
        <v>30</v>
      </c>
      <c r="E259" s="3" t="s">
        <v>27</v>
      </c>
      <c r="F259" s="3">
        <v>496</v>
      </c>
      <c r="G259" s="3">
        <v>546</v>
      </c>
      <c r="H259" s="3">
        <v>529</v>
      </c>
      <c r="I259" s="3">
        <v>519</v>
      </c>
      <c r="J259" s="3">
        <v>100</v>
      </c>
      <c r="K259" s="3">
        <v>133</v>
      </c>
      <c r="L259" s="3">
        <v>1600</v>
      </c>
      <c r="M259" s="4">
        <f t="shared" si="24"/>
        <v>1.0665322580645162</v>
      </c>
      <c r="N259" s="5">
        <f t="shared" si="25"/>
        <v>3.217741935483871</v>
      </c>
      <c r="O259" s="3">
        <f t="shared" si="26"/>
        <v>-33</v>
      </c>
      <c r="P259" s="3" t="str">
        <f t="shared" si="27"/>
        <v>Healthy</v>
      </c>
      <c r="Q259" s="3" t="str">
        <f t="shared" si="28"/>
        <v>On Track</v>
      </c>
      <c r="R259" s="6">
        <f t="shared" si="29"/>
        <v>212800</v>
      </c>
    </row>
    <row r="260" spans="1:18" x14ac:dyDescent="0.25">
      <c r="A260" s="2">
        <v>45809</v>
      </c>
      <c r="B260" s="3" t="s">
        <v>35</v>
      </c>
      <c r="C260" s="3" t="s">
        <v>36</v>
      </c>
      <c r="D260" s="3" t="s">
        <v>32</v>
      </c>
      <c r="E260" s="3" t="s">
        <v>29</v>
      </c>
      <c r="F260" s="3">
        <v>493</v>
      </c>
      <c r="G260" s="3">
        <v>527</v>
      </c>
      <c r="H260" s="3">
        <v>481</v>
      </c>
      <c r="I260" s="3">
        <v>492</v>
      </c>
      <c r="J260" s="3">
        <v>88</v>
      </c>
      <c r="K260" s="3">
        <v>76</v>
      </c>
      <c r="L260" s="3">
        <v>1600</v>
      </c>
      <c r="M260" s="4">
        <f t="shared" si="24"/>
        <v>0.97565922920892489</v>
      </c>
      <c r="N260" s="5">
        <f t="shared" si="25"/>
        <v>1.8498985801217038</v>
      </c>
      <c r="O260" s="3">
        <f t="shared" si="26"/>
        <v>12</v>
      </c>
      <c r="P260" s="3" t="str">
        <f t="shared" si="27"/>
        <v>Medium</v>
      </c>
      <c r="Q260" s="3" t="str">
        <f t="shared" si="28"/>
        <v>Short Supply</v>
      </c>
      <c r="R260" s="6">
        <f t="shared" si="29"/>
        <v>121600</v>
      </c>
    </row>
    <row r="261" spans="1:18" x14ac:dyDescent="0.25">
      <c r="A261" s="2">
        <v>45809</v>
      </c>
      <c r="B261" s="3" t="s">
        <v>35</v>
      </c>
      <c r="C261" s="3" t="s">
        <v>36</v>
      </c>
      <c r="D261" s="3" t="s">
        <v>33</v>
      </c>
      <c r="E261" s="3" t="s">
        <v>34</v>
      </c>
      <c r="F261" s="3">
        <v>473</v>
      </c>
      <c r="G261" s="3">
        <v>527</v>
      </c>
      <c r="H261" s="3">
        <v>473</v>
      </c>
      <c r="I261" s="3">
        <v>502</v>
      </c>
      <c r="J261" s="3">
        <v>65</v>
      </c>
      <c r="K261" s="3">
        <v>65</v>
      </c>
      <c r="L261" s="3">
        <v>1600</v>
      </c>
      <c r="M261" s="4">
        <f t="shared" si="24"/>
        <v>1</v>
      </c>
      <c r="N261" s="5">
        <f t="shared" si="25"/>
        <v>1.6490486257928119</v>
      </c>
      <c r="O261" s="3">
        <f t="shared" si="26"/>
        <v>0</v>
      </c>
      <c r="P261" s="3" t="str">
        <f t="shared" si="27"/>
        <v>Medium</v>
      </c>
      <c r="Q261" s="3" t="str">
        <f t="shared" si="28"/>
        <v>On Track</v>
      </c>
      <c r="R261" s="6">
        <f t="shared" si="29"/>
        <v>104000</v>
      </c>
    </row>
    <row r="262" spans="1:18" x14ac:dyDescent="0.25">
      <c r="A262" s="2">
        <v>45809</v>
      </c>
      <c r="B262" s="3" t="s">
        <v>37</v>
      </c>
      <c r="C262" s="3" t="s">
        <v>38</v>
      </c>
      <c r="D262" s="3" t="s">
        <v>26</v>
      </c>
      <c r="E262" s="3" t="s">
        <v>27</v>
      </c>
      <c r="F262" s="3">
        <v>785</v>
      </c>
      <c r="G262" s="3">
        <v>826</v>
      </c>
      <c r="H262" s="3">
        <v>787</v>
      </c>
      <c r="I262" s="3">
        <v>818</v>
      </c>
      <c r="J262" s="3">
        <v>125</v>
      </c>
      <c r="K262" s="3">
        <v>127</v>
      </c>
      <c r="L262" s="3">
        <v>1300</v>
      </c>
      <c r="M262" s="4">
        <f t="shared" si="24"/>
        <v>1.0025477707006369</v>
      </c>
      <c r="N262" s="5">
        <f t="shared" si="25"/>
        <v>1.9414012738853503</v>
      </c>
      <c r="O262" s="3">
        <f t="shared" si="26"/>
        <v>-2</v>
      </c>
      <c r="P262" s="3" t="str">
        <f t="shared" si="27"/>
        <v>Medium</v>
      </c>
      <c r="Q262" s="3" t="str">
        <f t="shared" si="28"/>
        <v>On Track</v>
      </c>
      <c r="R262" s="6">
        <f t="shared" si="29"/>
        <v>165100</v>
      </c>
    </row>
    <row r="263" spans="1:18" x14ac:dyDescent="0.25">
      <c r="A263" s="2">
        <v>45809</v>
      </c>
      <c r="B263" s="3" t="s">
        <v>37</v>
      </c>
      <c r="C263" s="3" t="s">
        <v>38</v>
      </c>
      <c r="D263" s="3" t="s">
        <v>28</v>
      </c>
      <c r="E263" s="3" t="s">
        <v>31</v>
      </c>
      <c r="F263" s="3">
        <v>471</v>
      </c>
      <c r="G263" s="3">
        <v>450</v>
      </c>
      <c r="H263" s="3">
        <v>400</v>
      </c>
      <c r="I263" s="3">
        <v>468</v>
      </c>
      <c r="J263" s="3">
        <v>101</v>
      </c>
      <c r="K263" s="3">
        <v>30</v>
      </c>
      <c r="L263" s="3">
        <v>1300</v>
      </c>
      <c r="M263" s="4">
        <f t="shared" si="24"/>
        <v>0.84925690021231426</v>
      </c>
      <c r="N263" s="5">
        <f t="shared" si="25"/>
        <v>0.76433121019108285</v>
      </c>
      <c r="O263" s="3">
        <f t="shared" si="26"/>
        <v>71</v>
      </c>
      <c r="P263" s="3" t="str">
        <f t="shared" si="27"/>
        <v>Low</v>
      </c>
      <c r="Q263" s="3" t="str">
        <f t="shared" si="28"/>
        <v>Short Supply</v>
      </c>
      <c r="R263" s="6">
        <f t="shared" si="29"/>
        <v>39000</v>
      </c>
    </row>
    <row r="264" spans="1:18" x14ac:dyDescent="0.25">
      <c r="A264" s="2">
        <v>45809</v>
      </c>
      <c r="B264" s="3" t="s">
        <v>37</v>
      </c>
      <c r="C264" s="3" t="s">
        <v>38</v>
      </c>
      <c r="D264" s="3" t="s">
        <v>30</v>
      </c>
      <c r="E264" s="3" t="s">
        <v>34</v>
      </c>
      <c r="F264" s="3">
        <v>439</v>
      </c>
      <c r="G264" s="3">
        <v>468</v>
      </c>
      <c r="H264" s="3">
        <v>453</v>
      </c>
      <c r="I264" s="3">
        <v>416</v>
      </c>
      <c r="J264" s="3">
        <v>137</v>
      </c>
      <c r="K264" s="3">
        <v>151</v>
      </c>
      <c r="L264" s="3">
        <v>1300</v>
      </c>
      <c r="M264" s="4">
        <f t="shared" si="24"/>
        <v>1.0318906605922551</v>
      </c>
      <c r="N264" s="5">
        <f t="shared" si="25"/>
        <v>4.1275626423690204</v>
      </c>
      <c r="O264" s="3">
        <f t="shared" si="26"/>
        <v>-14</v>
      </c>
      <c r="P264" s="3" t="str">
        <f t="shared" si="27"/>
        <v>Healthy</v>
      </c>
      <c r="Q264" s="3" t="str">
        <f t="shared" si="28"/>
        <v>On Track</v>
      </c>
      <c r="R264" s="6">
        <f t="shared" si="29"/>
        <v>196300</v>
      </c>
    </row>
    <row r="265" spans="1:18" x14ac:dyDescent="0.25">
      <c r="A265" s="2">
        <v>45809</v>
      </c>
      <c r="B265" s="3" t="s">
        <v>37</v>
      </c>
      <c r="C265" s="3" t="s">
        <v>38</v>
      </c>
      <c r="D265" s="3" t="s">
        <v>32</v>
      </c>
      <c r="E265" s="3" t="s">
        <v>31</v>
      </c>
      <c r="F265" s="3">
        <v>364</v>
      </c>
      <c r="G265" s="3">
        <v>396</v>
      </c>
      <c r="H265" s="3">
        <v>394</v>
      </c>
      <c r="I265" s="3">
        <v>365</v>
      </c>
      <c r="J265" s="3">
        <v>84</v>
      </c>
      <c r="K265" s="3">
        <v>114</v>
      </c>
      <c r="L265" s="3">
        <v>1300</v>
      </c>
      <c r="M265" s="4">
        <f t="shared" si="24"/>
        <v>1.0824175824175823</v>
      </c>
      <c r="N265" s="5">
        <f t="shared" si="25"/>
        <v>3.7582417582417582</v>
      </c>
      <c r="O265" s="3">
        <f t="shared" si="26"/>
        <v>-30</v>
      </c>
      <c r="P265" s="3" t="str">
        <f t="shared" si="27"/>
        <v>Healthy</v>
      </c>
      <c r="Q265" s="3" t="str">
        <f t="shared" si="28"/>
        <v>On Track</v>
      </c>
      <c r="R265" s="6">
        <f t="shared" si="29"/>
        <v>148200</v>
      </c>
    </row>
    <row r="266" spans="1:18" x14ac:dyDescent="0.25">
      <c r="A266" s="2">
        <v>45809</v>
      </c>
      <c r="B266" s="3" t="s">
        <v>37</v>
      </c>
      <c r="C266" s="3" t="s">
        <v>38</v>
      </c>
      <c r="D266" s="3" t="s">
        <v>33</v>
      </c>
      <c r="E266" s="3" t="s">
        <v>27</v>
      </c>
      <c r="F266" s="3">
        <v>383</v>
      </c>
      <c r="G266" s="3">
        <v>402</v>
      </c>
      <c r="H266" s="3">
        <v>373</v>
      </c>
      <c r="I266" s="3">
        <v>410</v>
      </c>
      <c r="J266" s="3">
        <v>131</v>
      </c>
      <c r="K266" s="3">
        <v>121</v>
      </c>
      <c r="L266" s="3">
        <v>1300</v>
      </c>
      <c r="M266" s="4">
        <f t="shared" si="24"/>
        <v>0.97389033942558745</v>
      </c>
      <c r="N266" s="5">
        <f t="shared" si="25"/>
        <v>3.7911227154047</v>
      </c>
      <c r="O266" s="3">
        <f t="shared" si="26"/>
        <v>10</v>
      </c>
      <c r="P266" s="3" t="str">
        <f t="shared" si="27"/>
        <v>Healthy</v>
      </c>
      <c r="Q266" s="3" t="str">
        <f t="shared" si="28"/>
        <v>Short Supply</v>
      </c>
      <c r="R266" s="6">
        <f t="shared" si="29"/>
        <v>157300</v>
      </c>
    </row>
    <row r="267" spans="1:18" x14ac:dyDescent="0.25">
      <c r="A267" s="2">
        <v>45809</v>
      </c>
      <c r="B267" s="3" t="s">
        <v>39</v>
      </c>
      <c r="C267" s="3" t="s">
        <v>40</v>
      </c>
      <c r="D267" s="3" t="s">
        <v>26</v>
      </c>
      <c r="E267" s="3" t="s">
        <v>27</v>
      </c>
      <c r="F267" s="3">
        <v>833</v>
      </c>
      <c r="G267" s="3">
        <v>860</v>
      </c>
      <c r="H267" s="3">
        <v>823</v>
      </c>
      <c r="I267" s="3">
        <v>783</v>
      </c>
      <c r="J267" s="3">
        <v>84</v>
      </c>
      <c r="K267" s="3">
        <v>74</v>
      </c>
      <c r="L267" s="3">
        <v>1700</v>
      </c>
      <c r="M267" s="4">
        <f t="shared" si="24"/>
        <v>0.98799519807923164</v>
      </c>
      <c r="N267" s="5">
        <f t="shared" si="25"/>
        <v>1.0660264105642256</v>
      </c>
      <c r="O267" s="3">
        <f t="shared" si="26"/>
        <v>10</v>
      </c>
      <c r="P267" s="3" t="str">
        <f t="shared" si="27"/>
        <v>Medium</v>
      </c>
      <c r="Q267" s="3" t="str">
        <f t="shared" si="28"/>
        <v>Short Supply</v>
      </c>
      <c r="R267" s="6">
        <f t="shared" si="29"/>
        <v>125800</v>
      </c>
    </row>
    <row r="268" spans="1:18" x14ac:dyDescent="0.25">
      <c r="A268" s="2">
        <v>45809</v>
      </c>
      <c r="B268" s="3" t="s">
        <v>39</v>
      </c>
      <c r="C268" s="3" t="s">
        <v>40</v>
      </c>
      <c r="D268" s="3" t="s">
        <v>28</v>
      </c>
      <c r="E268" s="3" t="s">
        <v>29</v>
      </c>
      <c r="F268" s="3">
        <v>700</v>
      </c>
      <c r="G268" s="3">
        <v>644</v>
      </c>
      <c r="H268" s="3">
        <v>651</v>
      </c>
      <c r="I268" s="3">
        <v>661</v>
      </c>
      <c r="J268" s="3">
        <v>112</v>
      </c>
      <c r="K268" s="3">
        <v>63</v>
      </c>
      <c r="L268" s="3">
        <v>1700</v>
      </c>
      <c r="M268" s="4">
        <f t="shared" si="24"/>
        <v>0.93</v>
      </c>
      <c r="N268" s="5">
        <f t="shared" si="25"/>
        <v>1.08</v>
      </c>
      <c r="O268" s="3">
        <f t="shared" si="26"/>
        <v>49</v>
      </c>
      <c r="P268" s="3" t="str">
        <f t="shared" si="27"/>
        <v>Medium</v>
      </c>
      <c r="Q268" s="3" t="str">
        <f t="shared" si="28"/>
        <v>Short Supply</v>
      </c>
      <c r="R268" s="6">
        <f t="shared" si="29"/>
        <v>107100</v>
      </c>
    </row>
    <row r="269" spans="1:18" x14ac:dyDescent="0.25">
      <c r="A269" s="2">
        <v>45809</v>
      </c>
      <c r="B269" s="3" t="s">
        <v>39</v>
      </c>
      <c r="C269" s="3" t="s">
        <v>40</v>
      </c>
      <c r="D269" s="3" t="s">
        <v>30</v>
      </c>
      <c r="E269" s="3" t="s">
        <v>29</v>
      </c>
      <c r="F269" s="3">
        <v>573</v>
      </c>
      <c r="G269" s="3">
        <v>581</v>
      </c>
      <c r="H269" s="3">
        <v>578</v>
      </c>
      <c r="I269" s="3">
        <v>529</v>
      </c>
      <c r="J269" s="3">
        <v>63</v>
      </c>
      <c r="K269" s="3">
        <v>68</v>
      </c>
      <c r="L269" s="3">
        <v>1700</v>
      </c>
      <c r="M269" s="4">
        <f t="shared" si="24"/>
        <v>1.0087260034904013</v>
      </c>
      <c r="N269" s="5">
        <f t="shared" si="25"/>
        <v>1.424083769633508</v>
      </c>
      <c r="O269" s="3">
        <f t="shared" si="26"/>
        <v>-5</v>
      </c>
      <c r="P269" s="3" t="str">
        <f t="shared" si="27"/>
        <v>Medium</v>
      </c>
      <c r="Q269" s="3" t="str">
        <f t="shared" si="28"/>
        <v>On Track</v>
      </c>
      <c r="R269" s="6">
        <f t="shared" si="29"/>
        <v>115600</v>
      </c>
    </row>
    <row r="270" spans="1:18" x14ac:dyDescent="0.25">
      <c r="A270" s="2">
        <v>45809</v>
      </c>
      <c r="B270" s="3" t="s">
        <v>39</v>
      </c>
      <c r="C270" s="3" t="s">
        <v>40</v>
      </c>
      <c r="D270" s="3" t="s">
        <v>32</v>
      </c>
      <c r="E270" s="3" t="s">
        <v>29</v>
      </c>
      <c r="F270" s="3">
        <v>502</v>
      </c>
      <c r="G270" s="3">
        <v>534</v>
      </c>
      <c r="H270" s="3">
        <v>501</v>
      </c>
      <c r="I270" s="3">
        <v>513</v>
      </c>
      <c r="J270" s="3">
        <v>99</v>
      </c>
      <c r="K270" s="3">
        <v>98</v>
      </c>
      <c r="L270" s="3">
        <v>1700</v>
      </c>
      <c r="M270" s="4">
        <f t="shared" si="24"/>
        <v>0.99800796812749004</v>
      </c>
      <c r="N270" s="5">
        <f t="shared" si="25"/>
        <v>2.3426294820717128</v>
      </c>
      <c r="O270" s="3">
        <f t="shared" si="26"/>
        <v>1</v>
      </c>
      <c r="P270" s="3" t="str">
        <f t="shared" si="27"/>
        <v>Healthy</v>
      </c>
      <c r="Q270" s="3" t="str">
        <f t="shared" si="28"/>
        <v>Short Supply</v>
      </c>
      <c r="R270" s="6">
        <f t="shared" si="29"/>
        <v>166600</v>
      </c>
    </row>
    <row r="271" spans="1:18" x14ac:dyDescent="0.25">
      <c r="A271" s="2">
        <v>45809</v>
      </c>
      <c r="B271" s="3" t="s">
        <v>39</v>
      </c>
      <c r="C271" s="3" t="s">
        <v>40</v>
      </c>
      <c r="D271" s="3" t="s">
        <v>33</v>
      </c>
      <c r="E271" s="3" t="s">
        <v>34</v>
      </c>
      <c r="F271" s="3">
        <v>556</v>
      </c>
      <c r="G271" s="3">
        <v>529</v>
      </c>
      <c r="H271" s="3">
        <v>483</v>
      </c>
      <c r="I271" s="3">
        <v>583</v>
      </c>
      <c r="J271" s="3">
        <v>92</v>
      </c>
      <c r="K271" s="3">
        <v>19</v>
      </c>
      <c r="L271" s="3">
        <v>1700</v>
      </c>
      <c r="M271" s="4">
        <f t="shared" si="24"/>
        <v>0.86870503597122306</v>
      </c>
      <c r="N271" s="5">
        <f t="shared" si="25"/>
        <v>0.41007194244604317</v>
      </c>
      <c r="O271" s="3">
        <f t="shared" si="26"/>
        <v>73</v>
      </c>
      <c r="P271" s="3" t="str">
        <f t="shared" si="27"/>
        <v>Low</v>
      </c>
      <c r="Q271" s="3" t="str">
        <f t="shared" si="28"/>
        <v>Short Supply</v>
      </c>
      <c r="R271" s="6">
        <f t="shared" si="29"/>
        <v>32300</v>
      </c>
    </row>
    <row r="272" spans="1:18" x14ac:dyDescent="0.25">
      <c r="A272" s="2">
        <v>45809</v>
      </c>
      <c r="B272" s="3" t="s">
        <v>41</v>
      </c>
      <c r="C272" s="3" t="s">
        <v>42</v>
      </c>
      <c r="D272" s="3" t="s">
        <v>26</v>
      </c>
      <c r="E272" s="3" t="s">
        <v>31</v>
      </c>
      <c r="F272" s="3">
        <v>487</v>
      </c>
      <c r="G272" s="3">
        <v>435</v>
      </c>
      <c r="H272" s="3">
        <v>409</v>
      </c>
      <c r="I272" s="3">
        <v>485</v>
      </c>
      <c r="J272" s="3">
        <v>76</v>
      </c>
      <c r="K272" s="3">
        <v>0</v>
      </c>
      <c r="L272" s="3">
        <v>1200</v>
      </c>
      <c r="M272" s="4">
        <f t="shared" si="24"/>
        <v>0.83983572895277203</v>
      </c>
      <c r="N272" s="5">
        <f t="shared" si="25"/>
        <v>0</v>
      </c>
      <c r="O272" s="3">
        <f t="shared" si="26"/>
        <v>78</v>
      </c>
      <c r="P272" s="3" t="str">
        <f t="shared" si="27"/>
        <v>Low</v>
      </c>
      <c r="Q272" s="3" t="str">
        <f t="shared" si="28"/>
        <v>Short Supply</v>
      </c>
      <c r="R272" s="6">
        <f t="shared" si="29"/>
        <v>0</v>
      </c>
    </row>
    <row r="273" spans="1:18" x14ac:dyDescent="0.25">
      <c r="A273" s="2">
        <v>45809</v>
      </c>
      <c r="B273" s="3" t="s">
        <v>41</v>
      </c>
      <c r="C273" s="3" t="s">
        <v>42</v>
      </c>
      <c r="D273" s="3" t="s">
        <v>28</v>
      </c>
      <c r="E273" s="3" t="s">
        <v>31</v>
      </c>
      <c r="F273" s="3">
        <v>410</v>
      </c>
      <c r="G273" s="3">
        <v>431</v>
      </c>
      <c r="H273" s="3">
        <v>423</v>
      </c>
      <c r="I273" s="3">
        <v>433</v>
      </c>
      <c r="J273" s="3">
        <v>138</v>
      </c>
      <c r="K273" s="3">
        <v>151</v>
      </c>
      <c r="L273" s="3">
        <v>1200</v>
      </c>
      <c r="M273" s="4">
        <f t="shared" si="24"/>
        <v>1.0317073170731708</v>
      </c>
      <c r="N273" s="5">
        <f t="shared" si="25"/>
        <v>4.4195121951219516</v>
      </c>
      <c r="O273" s="3">
        <f t="shared" si="26"/>
        <v>-13</v>
      </c>
      <c r="P273" s="3" t="str">
        <f t="shared" si="27"/>
        <v>Healthy</v>
      </c>
      <c r="Q273" s="3" t="str">
        <f t="shared" si="28"/>
        <v>On Track</v>
      </c>
      <c r="R273" s="6">
        <f t="shared" si="29"/>
        <v>181200</v>
      </c>
    </row>
    <row r="274" spans="1:18" x14ac:dyDescent="0.25">
      <c r="A274" s="2">
        <v>45809</v>
      </c>
      <c r="B274" s="3" t="s">
        <v>41</v>
      </c>
      <c r="C274" s="3" t="s">
        <v>42</v>
      </c>
      <c r="D274" s="3" t="s">
        <v>30</v>
      </c>
      <c r="E274" s="3" t="s">
        <v>34</v>
      </c>
      <c r="F274" s="3">
        <v>348</v>
      </c>
      <c r="G274" s="3">
        <v>349</v>
      </c>
      <c r="H274" s="3">
        <v>312</v>
      </c>
      <c r="I274" s="3">
        <v>333</v>
      </c>
      <c r="J274" s="3">
        <v>69</v>
      </c>
      <c r="K274" s="3">
        <v>33</v>
      </c>
      <c r="L274" s="3">
        <v>1200</v>
      </c>
      <c r="M274" s="4">
        <f t="shared" si="24"/>
        <v>0.89655172413793105</v>
      </c>
      <c r="N274" s="5">
        <f t="shared" si="25"/>
        <v>1.1379310344827585</v>
      </c>
      <c r="O274" s="3">
        <f t="shared" si="26"/>
        <v>36</v>
      </c>
      <c r="P274" s="3" t="str">
        <f t="shared" si="27"/>
        <v>Medium</v>
      </c>
      <c r="Q274" s="3" t="str">
        <f t="shared" si="28"/>
        <v>Short Supply</v>
      </c>
      <c r="R274" s="6">
        <f t="shared" si="29"/>
        <v>39600</v>
      </c>
    </row>
    <row r="275" spans="1:18" x14ac:dyDescent="0.25">
      <c r="A275" s="2">
        <v>45809</v>
      </c>
      <c r="B275" s="3" t="s">
        <v>41</v>
      </c>
      <c r="C275" s="3" t="s">
        <v>42</v>
      </c>
      <c r="D275" s="3" t="s">
        <v>32</v>
      </c>
      <c r="E275" s="3" t="s">
        <v>31</v>
      </c>
      <c r="F275" s="3">
        <v>275</v>
      </c>
      <c r="G275" s="3">
        <v>248</v>
      </c>
      <c r="H275" s="3">
        <v>228</v>
      </c>
      <c r="I275" s="3">
        <v>269</v>
      </c>
      <c r="J275" s="3">
        <v>109</v>
      </c>
      <c r="K275" s="3">
        <v>62</v>
      </c>
      <c r="L275" s="3">
        <v>1200</v>
      </c>
      <c r="M275" s="4">
        <f t="shared" si="24"/>
        <v>0.8290909090909091</v>
      </c>
      <c r="N275" s="5">
        <f t="shared" si="25"/>
        <v>2.7054545454545456</v>
      </c>
      <c r="O275" s="3">
        <f t="shared" si="26"/>
        <v>47</v>
      </c>
      <c r="P275" s="3" t="str">
        <f t="shared" si="27"/>
        <v>Healthy</v>
      </c>
      <c r="Q275" s="3" t="str">
        <f t="shared" si="28"/>
        <v>Short Supply</v>
      </c>
      <c r="R275" s="6">
        <f t="shared" si="29"/>
        <v>74400</v>
      </c>
    </row>
    <row r="276" spans="1:18" x14ac:dyDescent="0.25">
      <c r="A276" s="2">
        <v>45809</v>
      </c>
      <c r="B276" s="3" t="s">
        <v>41</v>
      </c>
      <c r="C276" s="3" t="s">
        <v>42</v>
      </c>
      <c r="D276" s="3" t="s">
        <v>33</v>
      </c>
      <c r="E276" s="3" t="s">
        <v>31</v>
      </c>
      <c r="F276" s="3">
        <v>377</v>
      </c>
      <c r="G276" s="3">
        <v>413</v>
      </c>
      <c r="H276" s="3">
        <v>410</v>
      </c>
      <c r="I276" s="3">
        <v>403</v>
      </c>
      <c r="J276" s="3">
        <v>117</v>
      </c>
      <c r="K276" s="3">
        <v>150</v>
      </c>
      <c r="L276" s="3">
        <v>1200</v>
      </c>
      <c r="M276" s="4">
        <f t="shared" si="24"/>
        <v>1.0875331564986737</v>
      </c>
      <c r="N276" s="5">
        <f t="shared" si="25"/>
        <v>4.7745358090185679</v>
      </c>
      <c r="O276" s="3">
        <f t="shared" si="26"/>
        <v>-33</v>
      </c>
      <c r="P276" s="3" t="str">
        <f t="shared" si="27"/>
        <v>Healthy</v>
      </c>
      <c r="Q276" s="3" t="str">
        <f t="shared" si="28"/>
        <v>On Track</v>
      </c>
      <c r="R276" s="6">
        <f t="shared" si="29"/>
        <v>180000</v>
      </c>
    </row>
    <row r="277" spans="1:18" x14ac:dyDescent="0.25">
      <c r="A277" s="2">
        <v>45809</v>
      </c>
      <c r="B277" s="3" t="s">
        <v>43</v>
      </c>
      <c r="C277" s="3" t="s">
        <v>44</v>
      </c>
      <c r="D277" s="3" t="s">
        <v>26</v>
      </c>
      <c r="E277" s="3" t="s">
        <v>27</v>
      </c>
      <c r="F277" s="3">
        <v>804</v>
      </c>
      <c r="G277" s="3">
        <v>803</v>
      </c>
      <c r="H277" s="3">
        <v>764</v>
      </c>
      <c r="I277" s="3">
        <v>803</v>
      </c>
      <c r="J277" s="3">
        <v>84</v>
      </c>
      <c r="K277" s="3">
        <v>44</v>
      </c>
      <c r="L277" s="3">
        <v>1400</v>
      </c>
      <c r="M277" s="4">
        <f t="shared" si="24"/>
        <v>0.95024875621890548</v>
      </c>
      <c r="N277" s="5">
        <f t="shared" si="25"/>
        <v>0.65671641791044777</v>
      </c>
      <c r="O277" s="3">
        <f t="shared" si="26"/>
        <v>40</v>
      </c>
      <c r="P277" s="3" t="str">
        <f t="shared" si="27"/>
        <v>Low</v>
      </c>
      <c r="Q277" s="3" t="str">
        <f t="shared" si="28"/>
        <v>Short Supply</v>
      </c>
      <c r="R277" s="6">
        <f t="shared" si="29"/>
        <v>61600</v>
      </c>
    </row>
    <row r="278" spans="1:18" x14ac:dyDescent="0.25">
      <c r="A278" s="2">
        <v>45809</v>
      </c>
      <c r="B278" s="3" t="s">
        <v>43</v>
      </c>
      <c r="C278" s="3" t="s">
        <v>44</v>
      </c>
      <c r="D278" s="3" t="s">
        <v>28</v>
      </c>
      <c r="E278" s="3" t="s">
        <v>27</v>
      </c>
      <c r="F278" s="3">
        <v>508</v>
      </c>
      <c r="G278" s="3">
        <v>494</v>
      </c>
      <c r="H278" s="3">
        <v>466</v>
      </c>
      <c r="I278" s="3">
        <v>486</v>
      </c>
      <c r="J278" s="3">
        <v>106</v>
      </c>
      <c r="K278" s="3">
        <v>64</v>
      </c>
      <c r="L278" s="3">
        <v>1400</v>
      </c>
      <c r="M278" s="4">
        <f t="shared" si="24"/>
        <v>0.91732283464566933</v>
      </c>
      <c r="N278" s="5">
        <f t="shared" si="25"/>
        <v>1.5118110236220472</v>
      </c>
      <c r="O278" s="3">
        <f t="shared" si="26"/>
        <v>42</v>
      </c>
      <c r="P278" s="3" t="str">
        <f t="shared" si="27"/>
        <v>Medium</v>
      </c>
      <c r="Q278" s="3" t="str">
        <f t="shared" si="28"/>
        <v>Short Supply</v>
      </c>
      <c r="R278" s="6">
        <f t="shared" si="29"/>
        <v>89600</v>
      </c>
    </row>
    <row r="279" spans="1:18" x14ac:dyDescent="0.25">
      <c r="A279" s="2">
        <v>45809</v>
      </c>
      <c r="B279" s="3" t="s">
        <v>43</v>
      </c>
      <c r="C279" s="3" t="s">
        <v>44</v>
      </c>
      <c r="D279" s="3" t="s">
        <v>30</v>
      </c>
      <c r="E279" s="3" t="s">
        <v>27</v>
      </c>
      <c r="F279" s="3">
        <v>372</v>
      </c>
      <c r="G279" s="3">
        <v>371</v>
      </c>
      <c r="H279" s="3">
        <v>372</v>
      </c>
      <c r="I279" s="3">
        <v>381</v>
      </c>
      <c r="J279" s="3">
        <v>97</v>
      </c>
      <c r="K279" s="3">
        <v>97</v>
      </c>
      <c r="L279" s="3">
        <v>1400</v>
      </c>
      <c r="M279" s="4">
        <f t="shared" si="24"/>
        <v>1</v>
      </c>
      <c r="N279" s="5">
        <f t="shared" si="25"/>
        <v>3.129032258064516</v>
      </c>
      <c r="O279" s="3">
        <f t="shared" si="26"/>
        <v>0</v>
      </c>
      <c r="P279" s="3" t="str">
        <f t="shared" si="27"/>
        <v>Healthy</v>
      </c>
      <c r="Q279" s="3" t="str">
        <f t="shared" si="28"/>
        <v>On Track</v>
      </c>
      <c r="R279" s="6">
        <f t="shared" si="29"/>
        <v>135800</v>
      </c>
    </row>
    <row r="280" spans="1:18" x14ac:dyDescent="0.25">
      <c r="A280" s="2">
        <v>45809</v>
      </c>
      <c r="B280" s="3" t="s">
        <v>43</v>
      </c>
      <c r="C280" s="3" t="s">
        <v>44</v>
      </c>
      <c r="D280" s="3" t="s">
        <v>32</v>
      </c>
      <c r="E280" s="3" t="s">
        <v>29</v>
      </c>
      <c r="F280" s="3">
        <v>438</v>
      </c>
      <c r="G280" s="3">
        <v>430</v>
      </c>
      <c r="H280" s="3">
        <v>431</v>
      </c>
      <c r="I280" s="3">
        <v>453</v>
      </c>
      <c r="J280" s="3">
        <v>121</v>
      </c>
      <c r="K280" s="3">
        <v>114</v>
      </c>
      <c r="L280" s="3">
        <v>1400</v>
      </c>
      <c r="M280" s="4">
        <f t="shared" si="24"/>
        <v>0.98401826484018262</v>
      </c>
      <c r="N280" s="5">
        <f t="shared" si="25"/>
        <v>3.1232876712328768</v>
      </c>
      <c r="O280" s="3">
        <f t="shared" si="26"/>
        <v>7</v>
      </c>
      <c r="P280" s="3" t="str">
        <f t="shared" si="27"/>
        <v>Healthy</v>
      </c>
      <c r="Q280" s="3" t="str">
        <f t="shared" si="28"/>
        <v>Short Supply</v>
      </c>
      <c r="R280" s="6">
        <f t="shared" si="29"/>
        <v>159600</v>
      </c>
    </row>
    <row r="281" spans="1:18" x14ac:dyDescent="0.25">
      <c r="A281" s="2">
        <v>45809</v>
      </c>
      <c r="B281" s="3" t="s">
        <v>43</v>
      </c>
      <c r="C281" s="3" t="s">
        <v>44</v>
      </c>
      <c r="D281" s="3" t="s">
        <v>33</v>
      </c>
      <c r="E281" s="3" t="s">
        <v>34</v>
      </c>
      <c r="F281" s="3">
        <v>381</v>
      </c>
      <c r="G281" s="3">
        <v>339</v>
      </c>
      <c r="H281" s="3">
        <v>324</v>
      </c>
      <c r="I281" s="3">
        <v>372</v>
      </c>
      <c r="J281" s="3">
        <v>83</v>
      </c>
      <c r="K281" s="3">
        <v>26</v>
      </c>
      <c r="L281" s="3">
        <v>1400</v>
      </c>
      <c r="M281" s="4">
        <f t="shared" si="24"/>
        <v>0.85039370078740162</v>
      </c>
      <c r="N281" s="5">
        <f t="shared" si="25"/>
        <v>0.81889763779527558</v>
      </c>
      <c r="O281" s="3">
        <f t="shared" si="26"/>
        <v>57</v>
      </c>
      <c r="P281" s="3" t="str">
        <f t="shared" si="27"/>
        <v>Low</v>
      </c>
      <c r="Q281" s="3" t="str">
        <f t="shared" si="28"/>
        <v>Short Supply</v>
      </c>
      <c r="R281" s="6">
        <f t="shared" si="29"/>
        <v>36400</v>
      </c>
    </row>
    <row r="282" spans="1:18" x14ac:dyDescent="0.25">
      <c r="A282" s="2">
        <v>45809</v>
      </c>
      <c r="B282" s="3" t="s">
        <v>45</v>
      </c>
      <c r="C282" s="3" t="s">
        <v>46</v>
      </c>
      <c r="D282" s="3" t="s">
        <v>26</v>
      </c>
      <c r="E282" s="3" t="s">
        <v>27</v>
      </c>
      <c r="F282" s="3">
        <v>621</v>
      </c>
      <c r="G282" s="3">
        <v>660</v>
      </c>
      <c r="H282" s="3">
        <v>606</v>
      </c>
      <c r="I282" s="3">
        <v>669</v>
      </c>
      <c r="J282" s="3">
        <v>114</v>
      </c>
      <c r="K282" s="3">
        <v>99</v>
      </c>
      <c r="L282" s="3">
        <v>1500</v>
      </c>
      <c r="M282" s="4">
        <f t="shared" si="24"/>
        <v>0.97584541062801933</v>
      </c>
      <c r="N282" s="5">
        <f t="shared" si="25"/>
        <v>1.9130434782608694</v>
      </c>
      <c r="O282" s="3">
        <f t="shared" si="26"/>
        <v>15</v>
      </c>
      <c r="P282" s="3" t="str">
        <f t="shared" si="27"/>
        <v>Medium</v>
      </c>
      <c r="Q282" s="3" t="str">
        <f t="shared" si="28"/>
        <v>Short Supply</v>
      </c>
      <c r="R282" s="6">
        <f t="shared" si="29"/>
        <v>148500</v>
      </c>
    </row>
    <row r="283" spans="1:18" x14ac:dyDescent="0.25">
      <c r="A283" s="2">
        <v>45809</v>
      </c>
      <c r="B283" s="3" t="s">
        <v>45</v>
      </c>
      <c r="C283" s="3" t="s">
        <v>46</v>
      </c>
      <c r="D283" s="3" t="s">
        <v>28</v>
      </c>
      <c r="E283" s="3" t="s">
        <v>29</v>
      </c>
      <c r="F283" s="3">
        <v>429</v>
      </c>
      <c r="G283" s="3">
        <v>387</v>
      </c>
      <c r="H283" s="3">
        <v>360</v>
      </c>
      <c r="I283" s="3">
        <v>462</v>
      </c>
      <c r="J283" s="3">
        <v>104</v>
      </c>
      <c r="K283" s="3">
        <v>35</v>
      </c>
      <c r="L283" s="3">
        <v>1500</v>
      </c>
      <c r="M283" s="4">
        <f t="shared" si="24"/>
        <v>0.83916083916083917</v>
      </c>
      <c r="N283" s="5">
        <f t="shared" si="25"/>
        <v>0.97902097902097895</v>
      </c>
      <c r="O283" s="3">
        <f t="shared" si="26"/>
        <v>69</v>
      </c>
      <c r="P283" s="3" t="str">
        <f t="shared" si="27"/>
        <v>Low</v>
      </c>
      <c r="Q283" s="3" t="str">
        <f t="shared" si="28"/>
        <v>Short Supply</v>
      </c>
      <c r="R283" s="6">
        <f t="shared" si="29"/>
        <v>52500</v>
      </c>
    </row>
    <row r="284" spans="1:18" x14ac:dyDescent="0.25">
      <c r="A284" s="2">
        <v>45809</v>
      </c>
      <c r="B284" s="3" t="s">
        <v>45</v>
      </c>
      <c r="C284" s="3" t="s">
        <v>46</v>
      </c>
      <c r="D284" s="3" t="s">
        <v>30</v>
      </c>
      <c r="E284" s="3" t="s">
        <v>31</v>
      </c>
      <c r="F284" s="3">
        <v>386</v>
      </c>
      <c r="G284" s="3">
        <v>358</v>
      </c>
      <c r="H284" s="3">
        <v>340</v>
      </c>
      <c r="I284" s="3">
        <v>386</v>
      </c>
      <c r="J284" s="3">
        <v>63</v>
      </c>
      <c r="K284" s="3">
        <v>17</v>
      </c>
      <c r="L284" s="3">
        <v>1500</v>
      </c>
      <c r="M284" s="4">
        <f t="shared" si="24"/>
        <v>0.88082901554404147</v>
      </c>
      <c r="N284" s="5">
        <f t="shared" si="25"/>
        <v>0.52849740932642486</v>
      </c>
      <c r="O284" s="3">
        <f t="shared" si="26"/>
        <v>46</v>
      </c>
      <c r="P284" s="3" t="str">
        <f t="shared" si="27"/>
        <v>Low</v>
      </c>
      <c r="Q284" s="3" t="str">
        <f t="shared" si="28"/>
        <v>Short Supply</v>
      </c>
      <c r="R284" s="6">
        <f t="shared" si="29"/>
        <v>25500</v>
      </c>
    </row>
    <row r="285" spans="1:18" x14ac:dyDescent="0.25">
      <c r="A285" s="2">
        <v>45809</v>
      </c>
      <c r="B285" s="3" t="s">
        <v>45</v>
      </c>
      <c r="C285" s="3" t="s">
        <v>46</v>
      </c>
      <c r="D285" s="3" t="s">
        <v>32</v>
      </c>
      <c r="E285" s="3" t="s">
        <v>31</v>
      </c>
      <c r="F285" s="3">
        <v>352</v>
      </c>
      <c r="G285" s="3">
        <v>377</v>
      </c>
      <c r="H285" s="3">
        <v>359</v>
      </c>
      <c r="I285" s="3">
        <v>332</v>
      </c>
      <c r="J285" s="3">
        <v>131</v>
      </c>
      <c r="K285" s="3">
        <v>138</v>
      </c>
      <c r="L285" s="3">
        <v>1500</v>
      </c>
      <c r="M285" s="4">
        <f t="shared" si="24"/>
        <v>1.0198863636363635</v>
      </c>
      <c r="N285" s="5">
        <f t="shared" si="25"/>
        <v>4.7045454545454541</v>
      </c>
      <c r="O285" s="3">
        <f t="shared" si="26"/>
        <v>-7</v>
      </c>
      <c r="P285" s="3" t="str">
        <f t="shared" si="27"/>
        <v>Healthy</v>
      </c>
      <c r="Q285" s="3" t="str">
        <f t="shared" si="28"/>
        <v>On Track</v>
      </c>
      <c r="R285" s="6">
        <f t="shared" si="29"/>
        <v>207000</v>
      </c>
    </row>
    <row r="286" spans="1:18" x14ac:dyDescent="0.25">
      <c r="A286" s="2">
        <v>45809</v>
      </c>
      <c r="B286" s="3" t="s">
        <v>45</v>
      </c>
      <c r="C286" s="3" t="s">
        <v>46</v>
      </c>
      <c r="D286" s="3" t="s">
        <v>33</v>
      </c>
      <c r="E286" s="3" t="s">
        <v>29</v>
      </c>
      <c r="F286" s="3">
        <v>349</v>
      </c>
      <c r="G286" s="3">
        <v>358</v>
      </c>
      <c r="H286" s="3">
        <v>323</v>
      </c>
      <c r="I286" s="3">
        <v>376</v>
      </c>
      <c r="J286" s="3">
        <v>119</v>
      </c>
      <c r="K286" s="3">
        <v>93</v>
      </c>
      <c r="L286" s="3">
        <v>1500</v>
      </c>
      <c r="M286" s="4">
        <f t="shared" si="24"/>
        <v>0.92550143266475648</v>
      </c>
      <c r="N286" s="5">
        <f t="shared" si="25"/>
        <v>3.1977077363896851</v>
      </c>
      <c r="O286" s="3">
        <f t="shared" si="26"/>
        <v>26</v>
      </c>
      <c r="P286" s="3" t="str">
        <f t="shared" si="27"/>
        <v>Healthy</v>
      </c>
      <c r="Q286" s="3" t="str">
        <f t="shared" si="28"/>
        <v>Short Supply</v>
      </c>
      <c r="R286" s="6">
        <f t="shared" si="29"/>
        <v>139500</v>
      </c>
    </row>
    <row r="287" spans="1:18" x14ac:dyDescent="0.25">
      <c r="A287" s="2">
        <v>45809</v>
      </c>
      <c r="B287" s="3" t="s">
        <v>47</v>
      </c>
      <c r="C287" s="3" t="s">
        <v>48</v>
      </c>
      <c r="D287" s="3" t="s">
        <v>26</v>
      </c>
      <c r="E287" s="3" t="s">
        <v>34</v>
      </c>
      <c r="F287" s="3">
        <v>670</v>
      </c>
      <c r="G287" s="3">
        <v>671</v>
      </c>
      <c r="H287" s="3">
        <v>638</v>
      </c>
      <c r="I287" s="3">
        <v>668</v>
      </c>
      <c r="J287" s="3">
        <v>105</v>
      </c>
      <c r="K287" s="3">
        <v>73</v>
      </c>
      <c r="L287" s="3">
        <v>1250</v>
      </c>
      <c r="M287" s="4">
        <f t="shared" si="24"/>
        <v>0.9522388059701492</v>
      </c>
      <c r="N287" s="5">
        <f t="shared" si="25"/>
        <v>1.3074626865671641</v>
      </c>
      <c r="O287" s="3">
        <f t="shared" si="26"/>
        <v>32</v>
      </c>
      <c r="P287" s="3" t="str">
        <f t="shared" si="27"/>
        <v>Medium</v>
      </c>
      <c r="Q287" s="3" t="str">
        <f t="shared" si="28"/>
        <v>Short Supply</v>
      </c>
      <c r="R287" s="6">
        <f t="shared" si="29"/>
        <v>91250</v>
      </c>
    </row>
    <row r="288" spans="1:18" x14ac:dyDescent="0.25">
      <c r="A288" s="2">
        <v>45809</v>
      </c>
      <c r="B288" s="3" t="s">
        <v>47</v>
      </c>
      <c r="C288" s="3" t="s">
        <v>48</v>
      </c>
      <c r="D288" s="3" t="s">
        <v>28</v>
      </c>
      <c r="E288" s="3" t="s">
        <v>27</v>
      </c>
      <c r="F288" s="3">
        <v>555</v>
      </c>
      <c r="G288" s="3">
        <v>537</v>
      </c>
      <c r="H288" s="3">
        <v>523</v>
      </c>
      <c r="I288" s="3">
        <v>597</v>
      </c>
      <c r="J288" s="3">
        <v>106</v>
      </c>
      <c r="K288" s="3">
        <v>74</v>
      </c>
      <c r="L288" s="3">
        <v>1250</v>
      </c>
      <c r="M288" s="4">
        <f t="shared" si="24"/>
        <v>0.94234234234234238</v>
      </c>
      <c r="N288" s="5">
        <f t="shared" si="25"/>
        <v>1.6</v>
      </c>
      <c r="O288" s="3">
        <f t="shared" si="26"/>
        <v>32</v>
      </c>
      <c r="P288" s="3" t="str">
        <f t="shared" si="27"/>
        <v>Medium</v>
      </c>
      <c r="Q288" s="3" t="str">
        <f t="shared" si="28"/>
        <v>Short Supply</v>
      </c>
      <c r="R288" s="6">
        <f t="shared" si="29"/>
        <v>92500</v>
      </c>
    </row>
    <row r="289" spans="1:18" x14ac:dyDescent="0.25">
      <c r="A289" s="2">
        <v>45809</v>
      </c>
      <c r="B289" s="3" t="s">
        <v>47</v>
      </c>
      <c r="C289" s="3" t="s">
        <v>48</v>
      </c>
      <c r="D289" s="3" t="s">
        <v>30</v>
      </c>
      <c r="E289" s="3" t="s">
        <v>31</v>
      </c>
      <c r="F289" s="3">
        <v>387</v>
      </c>
      <c r="G289" s="3">
        <v>365</v>
      </c>
      <c r="H289" s="3">
        <v>354</v>
      </c>
      <c r="I289" s="3">
        <v>416</v>
      </c>
      <c r="J289" s="3">
        <v>106</v>
      </c>
      <c r="K289" s="3">
        <v>73</v>
      </c>
      <c r="L289" s="3">
        <v>1250</v>
      </c>
      <c r="M289" s="4">
        <f t="shared" si="24"/>
        <v>0.9147286821705426</v>
      </c>
      <c r="N289" s="5">
        <f t="shared" si="25"/>
        <v>2.2635658914728682</v>
      </c>
      <c r="O289" s="3">
        <f t="shared" si="26"/>
        <v>33</v>
      </c>
      <c r="P289" s="3" t="str">
        <f t="shared" si="27"/>
        <v>Healthy</v>
      </c>
      <c r="Q289" s="3" t="str">
        <f t="shared" si="28"/>
        <v>Short Supply</v>
      </c>
      <c r="R289" s="6">
        <f t="shared" si="29"/>
        <v>91250</v>
      </c>
    </row>
    <row r="290" spans="1:18" x14ac:dyDescent="0.25">
      <c r="A290" s="2">
        <v>45809</v>
      </c>
      <c r="B290" s="3" t="s">
        <v>47</v>
      </c>
      <c r="C290" s="3" t="s">
        <v>48</v>
      </c>
      <c r="D290" s="3" t="s">
        <v>32</v>
      </c>
      <c r="E290" s="3" t="s">
        <v>34</v>
      </c>
      <c r="F290" s="3">
        <v>370</v>
      </c>
      <c r="G290" s="3">
        <v>377</v>
      </c>
      <c r="H290" s="3">
        <v>340</v>
      </c>
      <c r="I290" s="3">
        <v>377</v>
      </c>
      <c r="J290" s="3">
        <v>109</v>
      </c>
      <c r="K290" s="3">
        <v>79</v>
      </c>
      <c r="L290" s="3">
        <v>1250</v>
      </c>
      <c r="M290" s="4">
        <f t="shared" si="24"/>
        <v>0.91891891891891897</v>
      </c>
      <c r="N290" s="5">
        <f t="shared" si="25"/>
        <v>2.5621621621621622</v>
      </c>
      <c r="O290" s="3">
        <f t="shared" si="26"/>
        <v>30</v>
      </c>
      <c r="P290" s="3" t="str">
        <f t="shared" si="27"/>
        <v>Healthy</v>
      </c>
      <c r="Q290" s="3" t="str">
        <f t="shared" si="28"/>
        <v>Short Supply</v>
      </c>
      <c r="R290" s="6">
        <f t="shared" si="29"/>
        <v>98750</v>
      </c>
    </row>
    <row r="291" spans="1:18" x14ac:dyDescent="0.25">
      <c r="A291" s="2">
        <v>45809</v>
      </c>
      <c r="B291" s="3" t="s">
        <v>47</v>
      </c>
      <c r="C291" s="3" t="s">
        <v>48</v>
      </c>
      <c r="D291" s="3" t="s">
        <v>33</v>
      </c>
      <c r="E291" s="3" t="s">
        <v>27</v>
      </c>
      <c r="F291" s="3">
        <v>345</v>
      </c>
      <c r="G291" s="3">
        <v>359</v>
      </c>
      <c r="H291" s="3">
        <v>317</v>
      </c>
      <c r="I291" s="3">
        <v>369</v>
      </c>
      <c r="J291" s="3">
        <v>68</v>
      </c>
      <c r="K291" s="3">
        <v>40</v>
      </c>
      <c r="L291" s="3">
        <v>1250</v>
      </c>
      <c r="M291" s="4">
        <f t="shared" si="24"/>
        <v>0.91884057971014488</v>
      </c>
      <c r="N291" s="5">
        <f t="shared" si="25"/>
        <v>1.3913043478260869</v>
      </c>
      <c r="O291" s="3">
        <f t="shared" si="26"/>
        <v>28</v>
      </c>
      <c r="P291" s="3" t="str">
        <f t="shared" si="27"/>
        <v>Medium</v>
      </c>
      <c r="Q291" s="3" t="str">
        <f t="shared" si="28"/>
        <v>Short Supply</v>
      </c>
      <c r="R291" s="6">
        <f t="shared" si="29"/>
        <v>50000</v>
      </c>
    </row>
    <row r="292" spans="1:18" x14ac:dyDescent="0.25">
      <c r="A292" s="2">
        <v>45809</v>
      </c>
      <c r="B292" s="3" t="s">
        <v>49</v>
      </c>
      <c r="C292" s="3" t="s">
        <v>50</v>
      </c>
      <c r="D292" s="3" t="s">
        <v>26</v>
      </c>
      <c r="E292" s="3" t="s">
        <v>34</v>
      </c>
      <c r="F292" s="3">
        <v>915</v>
      </c>
      <c r="G292" s="3">
        <v>897</v>
      </c>
      <c r="H292" s="3">
        <v>841</v>
      </c>
      <c r="I292" s="3">
        <v>871</v>
      </c>
      <c r="J292" s="3">
        <v>100</v>
      </c>
      <c r="K292" s="3">
        <v>26</v>
      </c>
      <c r="L292" s="3">
        <v>1750</v>
      </c>
      <c r="M292" s="4">
        <f t="shared" si="24"/>
        <v>0.91912568306010933</v>
      </c>
      <c r="N292" s="5">
        <f t="shared" si="25"/>
        <v>0.34098360655737708</v>
      </c>
      <c r="O292" s="3">
        <f t="shared" si="26"/>
        <v>74</v>
      </c>
      <c r="P292" s="3" t="str">
        <f t="shared" si="27"/>
        <v>Low</v>
      </c>
      <c r="Q292" s="3" t="str">
        <f t="shared" si="28"/>
        <v>Short Supply</v>
      </c>
      <c r="R292" s="6">
        <f t="shared" si="29"/>
        <v>45500</v>
      </c>
    </row>
    <row r="293" spans="1:18" x14ac:dyDescent="0.25">
      <c r="A293" s="2">
        <v>45809</v>
      </c>
      <c r="B293" s="3" t="s">
        <v>49</v>
      </c>
      <c r="C293" s="3" t="s">
        <v>50</v>
      </c>
      <c r="D293" s="3" t="s">
        <v>28</v>
      </c>
      <c r="E293" s="3" t="s">
        <v>29</v>
      </c>
      <c r="F293" s="3">
        <v>805</v>
      </c>
      <c r="G293" s="3">
        <v>850</v>
      </c>
      <c r="H293" s="3">
        <v>755</v>
      </c>
      <c r="I293" s="3">
        <v>758</v>
      </c>
      <c r="J293" s="3">
        <v>76</v>
      </c>
      <c r="K293" s="3">
        <v>26</v>
      </c>
      <c r="L293" s="3">
        <v>1750</v>
      </c>
      <c r="M293" s="4">
        <f t="shared" si="24"/>
        <v>0.93788819875776397</v>
      </c>
      <c r="N293" s="5">
        <f t="shared" si="25"/>
        <v>0.38757763975155279</v>
      </c>
      <c r="O293" s="3">
        <f t="shared" si="26"/>
        <v>50</v>
      </c>
      <c r="P293" s="3" t="str">
        <f t="shared" si="27"/>
        <v>Low</v>
      </c>
      <c r="Q293" s="3" t="str">
        <f t="shared" si="28"/>
        <v>Short Supply</v>
      </c>
      <c r="R293" s="6">
        <f t="shared" si="29"/>
        <v>45500</v>
      </c>
    </row>
    <row r="294" spans="1:18" x14ac:dyDescent="0.25">
      <c r="A294" s="2">
        <v>45809</v>
      </c>
      <c r="B294" s="3" t="s">
        <v>49</v>
      </c>
      <c r="C294" s="3" t="s">
        <v>50</v>
      </c>
      <c r="D294" s="3" t="s">
        <v>30</v>
      </c>
      <c r="E294" s="3" t="s">
        <v>29</v>
      </c>
      <c r="F294" s="3">
        <v>618</v>
      </c>
      <c r="G294" s="3">
        <v>614</v>
      </c>
      <c r="H294" s="3">
        <v>572</v>
      </c>
      <c r="I294" s="3">
        <v>663</v>
      </c>
      <c r="J294" s="3">
        <v>96</v>
      </c>
      <c r="K294" s="3">
        <v>50</v>
      </c>
      <c r="L294" s="3">
        <v>1750</v>
      </c>
      <c r="M294" s="4">
        <f t="shared" si="24"/>
        <v>0.92556634304207119</v>
      </c>
      <c r="N294" s="5">
        <f t="shared" si="25"/>
        <v>0.970873786407767</v>
      </c>
      <c r="O294" s="3">
        <f t="shared" si="26"/>
        <v>46</v>
      </c>
      <c r="P294" s="3" t="str">
        <f t="shared" si="27"/>
        <v>Low</v>
      </c>
      <c r="Q294" s="3" t="str">
        <f t="shared" si="28"/>
        <v>Short Supply</v>
      </c>
      <c r="R294" s="6">
        <f t="shared" si="29"/>
        <v>87500</v>
      </c>
    </row>
    <row r="295" spans="1:18" x14ac:dyDescent="0.25">
      <c r="A295" s="2">
        <v>45809</v>
      </c>
      <c r="B295" s="3" t="s">
        <v>49</v>
      </c>
      <c r="C295" s="3" t="s">
        <v>50</v>
      </c>
      <c r="D295" s="3" t="s">
        <v>32</v>
      </c>
      <c r="E295" s="3" t="s">
        <v>29</v>
      </c>
      <c r="F295" s="3">
        <v>503</v>
      </c>
      <c r="G295" s="3">
        <v>524</v>
      </c>
      <c r="H295" s="3">
        <v>524</v>
      </c>
      <c r="I295" s="3">
        <v>517</v>
      </c>
      <c r="J295" s="3">
        <v>124</v>
      </c>
      <c r="K295" s="3">
        <v>145</v>
      </c>
      <c r="L295" s="3">
        <v>1750</v>
      </c>
      <c r="M295" s="4">
        <f t="shared" si="24"/>
        <v>1.0417495029821073</v>
      </c>
      <c r="N295" s="5">
        <f t="shared" si="25"/>
        <v>3.4592445328031811</v>
      </c>
      <c r="O295" s="3">
        <f t="shared" si="26"/>
        <v>-21</v>
      </c>
      <c r="P295" s="3" t="str">
        <f t="shared" si="27"/>
        <v>Healthy</v>
      </c>
      <c r="Q295" s="3" t="str">
        <f t="shared" si="28"/>
        <v>On Track</v>
      </c>
      <c r="R295" s="6">
        <f t="shared" si="29"/>
        <v>253750</v>
      </c>
    </row>
    <row r="296" spans="1:18" x14ac:dyDescent="0.25">
      <c r="A296" s="2">
        <v>45809</v>
      </c>
      <c r="B296" s="3" t="s">
        <v>49</v>
      </c>
      <c r="C296" s="3" t="s">
        <v>50</v>
      </c>
      <c r="D296" s="3" t="s">
        <v>33</v>
      </c>
      <c r="E296" s="3" t="s">
        <v>29</v>
      </c>
      <c r="F296" s="3">
        <v>570</v>
      </c>
      <c r="G296" s="3">
        <v>527</v>
      </c>
      <c r="H296" s="3">
        <v>481</v>
      </c>
      <c r="I296" s="3">
        <v>575</v>
      </c>
      <c r="J296" s="3">
        <v>77</v>
      </c>
      <c r="K296" s="3">
        <v>0</v>
      </c>
      <c r="L296" s="3">
        <v>1750</v>
      </c>
      <c r="M296" s="4">
        <f t="shared" si="24"/>
        <v>0.84385964912280698</v>
      </c>
      <c r="N296" s="5">
        <f t="shared" si="25"/>
        <v>0</v>
      </c>
      <c r="O296" s="3">
        <f t="shared" si="26"/>
        <v>89</v>
      </c>
      <c r="P296" s="3" t="str">
        <f t="shared" si="27"/>
        <v>Low</v>
      </c>
      <c r="Q296" s="3" t="str">
        <f t="shared" si="28"/>
        <v>Short Supply</v>
      </c>
      <c r="R296" s="6">
        <f t="shared" si="29"/>
        <v>0</v>
      </c>
    </row>
    <row r="297" spans="1:18" x14ac:dyDescent="0.25">
      <c r="A297" s="2">
        <v>45809</v>
      </c>
      <c r="B297" s="3" t="s">
        <v>51</v>
      </c>
      <c r="C297" s="3" t="s">
        <v>36</v>
      </c>
      <c r="D297" s="3" t="s">
        <v>26</v>
      </c>
      <c r="E297" s="3" t="s">
        <v>29</v>
      </c>
      <c r="F297" s="3">
        <v>772</v>
      </c>
      <c r="G297" s="3">
        <v>809</v>
      </c>
      <c r="H297" s="3">
        <v>790</v>
      </c>
      <c r="I297" s="3">
        <v>770</v>
      </c>
      <c r="J297" s="3">
        <v>98</v>
      </c>
      <c r="K297" s="3">
        <v>116</v>
      </c>
      <c r="L297" s="3">
        <v>1450</v>
      </c>
      <c r="M297" s="4">
        <f t="shared" si="24"/>
        <v>1.0233160621761659</v>
      </c>
      <c r="N297" s="5">
        <f t="shared" si="25"/>
        <v>1.8031088082901556</v>
      </c>
      <c r="O297" s="3">
        <f t="shared" si="26"/>
        <v>-18</v>
      </c>
      <c r="P297" s="3" t="str">
        <f t="shared" si="27"/>
        <v>Medium</v>
      </c>
      <c r="Q297" s="3" t="str">
        <f t="shared" si="28"/>
        <v>On Track</v>
      </c>
      <c r="R297" s="6">
        <f t="shared" si="29"/>
        <v>168200</v>
      </c>
    </row>
    <row r="298" spans="1:18" x14ac:dyDescent="0.25">
      <c r="A298" s="2">
        <v>45809</v>
      </c>
      <c r="B298" s="3" t="s">
        <v>51</v>
      </c>
      <c r="C298" s="3" t="s">
        <v>36</v>
      </c>
      <c r="D298" s="3" t="s">
        <v>28</v>
      </c>
      <c r="E298" s="3" t="s">
        <v>29</v>
      </c>
      <c r="F298" s="3">
        <v>520</v>
      </c>
      <c r="G298" s="3">
        <v>529</v>
      </c>
      <c r="H298" s="3">
        <v>505</v>
      </c>
      <c r="I298" s="3">
        <v>552</v>
      </c>
      <c r="J298" s="3">
        <v>91</v>
      </c>
      <c r="K298" s="3">
        <v>76</v>
      </c>
      <c r="L298" s="3">
        <v>1450</v>
      </c>
      <c r="M298" s="4">
        <f t="shared" si="24"/>
        <v>0.97115384615384615</v>
      </c>
      <c r="N298" s="5">
        <f t="shared" si="25"/>
        <v>1.7538461538461538</v>
      </c>
      <c r="O298" s="3">
        <f t="shared" si="26"/>
        <v>15</v>
      </c>
      <c r="P298" s="3" t="str">
        <f t="shared" si="27"/>
        <v>Medium</v>
      </c>
      <c r="Q298" s="3" t="str">
        <f t="shared" si="28"/>
        <v>Short Supply</v>
      </c>
      <c r="R298" s="6">
        <f t="shared" si="29"/>
        <v>110200</v>
      </c>
    </row>
    <row r="299" spans="1:18" x14ac:dyDescent="0.25">
      <c r="A299" s="2">
        <v>45809</v>
      </c>
      <c r="B299" s="3" t="s">
        <v>51</v>
      </c>
      <c r="C299" s="3" t="s">
        <v>36</v>
      </c>
      <c r="D299" s="3" t="s">
        <v>30</v>
      </c>
      <c r="E299" s="3" t="s">
        <v>29</v>
      </c>
      <c r="F299" s="3">
        <v>468</v>
      </c>
      <c r="G299" s="3">
        <v>502</v>
      </c>
      <c r="H299" s="3">
        <v>462</v>
      </c>
      <c r="I299" s="3">
        <v>452</v>
      </c>
      <c r="J299" s="3">
        <v>117</v>
      </c>
      <c r="K299" s="3">
        <v>111</v>
      </c>
      <c r="L299" s="3">
        <v>1450</v>
      </c>
      <c r="M299" s="4">
        <f t="shared" si="24"/>
        <v>0.98717948717948723</v>
      </c>
      <c r="N299" s="5">
        <f t="shared" si="25"/>
        <v>2.8461538461538458</v>
      </c>
      <c r="O299" s="3">
        <f t="shared" si="26"/>
        <v>6</v>
      </c>
      <c r="P299" s="3" t="str">
        <f t="shared" si="27"/>
        <v>Healthy</v>
      </c>
      <c r="Q299" s="3" t="str">
        <f t="shared" si="28"/>
        <v>Short Supply</v>
      </c>
      <c r="R299" s="6">
        <f t="shared" si="29"/>
        <v>160950</v>
      </c>
    </row>
    <row r="300" spans="1:18" x14ac:dyDescent="0.25">
      <c r="A300" s="2">
        <v>45809</v>
      </c>
      <c r="B300" s="3" t="s">
        <v>51</v>
      </c>
      <c r="C300" s="3" t="s">
        <v>36</v>
      </c>
      <c r="D300" s="3" t="s">
        <v>32</v>
      </c>
      <c r="E300" s="3" t="s">
        <v>29</v>
      </c>
      <c r="F300" s="3">
        <v>429</v>
      </c>
      <c r="G300" s="3">
        <v>445</v>
      </c>
      <c r="H300" s="3">
        <v>438</v>
      </c>
      <c r="I300" s="3">
        <v>409</v>
      </c>
      <c r="J300" s="3">
        <v>126</v>
      </c>
      <c r="K300" s="3">
        <v>135</v>
      </c>
      <c r="L300" s="3">
        <v>1450</v>
      </c>
      <c r="M300" s="4">
        <f t="shared" si="24"/>
        <v>1.020979020979021</v>
      </c>
      <c r="N300" s="5">
        <f t="shared" si="25"/>
        <v>3.7762237762237763</v>
      </c>
      <c r="O300" s="3">
        <f t="shared" si="26"/>
        <v>-9</v>
      </c>
      <c r="P300" s="3" t="str">
        <f t="shared" si="27"/>
        <v>Healthy</v>
      </c>
      <c r="Q300" s="3" t="str">
        <f t="shared" si="28"/>
        <v>On Track</v>
      </c>
      <c r="R300" s="6">
        <f t="shared" si="29"/>
        <v>195750</v>
      </c>
    </row>
    <row r="301" spans="1:18" x14ac:dyDescent="0.25">
      <c r="A301" s="2">
        <v>45809</v>
      </c>
      <c r="B301" s="3" t="s">
        <v>51</v>
      </c>
      <c r="C301" s="3" t="s">
        <v>36</v>
      </c>
      <c r="D301" s="3" t="s">
        <v>33</v>
      </c>
      <c r="E301" s="3" t="s">
        <v>31</v>
      </c>
      <c r="F301" s="3">
        <v>478</v>
      </c>
      <c r="G301" s="3">
        <v>500</v>
      </c>
      <c r="H301" s="3">
        <v>449</v>
      </c>
      <c r="I301" s="3">
        <v>486</v>
      </c>
      <c r="J301" s="3">
        <v>106</v>
      </c>
      <c r="K301" s="3">
        <v>77</v>
      </c>
      <c r="L301" s="3">
        <v>1450</v>
      </c>
      <c r="M301" s="4">
        <f t="shared" si="24"/>
        <v>0.93933054393305437</v>
      </c>
      <c r="N301" s="5">
        <f t="shared" si="25"/>
        <v>1.9330543933054394</v>
      </c>
      <c r="O301" s="3">
        <f t="shared" si="26"/>
        <v>29</v>
      </c>
      <c r="P301" s="3" t="str">
        <f t="shared" si="27"/>
        <v>Medium</v>
      </c>
      <c r="Q301" s="3" t="str">
        <f t="shared" si="28"/>
        <v>Short Supply</v>
      </c>
      <c r="R301" s="6">
        <f t="shared" si="29"/>
        <v>111650</v>
      </c>
    </row>
    <row r="302" spans="1:18" x14ac:dyDescent="0.25">
      <c r="A302" s="2">
        <v>45839</v>
      </c>
      <c r="B302" s="3" t="s">
        <v>24</v>
      </c>
      <c r="C302" s="3" t="s">
        <v>25</v>
      </c>
      <c r="D302" s="3" t="s">
        <v>26</v>
      </c>
      <c r="E302" s="3" t="s">
        <v>29</v>
      </c>
      <c r="F302" s="3">
        <v>747</v>
      </c>
      <c r="G302" s="3">
        <v>819</v>
      </c>
      <c r="H302" s="3">
        <v>746</v>
      </c>
      <c r="I302" s="3">
        <v>715</v>
      </c>
      <c r="J302" s="3">
        <v>68</v>
      </c>
      <c r="K302" s="3">
        <v>67</v>
      </c>
      <c r="L302" s="3">
        <v>1800</v>
      </c>
      <c r="M302" s="4">
        <f t="shared" si="24"/>
        <v>0.99866131191432395</v>
      </c>
      <c r="N302" s="5">
        <f t="shared" si="25"/>
        <v>1.0763052208835342</v>
      </c>
      <c r="O302" s="3">
        <f t="shared" si="26"/>
        <v>1</v>
      </c>
      <c r="P302" s="3" t="str">
        <f t="shared" si="27"/>
        <v>Medium</v>
      </c>
      <c r="Q302" s="3" t="str">
        <f t="shared" si="28"/>
        <v>Short Supply</v>
      </c>
      <c r="R302" s="6">
        <f t="shared" si="29"/>
        <v>120600</v>
      </c>
    </row>
    <row r="303" spans="1:18" x14ac:dyDescent="0.25">
      <c r="A303" s="2">
        <v>45839</v>
      </c>
      <c r="B303" s="3" t="s">
        <v>24</v>
      </c>
      <c r="C303" s="3" t="s">
        <v>25</v>
      </c>
      <c r="D303" s="3" t="s">
        <v>28</v>
      </c>
      <c r="E303" s="3" t="s">
        <v>31</v>
      </c>
      <c r="F303" s="3">
        <v>715</v>
      </c>
      <c r="G303" s="3">
        <v>646</v>
      </c>
      <c r="H303" s="3">
        <v>638</v>
      </c>
      <c r="I303" s="3">
        <v>658</v>
      </c>
      <c r="J303" s="3">
        <v>104</v>
      </c>
      <c r="K303" s="3">
        <v>27</v>
      </c>
      <c r="L303" s="3">
        <v>1800</v>
      </c>
      <c r="M303" s="4">
        <f t="shared" si="24"/>
        <v>0.89230769230769236</v>
      </c>
      <c r="N303" s="5">
        <f t="shared" si="25"/>
        <v>0.45314685314685316</v>
      </c>
      <c r="O303" s="3">
        <f t="shared" si="26"/>
        <v>77</v>
      </c>
      <c r="P303" s="3" t="str">
        <f t="shared" si="27"/>
        <v>Low</v>
      </c>
      <c r="Q303" s="3" t="str">
        <f t="shared" si="28"/>
        <v>Short Supply</v>
      </c>
      <c r="R303" s="6">
        <f t="shared" si="29"/>
        <v>48600</v>
      </c>
    </row>
    <row r="304" spans="1:18" x14ac:dyDescent="0.25">
      <c r="A304" s="2">
        <v>45839</v>
      </c>
      <c r="B304" s="3" t="s">
        <v>24</v>
      </c>
      <c r="C304" s="3" t="s">
        <v>25</v>
      </c>
      <c r="D304" s="3" t="s">
        <v>30</v>
      </c>
      <c r="E304" s="3" t="s">
        <v>29</v>
      </c>
      <c r="F304" s="3">
        <v>485</v>
      </c>
      <c r="G304" s="3">
        <v>535</v>
      </c>
      <c r="H304" s="3">
        <v>536</v>
      </c>
      <c r="I304" s="3">
        <v>483</v>
      </c>
      <c r="J304" s="3">
        <v>75</v>
      </c>
      <c r="K304" s="3">
        <v>126</v>
      </c>
      <c r="L304" s="3">
        <v>1800</v>
      </c>
      <c r="M304" s="4">
        <f t="shared" si="24"/>
        <v>1.1051546391752578</v>
      </c>
      <c r="N304" s="5">
        <f t="shared" si="25"/>
        <v>3.1175257731958768</v>
      </c>
      <c r="O304" s="3">
        <f t="shared" si="26"/>
        <v>-51</v>
      </c>
      <c r="P304" s="3" t="str">
        <f t="shared" si="27"/>
        <v>Healthy</v>
      </c>
      <c r="Q304" s="3" t="str">
        <f t="shared" si="28"/>
        <v>On Track</v>
      </c>
      <c r="R304" s="6">
        <f t="shared" si="29"/>
        <v>226800</v>
      </c>
    </row>
    <row r="305" spans="1:18" x14ac:dyDescent="0.25">
      <c r="A305" s="2">
        <v>45839</v>
      </c>
      <c r="B305" s="3" t="s">
        <v>24</v>
      </c>
      <c r="C305" s="3" t="s">
        <v>25</v>
      </c>
      <c r="D305" s="3" t="s">
        <v>32</v>
      </c>
      <c r="E305" s="3" t="s">
        <v>27</v>
      </c>
      <c r="F305" s="3">
        <v>436</v>
      </c>
      <c r="G305" s="3">
        <v>451</v>
      </c>
      <c r="H305" s="3">
        <v>454</v>
      </c>
      <c r="I305" s="3">
        <v>407</v>
      </c>
      <c r="J305" s="3">
        <v>105</v>
      </c>
      <c r="K305" s="3">
        <v>123</v>
      </c>
      <c r="L305" s="3">
        <v>1800</v>
      </c>
      <c r="M305" s="4">
        <f t="shared" si="24"/>
        <v>1.0412844036697249</v>
      </c>
      <c r="N305" s="5">
        <f t="shared" si="25"/>
        <v>3.3853211009174311</v>
      </c>
      <c r="O305" s="3">
        <f t="shared" si="26"/>
        <v>-18</v>
      </c>
      <c r="P305" s="3" t="str">
        <f t="shared" si="27"/>
        <v>Healthy</v>
      </c>
      <c r="Q305" s="3" t="str">
        <f t="shared" si="28"/>
        <v>On Track</v>
      </c>
      <c r="R305" s="6">
        <f t="shared" si="29"/>
        <v>221400</v>
      </c>
    </row>
    <row r="306" spans="1:18" x14ac:dyDescent="0.25">
      <c r="A306" s="2">
        <v>45839</v>
      </c>
      <c r="B306" s="3" t="s">
        <v>24</v>
      </c>
      <c r="C306" s="3" t="s">
        <v>25</v>
      </c>
      <c r="D306" s="3" t="s">
        <v>33</v>
      </c>
      <c r="E306" s="3" t="s">
        <v>34</v>
      </c>
      <c r="F306" s="3">
        <v>575</v>
      </c>
      <c r="G306" s="3">
        <v>530</v>
      </c>
      <c r="H306" s="3">
        <v>531</v>
      </c>
      <c r="I306" s="3">
        <v>545</v>
      </c>
      <c r="J306" s="3">
        <v>133</v>
      </c>
      <c r="K306" s="3">
        <v>89</v>
      </c>
      <c r="L306" s="3">
        <v>1800</v>
      </c>
      <c r="M306" s="4">
        <f t="shared" si="24"/>
        <v>0.92347826086956519</v>
      </c>
      <c r="N306" s="5">
        <f t="shared" si="25"/>
        <v>1.8573913043478258</v>
      </c>
      <c r="O306" s="3">
        <f t="shared" si="26"/>
        <v>44</v>
      </c>
      <c r="P306" s="3" t="str">
        <f t="shared" si="27"/>
        <v>Medium</v>
      </c>
      <c r="Q306" s="3" t="str">
        <f t="shared" si="28"/>
        <v>Short Supply</v>
      </c>
      <c r="R306" s="6">
        <f t="shared" si="29"/>
        <v>160200</v>
      </c>
    </row>
    <row r="307" spans="1:18" x14ac:dyDescent="0.25">
      <c r="A307" s="2">
        <v>45839</v>
      </c>
      <c r="B307" s="3" t="s">
        <v>35</v>
      </c>
      <c r="C307" s="3" t="s">
        <v>36</v>
      </c>
      <c r="D307" s="3" t="s">
        <v>26</v>
      </c>
      <c r="E307" s="3" t="s">
        <v>27</v>
      </c>
      <c r="F307" s="3">
        <v>762</v>
      </c>
      <c r="G307" s="3">
        <v>704</v>
      </c>
      <c r="H307" s="3">
        <v>693</v>
      </c>
      <c r="I307" s="3">
        <v>807</v>
      </c>
      <c r="J307" s="3">
        <v>83</v>
      </c>
      <c r="K307" s="3">
        <v>14</v>
      </c>
      <c r="L307" s="3">
        <v>1600</v>
      </c>
      <c r="M307" s="4">
        <f t="shared" si="24"/>
        <v>0.90944881889763785</v>
      </c>
      <c r="N307" s="5">
        <f t="shared" si="25"/>
        <v>0.22047244094488189</v>
      </c>
      <c r="O307" s="3">
        <f t="shared" si="26"/>
        <v>69</v>
      </c>
      <c r="P307" s="3" t="str">
        <f t="shared" si="27"/>
        <v>Low</v>
      </c>
      <c r="Q307" s="3" t="str">
        <f t="shared" si="28"/>
        <v>Short Supply</v>
      </c>
      <c r="R307" s="6">
        <f t="shared" si="29"/>
        <v>22400</v>
      </c>
    </row>
    <row r="308" spans="1:18" x14ac:dyDescent="0.25">
      <c r="A308" s="2">
        <v>45839</v>
      </c>
      <c r="B308" s="3" t="s">
        <v>35</v>
      </c>
      <c r="C308" s="3" t="s">
        <v>36</v>
      </c>
      <c r="D308" s="3" t="s">
        <v>28</v>
      </c>
      <c r="E308" s="3" t="s">
        <v>34</v>
      </c>
      <c r="F308" s="3">
        <v>465</v>
      </c>
      <c r="G308" s="3">
        <v>472</v>
      </c>
      <c r="H308" s="3">
        <v>422</v>
      </c>
      <c r="I308" s="3">
        <v>500</v>
      </c>
      <c r="J308" s="3">
        <v>82</v>
      </c>
      <c r="K308" s="3">
        <v>39</v>
      </c>
      <c r="L308" s="3">
        <v>1600</v>
      </c>
      <c r="M308" s="4">
        <f t="shared" si="24"/>
        <v>0.90752688172043006</v>
      </c>
      <c r="N308" s="5">
        <f t="shared" si="25"/>
        <v>1.0064516129032259</v>
      </c>
      <c r="O308" s="3">
        <f t="shared" si="26"/>
        <v>43</v>
      </c>
      <c r="P308" s="3" t="str">
        <f t="shared" si="27"/>
        <v>Medium</v>
      </c>
      <c r="Q308" s="3" t="str">
        <f t="shared" si="28"/>
        <v>Short Supply</v>
      </c>
      <c r="R308" s="6">
        <f t="shared" si="29"/>
        <v>62400</v>
      </c>
    </row>
    <row r="309" spans="1:18" x14ac:dyDescent="0.25">
      <c r="A309" s="2">
        <v>45839</v>
      </c>
      <c r="B309" s="3" t="s">
        <v>35</v>
      </c>
      <c r="C309" s="3" t="s">
        <v>36</v>
      </c>
      <c r="D309" s="3" t="s">
        <v>30</v>
      </c>
      <c r="E309" s="3" t="s">
        <v>29</v>
      </c>
      <c r="F309" s="3">
        <v>452</v>
      </c>
      <c r="G309" s="3">
        <v>412</v>
      </c>
      <c r="H309" s="3">
        <v>391</v>
      </c>
      <c r="I309" s="3">
        <v>435</v>
      </c>
      <c r="J309" s="3">
        <v>124</v>
      </c>
      <c r="K309" s="3">
        <v>63</v>
      </c>
      <c r="L309" s="3">
        <v>1600</v>
      </c>
      <c r="M309" s="4">
        <f t="shared" si="24"/>
        <v>0.86504424778761058</v>
      </c>
      <c r="N309" s="5">
        <f t="shared" si="25"/>
        <v>1.6725663716814159</v>
      </c>
      <c r="O309" s="3">
        <f t="shared" si="26"/>
        <v>61</v>
      </c>
      <c r="P309" s="3" t="str">
        <f t="shared" si="27"/>
        <v>Medium</v>
      </c>
      <c r="Q309" s="3" t="str">
        <f t="shared" si="28"/>
        <v>Short Supply</v>
      </c>
      <c r="R309" s="6">
        <f t="shared" si="29"/>
        <v>100800</v>
      </c>
    </row>
    <row r="310" spans="1:18" x14ac:dyDescent="0.25">
      <c r="A310" s="2">
        <v>45839</v>
      </c>
      <c r="B310" s="3" t="s">
        <v>35</v>
      </c>
      <c r="C310" s="3" t="s">
        <v>36</v>
      </c>
      <c r="D310" s="3" t="s">
        <v>32</v>
      </c>
      <c r="E310" s="3" t="s">
        <v>29</v>
      </c>
      <c r="F310" s="3">
        <v>336</v>
      </c>
      <c r="G310" s="3">
        <v>332</v>
      </c>
      <c r="H310" s="3">
        <v>304</v>
      </c>
      <c r="I310" s="3">
        <v>319</v>
      </c>
      <c r="J310" s="3">
        <v>118</v>
      </c>
      <c r="K310" s="3">
        <v>86</v>
      </c>
      <c r="L310" s="3">
        <v>1600</v>
      </c>
      <c r="M310" s="4">
        <f t="shared" si="24"/>
        <v>0.90476190476190477</v>
      </c>
      <c r="N310" s="5">
        <f t="shared" si="25"/>
        <v>3.0714285714285712</v>
      </c>
      <c r="O310" s="3">
        <f t="shared" si="26"/>
        <v>32</v>
      </c>
      <c r="P310" s="3" t="str">
        <f t="shared" si="27"/>
        <v>Healthy</v>
      </c>
      <c r="Q310" s="3" t="str">
        <f t="shared" si="28"/>
        <v>Short Supply</v>
      </c>
      <c r="R310" s="6">
        <f t="shared" si="29"/>
        <v>137600</v>
      </c>
    </row>
    <row r="311" spans="1:18" x14ac:dyDescent="0.25">
      <c r="A311" s="2">
        <v>45839</v>
      </c>
      <c r="B311" s="3" t="s">
        <v>35</v>
      </c>
      <c r="C311" s="3" t="s">
        <v>36</v>
      </c>
      <c r="D311" s="3" t="s">
        <v>33</v>
      </c>
      <c r="E311" s="3" t="s">
        <v>34</v>
      </c>
      <c r="F311" s="3">
        <v>424</v>
      </c>
      <c r="G311" s="3">
        <v>450</v>
      </c>
      <c r="H311" s="3">
        <v>407</v>
      </c>
      <c r="I311" s="3">
        <v>448</v>
      </c>
      <c r="J311" s="3">
        <v>131</v>
      </c>
      <c r="K311" s="3">
        <v>114</v>
      </c>
      <c r="L311" s="3">
        <v>1600</v>
      </c>
      <c r="M311" s="4">
        <f t="shared" si="24"/>
        <v>0.95990566037735847</v>
      </c>
      <c r="N311" s="5">
        <f t="shared" si="25"/>
        <v>3.2264150943396226</v>
      </c>
      <c r="O311" s="3">
        <f t="shared" si="26"/>
        <v>17</v>
      </c>
      <c r="P311" s="3" t="str">
        <f t="shared" si="27"/>
        <v>Healthy</v>
      </c>
      <c r="Q311" s="3" t="str">
        <f t="shared" si="28"/>
        <v>Short Supply</v>
      </c>
      <c r="R311" s="6">
        <f t="shared" si="29"/>
        <v>182400</v>
      </c>
    </row>
    <row r="312" spans="1:18" x14ac:dyDescent="0.25">
      <c r="A312" s="2">
        <v>45839</v>
      </c>
      <c r="B312" s="3" t="s">
        <v>37</v>
      </c>
      <c r="C312" s="3" t="s">
        <v>38</v>
      </c>
      <c r="D312" s="3" t="s">
        <v>26</v>
      </c>
      <c r="E312" s="3" t="s">
        <v>29</v>
      </c>
      <c r="F312" s="3">
        <v>596</v>
      </c>
      <c r="G312" s="3">
        <v>536</v>
      </c>
      <c r="H312" s="3">
        <v>521</v>
      </c>
      <c r="I312" s="3">
        <v>565</v>
      </c>
      <c r="J312" s="3">
        <v>71</v>
      </c>
      <c r="K312" s="3">
        <v>0</v>
      </c>
      <c r="L312" s="3">
        <v>1300</v>
      </c>
      <c r="M312" s="4">
        <f t="shared" si="24"/>
        <v>0.87416107382550334</v>
      </c>
      <c r="N312" s="5">
        <f t="shared" si="25"/>
        <v>0</v>
      </c>
      <c r="O312" s="3">
        <f t="shared" si="26"/>
        <v>75</v>
      </c>
      <c r="P312" s="3" t="str">
        <f t="shared" si="27"/>
        <v>Low</v>
      </c>
      <c r="Q312" s="3" t="str">
        <f t="shared" si="28"/>
        <v>Short Supply</v>
      </c>
      <c r="R312" s="6">
        <f t="shared" si="29"/>
        <v>0</v>
      </c>
    </row>
    <row r="313" spans="1:18" x14ac:dyDescent="0.25">
      <c r="A313" s="2">
        <v>45839</v>
      </c>
      <c r="B313" s="3" t="s">
        <v>37</v>
      </c>
      <c r="C313" s="3" t="s">
        <v>38</v>
      </c>
      <c r="D313" s="3" t="s">
        <v>28</v>
      </c>
      <c r="E313" s="3" t="s">
        <v>29</v>
      </c>
      <c r="F313" s="3">
        <v>522</v>
      </c>
      <c r="G313" s="3">
        <v>460</v>
      </c>
      <c r="H313" s="3">
        <v>429</v>
      </c>
      <c r="I313" s="3">
        <v>517</v>
      </c>
      <c r="J313" s="3">
        <v>81</v>
      </c>
      <c r="K313" s="3">
        <v>0</v>
      </c>
      <c r="L313" s="3">
        <v>1300</v>
      </c>
      <c r="M313" s="4">
        <f t="shared" si="24"/>
        <v>0.82183908045977017</v>
      </c>
      <c r="N313" s="5">
        <f t="shared" si="25"/>
        <v>0</v>
      </c>
      <c r="O313" s="3">
        <f t="shared" si="26"/>
        <v>93</v>
      </c>
      <c r="P313" s="3" t="str">
        <f t="shared" si="27"/>
        <v>Low</v>
      </c>
      <c r="Q313" s="3" t="str">
        <f t="shared" si="28"/>
        <v>Short Supply</v>
      </c>
      <c r="R313" s="6">
        <f t="shared" si="29"/>
        <v>0</v>
      </c>
    </row>
    <row r="314" spans="1:18" x14ac:dyDescent="0.25">
      <c r="A314" s="2">
        <v>45839</v>
      </c>
      <c r="B314" s="3" t="s">
        <v>37</v>
      </c>
      <c r="C314" s="3" t="s">
        <v>38</v>
      </c>
      <c r="D314" s="3" t="s">
        <v>30</v>
      </c>
      <c r="E314" s="3" t="s">
        <v>27</v>
      </c>
      <c r="F314" s="3">
        <v>322</v>
      </c>
      <c r="G314" s="3">
        <v>339</v>
      </c>
      <c r="H314" s="3">
        <v>298</v>
      </c>
      <c r="I314" s="3">
        <v>329</v>
      </c>
      <c r="J314" s="3">
        <v>115</v>
      </c>
      <c r="K314" s="3">
        <v>91</v>
      </c>
      <c r="L314" s="3">
        <v>1300</v>
      </c>
      <c r="M314" s="4">
        <f t="shared" si="24"/>
        <v>0.92546583850931674</v>
      </c>
      <c r="N314" s="5">
        <f t="shared" si="25"/>
        <v>3.3913043478260869</v>
      </c>
      <c r="O314" s="3">
        <f t="shared" si="26"/>
        <v>24</v>
      </c>
      <c r="P314" s="3" t="str">
        <f t="shared" si="27"/>
        <v>Healthy</v>
      </c>
      <c r="Q314" s="3" t="str">
        <f t="shared" si="28"/>
        <v>Short Supply</v>
      </c>
      <c r="R314" s="6">
        <f t="shared" si="29"/>
        <v>118300</v>
      </c>
    </row>
    <row r="315" spans="1:18" x14ac:dyDescent="0.25">
      <c r="A315" s="2">
        <v>45839</v>
      </c>
      <c r="B315" s="3" t="s">
        <v>37</v>
      </c>
      <c r="C315" s="3" t="s">
        <v>38</v>
      </c>
      <c r="D315" s="3" t="s">
        <v>32</v>
      </c>
      <c r="E315" s="3" t="s">
        <v>29</v>
      </c>
      <c r="F315" s="3">
        <v>332</v>
      </c>
      <c r="G315" s="3">
        <v>329</v>
      </c>
      <c r="H315" s="3">
        <v>296</v>
      </c>
      <c r="I315" s="3">
        <v>341</v>
      </c>
      <c r="J315" s="3">
        <v>133</v>
      </c>
      <c r="K315" s="3">
        <v>97</v>
      </c>
      <c r="L315" s="3">
        <v>1300</v>
      </c>
      <c r="M315" s="4">
        <f t="shared" si="24"/>
        <v>0.89156626506024095</v>
      </c>
      <c r="N315" s="5">
        <f t="shared" si="25"/>
        <v>3.5060240963855422</v>
      </c>
      <c r="O315" s="3">
        <f t="shared" si="26"/>
        <v>36</v>
      </c>
      <c r="P315" s="3" t="str">
        <f t="shared" si="27"/>
        <v>Healthy</v>
      </c>
      <c r="Q315" s="3" t="str">
        <f t="shared" si="28"/>
        <v>Short Supply</v>
      </c>
      <c r="R315" s="6">
        <f t="shared" si="29"/>
        <v>126100</v>
      </c>
    </row>
    <row r="316" spans="1:18" x14ac:dyDescent="0.25">
      <c r="A316" s="2">
        <v>45839</v>
      </c>
      <c r="B316" s="3" t="s">
        <v>37</v>
      </c>
      <c r="C316" s="3" t="s">
        <v>38</v>
      </c>
      <c r="D316" s="3" t="s">
        <v>33</v>
      </c>
      <c r="E316" s="3" t="s">
        <v>31</v>
      </c>
      <c r="F316" s="3">
        <v>372</v>
      </c>
      <c r="G316" s="3">
        <v>384</v>
      </c>
      <c r="H316" s="3">
        <v>388</v>
      </c>
      <c r="I316" s="3">
        <v>364</v>
      </c>
      <c r="J316" s="3">
        <v>77</v>
      </c>
      <c r="K316" s="3">
        <v>93</v>
      </c>
      <c r="L316" s="3">
        <v>1300</v>
      </c>
      <c r="M316" s="4">
        <f t="shared" si="24"/>
        <v>1.043010752688172</v>
      </c>
      <c r="N316" s="5">
        <f t="shared" si="25"/>
        <v>3</v>
      </c>
      <c r="O316" s="3">
        <f t="shared" si="26"/>
        <v>-16</v>
      </c>
      <c r="P316" s="3" t="str">
        <f t="shared" si="27"/>
        <v>Healthy</v>
      </c>
      <c r="Q316" s="3" t="str">
        <f t="shared" si="28"/>
        <v>On Track</v>
      </c>
      <c r="R316" s="6">
        <f t="shared" si="29"/>
        <v>120900</v>
      </c>
    </row>
    <row r="317" spans="1:18" x14ac:dyDescent="0.25">
      <c r="A317" s="2">
        <v>45839</v>
      </c>
      <c r="B317" s="3" t="s">
        <v>39</v>
      </c>
      <c r="C317" s="3" t="s">
        <v>40</v>
      </c>
      <c r="D317" s="3" t="s">
        <v>26</v>
      </c>
      <c r="E317" s="3" t="s">
        <v>34</v>
      </c>
      <c r="F317" s="3">
        <v>777</v>
      </c>
      <c r="G317" s="3">
        <v>768</v>
      </c>
      <c r="H317" s="3">
        <v>782</v>
      </c>
      <c r="I317" s="3">
        <v>761</v>
      </c>
      <c r="J317" s="3">
        <v>116</v>
      </c>
      <c r="K317" s="3">
        <v>121</v>
      </c>
      <c r="L317" s="3">
        <v>1700</v>
      </c>
      <c r="M317" s="4">
        <f t="shared" si="24"/>
        <v>1.0064350064350065</v>
      </c>
      <c r="N317" s="5">
        <f t="shared" si="25"/>
        <v>1.8687258687258688</v>
      </c>
      <c r="O317" s="3">
        <f t="shared" si="26"/>
        <v>-5</v>
      </c>
      <c r="P317" s="3" t="str">
        <f t="shared" si="27"/>
        <v>Medium</v>
      </c>
      <c r="Q317" s="3" t="str">
        <f t="shared" si="28"/>
        <v>On Track</v>
      </c>
      <c r="R317" s="6">
        <f t="shared" si="29"/>
        <v>205700</v>
      </c>
    </row>
    <row r="318" spans="1:18" x14ac:dyDescent="0.25">
      <c r="A318" s="2">
        <v>45839</v>
      </c>
      <c r="B318" s="3" t="s">
        <v>39</v>
      </c>
      <c r="C318" s="3" t="s">
        <v>40</v>
      </c>
      <c r="D318" s="3" t="s">
        <v>28</v>
      </c>
      <c r="E318" s="3" t="s">
        <v>27</v>
      </c>
      <c r="F318" s="3">
        <v>656</v>
      </c>
      <c r="G318" s="3">
        <v>703</v>
      </c>
      <c r="H318" s="3">
        <v>699</v>
      </c>
      <c r="I318" s="3">
        <v>683</v>
      </c>
      <c r="J318" s="3">
        <v>114</v>
      </c>
      <c r="K318" s="3">
        <v>157</v>
      </c>
      <c r="L318" s="3">
        <v>1700</v>
      </c>
      <c r="M318" s="4">
        <f t="shared" si="24"/>
        <v>1.0655487804878048</v>
      </c>
      <c r="N318" s="5">
        <f t="shared" si="25"/>
        <v>2.8719512195121952</v>
      </c>
      <c r="O318" s="3">
        <f t="shared" si="26"/>
        <v>-43</v>
      </c>
      <c r="P318" s="3" t="str">
        <f t="shared" si="27"/>
        <v>Healthy</v>
      </c>
      <c r="Q318" s="3" t="str">
        <f t="shared" si="28"/>
        <v>On Track</v>
      </c>
      <c r="R318" s="6">
        <f t="shared" si="29"/>
        <v>266900</v>
      </c>
    </row>
    <row r="319" spans="1:18" x14ac:dyDescent="0.25">
      <c r="A319" s="2">
        <v>45839</v>
      </c>
      <c r="B319" s="3" t="s">
        <v>39</v>
      </c>
      <c r="C319" s="3" t="s">
        <v>40</v>
      </c>
      <c r="D319" s="3" t="s">
        <v>30</v>
      </c>
      <c r="E319" s="3" t="s">
        <v>31</v>
      </c>
      <c r="F319" s="3">
        <v>455</v>
      </c>
      <c r="G319" s="3">
        <v>458</v>
      </c>
      <c r="H319" s="3">
        <v>426</v>
      </c>
      <c r="I319" s="3">
        <v>485</v>
      </c>
      <c r="J319" s="3">
        <v>68</v>
      </c>
      <c r="K319" s="3">
        <v>39</v>
      </c>
      <c r="L319" s="3">
        <v>1700</v>
      </c>
      <c r="M319" s="4">
        <f t="shared" si="24"/>
        <v>0.93626373626373627</v>
      </c>
      <c r="N319" s="5">
        <f t="shared" si="25"/>
        <v>1.0285714285714285</v>
      </c>
      <c r="O319" s="3">
        <f t="shared" si="26"/>
        <v>29</v>
      </c>
      <c r="P319" s="3" t="str">
        <f t="shared" si="27"/>
        <v>Medium</v>
      </c>
      <c r="Q319" s="3" t="str">
        <f t="shared" si="28"/>
        <v>Short Supply</v>
      </c>
      <c r="R319" s="6">
        <f t="shared" si="29"/>
        <v>66300</v>
      </c>
    </row>
    <row r="320" spans="1:18" x14ac:dyDescent="0.25">
      <c r="A320" s="2">
        <v>45839</v>
      </c>
      <c r="B320" s="3" t="s">
        <v>39</v>
      </c>
      <c r="C320" s="3" t="s">
        <v>40</v>
      </c>
      <c r="D320" s="3" t="s">
        <v>32</v>
      </c>
      <c r="E320" s="3" t="s">
        <v>31</v>
      </c>
      <c r="F320" s="3">
        <v>426</v>
      </c>
      <c r="G320" s="3">
        <v>390</v>
      </c>
      <c r="H320" s="3">
        <v>361</v>
      </c>
      <c r="I320" s="3">
        <v>427</v>
      </c>
      <c r="J320" s="3">
        <v>69</v>
      </c>
      <c r="K320" s="3">
        <v>4</v>
      </c>
      <c r="L320" s="3">
        <v>1700</v>
      </c>
      <c r="M320" s="4">
        <f t="shared" si="24"/>
        <v>0.84741784037558687</v>
      </c>
      <c r="N320" s="5">
        <f t="shared" si="25"/>
        <v>0.11267605633802817</v>
      </c>
      <c r="O320" s="3">
        <f t="shared" si="26"/>
        <v>65</v>
      </c>
      <c r="P320" s="3" t="str">
        <f t="shared" si="27"/>
        <v>Low</v>
      </c>
      <c r="Q320" s="3" t="str">
        <f t="shared" si="28"/>
        <v>Short Supply</v>
      </c>
      <c r="R320" s="6">
        <f t="shared" si="29"/>
        <v>6800</v>
      </c>
    </row>
    <row r="321" spans="1:18" x14ac:dyDescent="0.25">
      <c r="A321" s="2">
        <v>45839</v>
      </c>
      <c r="B321" s="3" t="s">
        <v>39</v>
      </c>
      <c r="C321" s="3" t="s">
        <v>40</v>
      </c>
      <c r="D321" s="3" t="s">
        <v>33</v>
      </c>
      <c r="E321" s="3" t="s">
        <v>31</v>
      </c>
      <c r="F321" s="3">
        <v>494</v>
      </c>
      <c r="G321" s="3">
        <v>492</v>
      </c>
      <c r="H321" s="3">
        <v>494</v>
      </c>
      <c r="I321" s="3">
        <v>489</v>
      </c>
      <c r="J321" s="3">
        <v>64</v>
      </c>
      <c r="K321" s="3">
        <v>64</v>
      </c>
      <c r="L321" s="3">
        <v>1700</v>
      </c>
      <c r="M321" s="4">
        <f t="shared" si="24"/>
        <v>1</v>
      </c>
      <c r="N321" s="5">
        <f t="shared" si="25"/>
        <v>1.5546558704453441</v>
      </c>
      <c r="O321" s="3">
        <f t="shared" si="26"/>
        <v>0</v>
      </c>
      <c r="P321" s="3" t="str">
        <f t="shared" si="27"/>
        <v>Medium</v>
      </c>
      <c r="Q321" s="3" t="str">
        <f t="shared" si="28"/>
        <v>On Track</v>
      </c>
      <c r="R321" s="6">
        <f t="shared" si="29"/>
        <v>108800</v>
      </c>
    </row>
    <row r="322" spans="1:18" x14ac:dyDescent="0.25">
      <c r="A322" s="2">
        <v>45839</v>
      </c>
      <c r="B322" s="3" t="s">
        <v>41</v>
      </c>
      <c r="C322" s="3" t="s">
        <v>42</v>
      </c>
      <c r="D322" s="3" t="s">
        <v>26</v>
      </c>
      <c r="E322" s="3" t="s">
        <v>27</v>
      </c>
      <c r="F322" s="3">
        <v>487</v>
      </c>
      <c r="G322" s="3">
        <v>481</v>
      </c>
      <c r="H322" s="3">
        <v>427</v>
      </c>
      <c r="I322" s="3">
        <v>484</v>
      </c>
      <c r="J322" s="3">
        <v>124</v>
      </c>
      <c r="K322" s="3">
        <v>64</v>
      </c>
      <c r="L322" s="3">
        <v>1200</v>
      </c>
      <c r="M322" s="4">
        <f t="shared" ref="M322:M385" si="30">IFERROR(H322/F322,0)</f>
        <v>0.87679671457905539</v>
      </c>
      <c r="N322" s="5">
        <f t="shared" ref="N322:N385" si="31">IFERROR(K322/F322*12,0)</f>
        <v>1.5770020533880904</v>
      </c>
      <c r="O322" s="3">
        <f t="shared" ref="O322:O385" si="32">F322-H322</f>
        <v>60</v>
      </c>
      <c r="P322" s="3" t="str">
        <f t="shared" ref="P322:P385" si="33">IF(N322&lt;1,"Low",IF(N322&lt;=2,"Medium","Healthy"))</f>
        <v>Medium</v>
      </c>
      <c r="Q322" s="3" t="str">
        <f t="shared" ref="Q322:Q385" si="34">IF(H322&lt;F322,"Short Supply","On Track")</f>
        <v>Short Supply</v>
      </c>
      <c r="R322" s="6">
        <f t="shared" ref="R322:R385" si="35">K322*L322</f>
        <v>76800</v>
      </c>
    </row>
    <row r="323" spans="1:18" x14ac:dyDescent="0.25">
      <c r="A323" s="2">
        <v>45839</v>
      </c>
      <c r="B323" s="3" t="s">
        <v>41</v>
      </c>
      <c r="C323" s="3" t="s">
        <v>42</v>
      </c>
      <c r="D323" s="3" t="s">
        <v>28</v>
      </c>
      <c r="E323" s="3" t="s">
        <v>29</v>
      </c>
      <c r="F323" s="3">
        <v>366</v>
      </c>
      <c r="G323" s="3">
        <v>393</v>
      </c>
      <c r="H323" s="3">
        <v>386</v>
      </c>
      <c r="I323" s="3">
        <v>370</v>
      </c>
      <c r="J323" s="3">
        <v>63</v>
      </c>
      <c r="K323" s="3">
        <v>83</v>
      </c>
      <c r="L323" s="3">
        <v>1200</v>
      </c>
      <c r="M323" s="4">
        <f t="shared" si="30"/>
        <v>1.0546448087431695</v>
      </c>
      <c r="N323" s="5">
        <f t="shared" si="31"/>
        <v>2.721311475409836</v>
      </c>
      <c r="O323" s="3">
        <f t="shared" si="32"/>
        <v>-20</v>
      </c>
      <c r="P323" s="3" t="str">
        <f t="shared" si="33"/>
        <v>Healthy</v>
      </c>
      <c r="Q323" s="3" t="str">
        <f t="shared" si="34"/>
        <v>On Track</v>
      </c>
      <c r="R323" s="6">
        <f t="shared" si="35"/>
        <v>99600</v>
      </c>
    </row>
    <row r="324" spans="1:18" x14ac:dyDescent="0.25">
      <c r="A324" s="2">
        <v>45839</v>
      </c>
      <c r="B324" s="3" t="s">
        <v>41</v>
      </c>
      <c r="C324" s="3" t="s">
        <v>42</v>
      </c>
      <c r="D324" s="3" t="s">
        <v>30</v>
      </c>
      <c r="E324" s="3" t="s">
        <v>34</v>
      </c>
      <c r="F324" s="3">
        <v>297</v>
      </c>
      <c r="G324" s="3">
        <v>299</v>
      </c>
      <c r="H324" s="3">
        <v>265</v>
      </c>
      <c r="I324" s="3">
        <v>315</v>
      </c>
      <c r="J324" s="3">
        <v>138</v>
      </c>
      <c r="K324" s="3">
        <v>106</v>
      </c>
      <c r="L324" s="3">
        <v>1200</v>
      </c>
      <c r="M324" s="4">
        <f t="shared" si="30"/>
        <v>0.8922558922558923</v>
      </c>
      <c r="N324" s="5">
        <f t="shared" si="31"/>
        <v>4.2828282828282829</v>
      </c>
      <c r="O324" s="3">
        <f t="shared" si="32"/>
        <v>32</v>
      </c>
      <c r="P324" s="3" t="str">
        <f t="shared" si="33"/>
        <v>Healthy</v>
      </c>
      <c r="Q324" s="3" t="str">
        <f t="shared" si="34"/>
        <v>Short Supply</v>
      </c>
      <c r="R324" s="6">
        <f t="shared" si="35"/>
        <v>127200</v>
      </c>
    </row>
    <row r="325" spans="1:18" x14ac:dyDescent="0.25">
      <c r="A325" s="2">
        <v>45839</v>
      </c>
      <c r="B325" s="3" t="s">
        <v>41</v>
      </c>
      <c r="C325" s="3" t="s">
        <v>42</v>
      </c>
      <c r="D325" s="3" t="s">
        <v>32</v>
      </c>
      <c r="E325" s="3" t="s">
        <v>34</v>
      </c>
      <c r="F325" s="3">
        <v>222</v>
      </c>
      <c r="G325" s="3">
        <v>217</v>
      </c>
      <c r="H325" s="3">
        <v>214</v>
      </c>
      <c r="I325" s="3">
        <v>231</v>
      </c>
      <c r="J325" s="3">
        <v>138</v>
      </c>
      <c r="K325" s="3">
        <v>130</v>
      </c>
      <c r="L325" s="3">
        <v>1200</v>
      </c>
      <c r="M325" s="4">
        <f t="shared" si="30"/>
        <v>0.963963963963964</v>
      </c>
      <c r="N325" s="5">
        <f t="shared" si="31"/>
        <v>7.0270270270270272</v>
      </c>
      <c r="O325" s="3">
        <f t="shared" si="32"/>
        <v>8</v>
      </c>
      <c r="P325" s="3" t="str">
        <f t="shared" si="33"/>
        <v>Healthy</v>
      </c>
      <c r="Q325" s="3" t="str">
        <f t="shared" si="34"/>
        <v>Short Supply</v>
      </c>
      <c r="R325" s="6">
        <f t="shared" si="35"/>
        <v>156000</v>
      </c>
    </row>
    <row r="326" spans="1:18" x14ac:dyDescent="0.25">
      <c r="A326" s="2">
        <v>45839</v>
      </c>
      <c r="B326" s="3" t="s">
        <v>41</v>
      </c>
      <c r="C326" s="3" t="s">
        <v>42</v>
      </c>
      <c r="D326" s="3" t="s">
        <v>33</v>
      </c>
      <c r="E326" s="3" t="s">
        <v>27</v>
      </c>
      <c r="F326" s="3">
        <v>277</v>
      </c>
      <c r="G326" s="3">
        <v>303</v>
      </c>
      <c r="H326" s="3">
        <v>285</v>
      </c>
      <c r="I326" s="3">
        <v>295</v>
      </c>
      <c r="J326" s="3">
        <v>90</v>
      </c>
      <c r="K326" s="3">
        <v>98</v>
      </c>
      <c r="L326" s="3">
        <v>1200</v>
      </c>
      <c r="M326" s="4">
        <f t="shared" si="30"/>
        <v>1.0288808664259927</v>
      </c>
      <c r="N326" s="5">
        <f t="shared" si="31"/>
        <v>4.2454873646209386</v>
      </c>
      <c r="O326" s="3">
        <f t="shared" si="32"/>
        <v>-8</v>
      </c>
      <c r="P326" s="3" t="str">
        <f t="shared" si="33"/>
        <v>Healthy</v>
      </c>
      <c r="Q326" s="3" t="str">
        <f t="shared" si="34"/>
        <v>On Track</v>
      </c>
      <c r="R326" s="6">
        <f t="shared" si="35"/>
        <v>117600</v>
      </c>
    </row>
    <row r="327" spans="1:18" x14ac:dyDescent="0.25">
      <c r="A327" s="2">
        <v>45839</v>
      </c>
      <c r="B327" s="3" t="s">
        <v>43</v>
      </c>
      <c r="C327" s="3" t="s">
        <v>44</v>
      </c>
      <c r="D327" s="3" t="s">
        <v>26</v>
      </c>
      <c r="E327" s="3" t="s">
        <v>31</v>
      </c>
      <c r="F327" s="3">
        <v>683</v>
      </c>
      <c r="G327" s="3">
        <v>709</v>
      </c>
      <c r="H327" s="3">
        <v>677</v>
      </c>
      <c r="I327" s="3">
        <v>699</v>
      </c>
      <c r="J327" s="3">
        <v>87</v>
      </c>
      <c r="K327" s="3">
        <v>81</v>
      </c>
      <c r="L327" s="3">
        <v>1400</v>
      </c>
      <c r="M327" s="4">
        <f t="shared" si="30"/>
        <v>0.99121522693997077</v>
      </c>
      <c r="N327" s="5">
        <f t="shared" si="31"/>
        <v>1.4231332357247437</v>
      </c>
      <c r="O327" s="3">
        <f t="shared" si="32"/>
        <v>6</v>
      </c>
      <c r="P327" s="3" t="str">
        <f t="shared" si="33"/>
        <v>Medium</v>
      </c>
      <c r="Q327" s="3" t="str">
        <f t="shared" si="34"/>
        <v>Short Supply</v>
      </c>
      <c r="R327" s="6">
        <f t="shared" si="35"/>
        <v>113400</v>
      </c>
    </row>
    <row r="328" spans="1:18" x14ac:dyDescent="0.25">
      <c r="A328" s="2">
        <v>45839</v>
      </c>
      <c r="B328" s="3" t="s">
        <v>43</v>
      </c>
      <c r="C328" s="3" t="s">
        <v>44</v>
      </c>
      <c r="D328" s="3" t="s">
        <v>28</v>
      </c>
      <c r="E328" s="3" t="s">
        <v>27</v>
      </c>
      <c r="F328" s="3">
        <v>578</v>
      </c>
      <c r="G328" s="3">
        <v>563</v>
      </c>
      <c r="H328" s="3">
        <v>505</v>
      </c>
      <c r="I328" s="3">
        <v>622</v>
      </c>
      <c r="J328" s="3">
        <v>126</v>
      </c>
      <c r="K328" s="3">
        <v>53</v>
      </c>
      <c r="L328" s="3">
        <v>1400</v>
      </c>
      <c r="M328" s="4">
        <f t="shared" si="30"/>
        <v>0.87370242214532867</v>
      </c>
      <c r="N328" s="5">
        <f t="shared" si="31"/>
        <v>1.1003460207612457</v>
      </c>
      <c r="O328" s="3">
        <f t="shared" si="32"/>
        <v>73</v>
      </c>
      <c r="P328" s="3" t="str">
        <f t="shared" si="33"/>
        <v>Medium</v>
      </c>
      <c r="Q328" s="3" t="str">
        <f t="shared" si="34"/>
        <v>Short Supply</v>
      </c>
      <c r="R328" s="6">
        <f t="shared" si="35"/>
        <v>74200</v>
      </c>
    </row>
    <row r="329" spans="1:18" x14ac:dyDescent="0.25">
      <c r="A329" s="2">
        <v>45839</v>
      </c>
      <c r="B329" s="3" t="s">
        <v>43</v>
      </c>
      <c r="C329" s="3" t="s">
        <v>44</v>
      </c>
      <c r="D329" s="3" t="s">
        <v>30</v>
      </c>
      <c r="E329" s="3" t="s">
        <v>31</v>
      </c>
      <c r="F329" s="3">
        <v>428</v>
      </c>
      <c r="G329" s="3">
        <v>424</v>
      </c>
      <c r="H329" s="3">
        <v>415</v>
      </c>
      <c r="I329" s="3">
        <v>422</v>
      </c>
      <c r="J329" s="3">
        <v>90</v>
      </c>
      <c r="K329" s="3">
        <v>77</v>
      </c>
      <c r="L329" s="3">
        <v>1400</v>
      </c>
      <c r="M329" s="4">
        <f t="shared" si="30"/>
        <v>0.96962616822429903</v>
      </c>
      <c r="N329" s="5">
        <f t="shared" si="31"/>
        <v>2.1588785046728969</v>
      </c>
      <c r="O329" s="3">
        <f t="shared" si="32"/>
        <v>13</v>
      </c>
      <c r="P329" s="3" t="str">
        <f t="shared" si="33"/>
        <v>Healthy</v>
      </c>
      <c r="Q329" s="3" t="str">
        <f t="shared" si="34"/>
        <v>Short Supply</v>
      </c>
      <c r="R329" s="6">
        <f t="shared" si="35"/>
        <v>107800</v>
      </c>
    </row>
    <row r="330" spans="1:18" x14ac:dyDescent="0.25">
      <c r="A330" s="2">
        <v>45839</v>
      </c>
      <c r="B330" s="3" t="s">
        <v>43</v>
      </c>
      <c r="C330" s="3" t="s">
        <v>44</v>
      </c>
      <c r="D330" s="3" t="s">
        <v>32</v>
      </c>
      <c r="E330" s="3" t="s">
        <v>27</v>
      </c>
      <c r="F330" s="3">
        <v>319</v>
      </c>
      <c r="G330" s="3">
        <v>307</v>
      </c>
      <c r="H330" s="3">
        <v>282</v>
      </c>
      <c r="I330" s="3">
        <v>341</v>
      </c>
      <c r="J330" s="3">
        <v>118</v>
      </c>
      <c r="K330" s="3">
        <v>81</v>
      </c>
      <c r="L330" s="3">
        <v>1400</v>
      </c>
      <c r="M330" s="4">
        <f t="shared" si="30"/>
        <v>0.88401253918495293</v>
      </c>
      <c r="N330" s="5">
        <f t="shared" si="31"/>
        <v>3.0470219435736676</v>
      </c>
      <c r="O330" s="3">
        <f t="shared" si="32"/>
        <v>37</v>
      </c>
      <c r="P330" s="3" t="str">
        <f t="shared" si="33"/>
        <v>Healthy</v>
      </c>
      <c r="Q330" s="3" t="str">
        <f t="shared" si="34"/>
        <v>Short Supply</v>
      </c>
      <c r="R330" s="6">
        <f t="shared" si="35"/>
        <v>113400</v>
      </c>
    </row>
    <row r="331" spans="1:18" x14ac:dyDescent="0.25">
      <c r="A331" s="2">
        <v>45839</v>
      </c>
      <c r="B331" s="3" t="s">
        <v>43</v>
      </c>
      <c r="C331" s="3" t="s">
        <v>44</v>
      </c>
      <c r="D331" s="3" t="s">
        <v>33</v>
      </c>
      <c r="E331" s="3" t="s">
        <v>31</v>
      </c>
      <c r="F331" s="3">
        <v>330</v>
      </c>
      <c r="G331" s="3">
        <v>342</v>
      </c>
      <c r="H331" s="3">
        <v>330</v>
      </c>
      <c r="I331" s="3">
        <v>353</v>
      </c>
      <c r="J331" s="3">
        <v>131</v>
      </c>
      <c r="K331" s="3">
        <v>131</v>
      </c>
      <c r="L331" s="3">
        <v>1400</v>
      </c>
      <c r="M331" s="4">
        <f t="shared" si="30"/>
        <v>1</v>
      </c>
      <c r="N331" s="5">
        <f t="shared" si="31"/>
        <v>4.7636363636363637</v>
      </c>
      <c r="O331" s="3">
        <f t="shared" si="32"/>
        <v>0</v>
      </c>
      <c r="P331" s="3" t="str">
        <f t="shared" si="33"/>
        <v>Healthy</v>
      </c>
      <c r="Q331" s="3" t="str">
        <f t="shared" si="34"/>
        <v>On Track</v>
      </c>
      <c r="R331" s="6">
        <f t="shared" si="35"/>
        <v>183400</v>
      </c>
    </row>
    <row r="332" spans="1:18" x14ac:dyDescent="0.25">
      <c r="A332" s="2">
        <v>45839</v>
      </c>
      <c r="B332" s="3" t="s">
        <v>45</v>
      </c>
      <c r="C332" s="3" t="s">
        <v>46</v>
      </c>
      <c r="D332" s="3" t="s">
        <v>26</v>
      </c>
      <c r="E332" s="3" t="s">
        <v>27</v>
      </c>
      <c r="F332" s="3">
        <v>492</v>
      </c>
      <c r="G332" s="3">
        <v>444</v>
      </c>
      <c r="H332" s="3">
        <v>392</v>
      </c>
      <c r="I332" s="3">
        <v>499</v>
      </c>
      <c r="J332" s="3">
        <v>116</v>
      </c>
      <c r="K332" s="3">
        <v>16</v>
      </c>
      <c r="L332" s="3">
        <v>1500</v>
      </c>
      <c r="M332" s="4">
        <f t="shared" si="30"/>
        <v>0.7967479674796748</v>
      </c>
      <c r="N332" s="5">
        <f t="shared" si="31"/>
        <v>0.3902439024390244</v>
      </c>
      <c r="O332" s="3">
        <f t="shared" si="32"/>
        <v>100</v>
      </c>
      <c r="P332" s="3" t="str">
        <f t="shared" si="33"/>
        <v>Low</v>
      </c>
      <c r="Q332" s="3" t="str">
        <f t="shared" si="34"/>
        <v>Short Supply</v>
      </c>
      <c r="R332" s="6">
        <f t="shared" si="35"/>
        <v>24000</v>
      </c>
    </row>
    <row r="333" spans="1:18" x14ac:dyDescent="0.25">
      <c r="A333" s="2">
        <v>45839</v>
      </c>
      <c r="B333" s="3" t="s">
        <v>45</v>
      </c>
      <c r="C333" s="3" t="s">
        <v>46</v>
      </c>
      <c r="D333" s="3" t="s">
        <v>28</v>
      </c>
      <c r="E333" s="3" t="s">
        <v>27</v>
      </c>
      <c r="F333" s="3">
        <v>387</v>
      </c>
      <c r="G333" s="3">
        <v>344</v>
      </c>
      <c r="H333" s="3">
        <v>323</v>
      </c>
      <c r="I333" s="3">
        <v>389</v>
      </c>
      <c r="J333" s="3">
        <v>120</v>
      </c>
      <c r="K333" s="3">
        <v>56</v>
      </c>
      <c r="L333" s="3">
        <v>1500</v>
      </c>
      <c r="M333" s="4">
        <f t="shared" si="30"/>
        <v>0.83462532299741599</v>
      </c>
      <c r="N333" s="5">
        <f t="shared" si="31"/>
        <v>1.7364341085271318</v>
      </c>
      <c r="O333" s="3">
        <f t="shared" si="32"/>
        <v>64</v>
      </c>
      <c r="P333" s="3" t="str">
        <f t="shared" si="33"/>
        <v>Medium</v>
      </c>
      <c r="Q333" s="3" t="str">
        <f t="shared" si="34"/>
        <v>Short Supply</v>
      </c>
      <c r="R333" s="6">
        <f t="shared" si="35"/>
        <v>84000</v>
      </c>
    </row>
    <row r="334" spans="1:18" x14ac:dyDescent="0.25">
      <c r="A334" s="2">
        <v>45839</v>
      </c>
      <c r="B334" s="3" t="s">
        <v>45</v>
      </c>
      <c r="C334" s="3" t="s">
        <v>46</v>
      </c>
      <c r="D334" s="3" t="s">
        <v>30</v>
      </c>
      <c r="E334" s="3" t="s">
        <v>29</v>
      </c>
      <c r="F334" s="3">
        <v>278</v>
      </c>
      <c r="G334" s="3">
        <v>310</v>
      </c>
      <c r="H334" s="3">
        <v>282</v>
      </c>
      <c r="I334" s="3">
        <v>296</v>
      </c>
      <c r="J334" s="3">
        <v>106</v>
      </c>
      <c r="K334" s="3">
        <v>110</v>
      </c>
      <c r="L334" s="3">
        <v>1500</v>
      </c>
      <c r="M334" s="4">
        <f t="shared" si="30"/>
        <v>1.014388489208633</v>
      </c>
      <c r="N334" s="5">
        <f t="shared" si="31"/>
        <v>4.7482014388489207</v>
      </c>
      <c r="O334" s="3">
        <f t="shared" si="32"/>
        <v>-4</v>
      </c>
      <c r="P334" s="3" t="str">
        <f t="shared" si="33"/>
        <v>Healthy</v>
      </c>
      <c r="Q334" s="3" t="str">
        <f t="shared" si="34"/>
        <v>On Track</v>
      </c>
      <c r="R334" s="6">
        <f t="shared" si="35"/>
        <v>165000</v>
      </c>
    </row>
    <row r="335" spans="1:18" x14ac:dyDescent="0.25">
      <c r="A335" s="2">
        <v>45839</v>
      </c>
      <c r="B335" s="3" t="s">
        <v>45</v>
      </c>
      <c r="C335" s="3" t="s">
        <v>46</v>
      </c>
      <c r="D335" s="3" t="s">
        <v>32</v>
      </c>
      <c r="E335" s="3" t="s">
        <v>29</v>
      </c>
      <c r="F335" s="3">
        <v>265</v>
      </c>
      <c r="G335" s="3">
        <v>288</v>
      </c>
      <c r="H335" s="3">
        <v>293</v>
      </c>
      <c r="I335" s="3">
        <v>265</v>
      </c>
      <c r="J335" s="3">
        <v>93</v>
      </c>
      <c r="K335" s="3">
        <v>121</v>
      </c>
      <c r="L335" s="3">
        <v>1500</v>
      </c>
      <c r="M335" s="4">
        <f t="shared" si="30"/>
        <v>1.1056603773584905</v>
      </c>
      <c r="N335" s="5">
        <f t="shared" si="31"/>
        <v>5.4792452830188676</v>
      </c>
      <c r="O335" s="3">
        <f t="shared" si="32"/>
        <v>-28</v>
      </c>
      <c r="P335" s="3" t="str">
        <f t="shared" si="33"/>
        <v>Healthy</v>
      </c>
      <c r="Q335" s="3" t="str">
        <f t="shared" si="34"/>
        <v>On Track</v>
      </c>
      <c r="R335" s="6">
        <f t="shared" si="35"/>
        <v>181500</v>
      </c>
    </row>
    <row r="336" spans="1:18" x14ac:dyDescent="0.25">
      <c r="A336" s="2">
        <v>45839</v>
      </c>
      <c r="B336" s="3" t="s">
        <v>45</v>
      </c>
      <c r="C336" s="3" t="s">
        <v>46</v>
      </c>
      <c r="D336" s="3" t="s">
        <v>33</v>
      </c>
      <c r="E336" s="3" t="s">
        <v>34</v>
      </c>
      <c r="F336" s="3">
        <v>277</v>
      </c>
      <c r="G336" s="3">
        <v>306</v>
      </c>
      <c r="H336" s="3">
        <v>306</v>
      </c>
      <c r="I336" s="3">
        <v>295</v>
      </c>
      <c r="J336" s="3">
        <v>110</v>
      </c>
      <c r="K336" s="3">
        <v>139</v>
      </c>
      <c r="L336" s="3">
        <v>1500</v>
      </c>
      <c r="M336" s="4">
        <f t="shared" si="30"/>
        <v>1.1046931407942238</v>
      </c>
      <c r="N336" s="5">
        <f t="shared" si="31"/>
        <v>6.0216606498194949</v>
      </c>
      <c r="O336" s="3">
        <f t="shared" si="32"/>
        <v>-29</v>
      </c>
      <c r="P336" s="3" t="str">
        <f t="shared" si="33"/>
        <v>Healthy</v>
      </c>
      <c r="Q336" s="3" t="str">
        <f t="shared" si="34"/>
        <v>On Track</v>
      </c>
      <c r="R336" s="6">
        <f t="shared" si="35"/>
        <v>208500</v>
      </c>
    </row>
    <row r="337" spans="1:18" x14ac:dyDescent="0.25">
      <c r="A337" s="2">
        <v>45839</v>
      </c>
      <c r="B337" s="3" t="s">
        <v>47</v>
      </c>
      <c r="C337" s="3" t="s">
        <v>48</v>
      </c>
      <c r="D337" s="3" t="s">
        <v>26</v>
      </c>
      <c r="E337" s="3" t="s">
        <v>29</v>
      </c>
      <c r="F337" s="3">
        <v>576</v>
      </c>
      <c r="G337" s="3">
        <v>513</v>
      </c>
      <c r="H337" s="3">
        <v>476</v>
      </c>
      <c r="I337" s="3">
        <v>589</v>
      </c>
      <c r="J337" s="3">
        <v>90</v>
      </c>
      <c r="K337" s="3">
        <v>0</v>
      </c>
      <c r="L337" s="3">
        <v>1250</v>
      </c>
      <c r="M337" s="4">
        <f t="shared" si="30"/>
        <v>0.82638888888888884</v>
      </c>
      <c r="N337" s="5">
        <f t="shared" si="31"/>
        <v>0</v>
      </c>
      <c r="O337" s="3">
        <f t="shared" si="32"/>
        <v>100</v>
      </c>
      <c r="P337" s="3" t="str">
        <f t="shared" si="33"/>
        <v>Low</v>
      </c>
      <c r="Q337" s="3" t="str">
        <f t="shared" si="34"/>
        <v>Short Supply</v>
      </c>
      <c r="R337" s="6">
        <f t="shared" si="35"/>
        <v>0</v>
      </c>
    </row>
    <row r="338" spans="1:18" x14ac:dyDescent="0.25">
      <c r="A338" s="2">
        <v>45839</v>
      </c>
      <c r="B338" s="3" t="s">
        <v>47</v>
      </c>
      <c r="C338" s="3" t="s">
        <v>48</v>
      </c>
      <c r="D338" s="3" t="s">
        <v>28</v>
      </c>
      <c r="E338" s="3" t="s">
        <v>31</v>
      </c>
      <c r="F338" s="3">
        <v>466</v>
      </c>
      <c r="G338" s="3">
        <v>455</v>
      </c>
      <c r="H338" s="3">
        <v>419</v>
      </c>
      <c r="I338" s="3">
        <v>442</v>
      </c>
      <c r="J338" s="3">
        <v>103</v>
      </c>
      <c r="K338" s="3">
        <v>56</v>
      </c>
      <c r="L338" s="3">
        <v>1250</v>
      </c>
      <c r="M338" s="4">
        <f t="shared" si="30"/>
        <v>0.89914163090128751</v>
      </c>
      <c r="N338" s="5">
        <f t="shared" si="31"/>
        <v>1.4420600858369099</v>
      </c>
      <c r="O338" s="3">
        <f t="shared" si="32"/>
        <v>47</v>
      </c>
      <c r="P338" s="3" t="str">
        <f t="shared" si="33"/>
        <v>Medium</v>
      </c>
      <c r="Q338" s="3" t="str">
        <f t="shared" si="34"/>
        <v>Short Supply</v>
      </c>
      <c r="R338" s="6">
        <f t="shared" si="35"/>
        <v>70000</v>
      </c>
    </row>
    <row r="339" spans="1:18" x14ac:dyDescent="0.25">
      <c r="A339" s="2">
        <v>45839</v>
      </c>
      <c r="B339" s="3" t="s">
        <v>47</v>
      </c>
      <c r="C339" s="3" t="s">
        <v>48</v>
      </c>
      <c r="D339" s="3" t="s">
        <v>30</v>
      </c>
      <c r="E339" s="3" t="s">
        <v>34</v>
      </c>
      <c r="F339" s="3">
        <v>361</v>
      </c>
      <c r="G339" s="3">
        <v>343</v>
      </c>
      <c r="H339" s="3">
        <v>335</v>
      </c>
      <c r="I339" s="3">
        <v>378</v>
      </c>
      <c r="J339" s="3">
        <v>133</v>
      </c>
      <c r="K339" s="3">
        <v>107</v>
      </c>
      <c r="L339" s="3">
        <v>1250</v>
      </c>
      <c r="M339" s="4">
        <f t="shared" si="30"/>
        <v>0.92797783933518008</v>
      </c>
      <c r="N339" s="5">
        <f t="shared" si="31"/>
        <v>3.5567867036011078</v>
      </c>
      <c r="O339" s="3">
        <f t="shared" si="32"/>
        <v>26</v>
      </c>
      <c r="P339" s="3" t="str">
        <f t="shared" si="33"/>
        <v>Healthy</v>
      </c>
      <c r="Q339" s="3" t="str">
        <f t="shared" si="34"/>
        <v>Short Supply</v>
      </c>
      <c r="R339" s="6">
        <f t="shared" si="35"/>
        <v>133750</v>
      </c>
    </row>
    <row r="340" spans="1:18" x14ac:dyDescent="0.25">
      <c r="A340" s="2">
        <v>45839</v>
      </c>
      <c r="B340" s="3" t="s">
        <v>47</v>
      </c>
      <c r="C340" s="3" t="s">
        <v>48</v>
      </c>
      <c r="D340" s="3" t="s">
        <v>32</v>
      </c>
      <c r="E340" s="3" t="s">
        <v>27</v>
      </c>
      <c r="F340" s="3">
        <v>344</v>
      </c>
      <c r="G340" s="3">
        <v>348</v>
      </c>
      <c r="H340" s="3">
        <v>312</v>
      </c>
      <c r="I340" s="3">
        <v>329</v>
      </c>
      <c r="J340" s="3">
        <v>76</v>
      </c>
      <c r="K340" s="3">
        <v>44</v>
      </c>
      <c r="L340" s="3">
        <v>1250</v>
      </c>
      <c r="M340" s="4">
        <f t="shared" si="30"/>
        <v>0.90697674418604646</v>
      </c>
      <c r="N340" s="5">
        <f t="shared" si="31"/>
        <v>1.5348837209302326</v>
      </c>
      <c r="O340" s="3">
        <f t="shared" si="32"/>
        <v>32</v>
      </c>
      <c r="P340" s="3" t="str">
        <f t="shared" si="33"/>
        <v>Medium</v>
      </c>
      <c r="Q340" s="3" t="str">
        <f t="shared" si="34"/>
        <v>Short Supply</v>
      </c>
      <c r="R340" s="6">
        <f t="shared" si="35"/>
        <v>55000</v>
      </c>
    </row>
    <row r="341" spans="1:18" x14ac:dyDescent="0.25">
      <c r="A341" s="2">
        <v>45839</v>
      </c>
      <c r="B341" s="3" t="s">
        <v>47</v>
      </c>
      <c r="C341" s="3" t="s">
        <v>48</v>
      </c>
      <c r="D341" s="3" t="s">
        <v>33</v>
      </c>
      <c r="E341" s="3" t="s">
        <v>29</v>
      </c>
      <c r="F341" s="3">
        <v>378</v>
      </c>
      <c r="G341" s="3">
        <v>409</v>
      </c>
      <c r="H341" s="3">
        <v>365</v>
      </c>
      <c r="I341" s="3">
        <v>391</v>
      </c>
      <c r="J341" s="3">
        <v>75</v>
      </c>
      <c r="K341" s="3">
        <v>62</v>
      </c>
      <c r="L341" s="3">
        <v>1250</v>
      </c>
      <c r="M341" s="4">
        <f t="shared" si="30"/>
        <v>0.96560846560846558</v>
      </c>
      <c r="N341" s="5">
        <f t="shared" si="31"/>
        <v>1.9682539682539681</v>
      </c>
      <c r="O341" s="3">
        <f t="shared" si="32"/>
        <v>13</v>
      </c>
      <c r="P341" s="3" t="str">
        <f t="shared" si="33"/>
        <v>Medium</v>
      </c>
      <c r="Q341" s="3" t="str">
        <f t="shared" si="34"/>
        <v>Short Supply</v>
      </c>
      <c r="R341" s="6">
        <f t="shared" si="35"/>
        <v>77500</v>
      </c>
    </row>
    <row r="342" spans="1:18" x14ac:dyDescent="0.25">
      <c r="A342" s="2">
        <v>45839</v>
      </c>
      <c r="B342" s="3" t="s">
        <v>49</v>
      </c>
      <c r="C342" s="3" t="s">
        <v>50</v>
      </c>
      <c r="D342" s="3" t="s">
        <v>26</v>
      </c>
      <c r="E342" s="3" t="s">
        <v>31</v>
      </c>
      <c r="F342" s="3">
        <v>780</v>
      </c>
      <c r="G342" s="3">
        <v>799</v>
      </c>
      <c r="H342" s="3">
        <v>707</v>
      </c>
      <c r="I342" s="3">
        <v>726</v>
      </c>
      <c r="J342" s="3">
        <v>124</v>
      </c>
      <c r="K342" s="3">
        <v>51</v>
      </c>
      <c r="L342" s="3">
        <v>1750</v>
      </c>
      <c r="M342" s="4">
        <f t="shared" si="30"/>
        <v>0.90641025641025641</v>
      </c>
      <c r="N342" s="5">
        <f t="shared" si="31"/>
        <v>0.78461538461538471</v>
      </c>
      <c r="O342" s="3">
        <f t="shared" si="32"/>
        <v>73</v>
      </c>
      <c r="P342" s="3" t="str">
        <f t="shared" si="33"/>
        <v>Low</v>
      </c>
      <c r="Q342" s="3" t="str">
        <f t="shared" si="34"/>
        <v>Short Supply</v>
      </c>
      <c r="R342" s="6">
        <f t="shared" si="35"/>
        <v>89250</v>
      </c>
    </row>
    <row r="343" spans="1:18" x14ac:dyDescent="0.25">
      <c r="A343" s="2">
        <v>45839</v>
      </c>
      <c r="B343" s="3" t="s">
        <v>49</v>
      </c>
      <c r="C343" s="3" t="s">
        <v>50</v>
      </c>
      <c r="D343" s="3" t="s">
        <v>28</v>
      </c>
      <c r="E343" s="3" t="s">
        <v>31</v>
      </c>
      <c r="F343" s="3">
        <v>626</v>
      </c>
      <c r="G343" s="3">
        <v>681</v>
      </c>
      <c r="H343" s="3">
        <v>631</v>
      </c>
      <c r="I343" s="3">
        <v>671</v>
      </c>
      <c r="J343" s="3">
        <v>61</v>
      </c>
      <c r="K343" s="3">
        <v>66</v>
      </c>
      <c r="L343" s="3">
        <v>1750</v>
      </c>
      <c r="M343" s="4">
        <f t="shared" si="30"/>
        <v>1.0079872204472844</v>
      </c>
      <c r="N343" s="5">
        <f t="shared" si="31"/>
        <v>1.2651757188498403</v>
      </c>
      <c r="O343" s="3">
        <f t="shared" si="32"/>
        <v>-5</v>
      </c>
      <c r="P343" s="3" t="str">
        <f t="shared" si="33"/>
        <v>Medium</v>
      </c>
      <c r="Q343" s="3" t="str">
        <f t="shared" si="34"/>
        <v>On Track</v>
      </c>
      <c r="R343" s="6">
        <f t="shared" si="35"/>
        <v>115500</v>
      </c>
    </row>
    <row r="344" spans="1:18" x14ac:dyDescent="0.25">
      <c r="A344" s="2">
        <v>45839</v>
      </c>
      <c r="B344" s="3" t="s">
        <v>49</v>
      </c>
      <c r="C344" s="3" t="s">
        <v>50</v>
      </c>
      <c r="D344" s="3" t="s">
        <v>30</v>
      </c>
      <c r="E344" s="3" t="s">
        <v>31</v>
      </c>
      <c r="F344" s="3">
        <v>532</v>
      </c>
      <c r="G344" s="3">
        <v>483</v>
      </c>
      <c r="H344" s="3">
        <v>492</v>
      </c>
      <c r="I344" s="3">
        <v>530</v>
      </c>
      <c r="J344" s="3">
        <v>79</v>
      </c>
      <c r="K344" s="3">
        <v>39</v>
      </c>
      <c r="L344" s="3">
        <v>1750</v>
      </c>
      <c r="M344" s="4">
        <f t="shared" si="30"/>
        <v>0.92481203007518797</v>
      </c>
      <c r="N344" s="5">
        <f t="shared" si="31"/>
        <v>0.87969924812030076</v>
      </c>
      <c r="O344" s="3">
        <f t="shared" si="32"/>
        <v>40</v>
      </c>
      <c r="P344" s="3" t="str">
        <f t="shared" si="33"/>
        <v>Low</v>
      </c>
      <c r="Q344" s="3" t="str">
        <f t="shared" si="34"/>
        <v>Short Supply</v>
      </c>
      <c r="R344" s="6">
        <f t="shared" si="35"/>
        <v>68250</v>
      </c>
    </row>
    <row r="345" spans="1:18" x14ac:dyDescent="0.25">
      <c r="A345" s="2">
        <v>45839</v>
      </c>
      <c r="B345" s="3" t="s">
        <v>49</v>
      </c>
      <c r="C345" s="3" t="s">
        <v>50</v>
      </c>
      <c r="D345" s="3" t="s">
        <v>32</v>
      </c>
      <c r="E345" s="3" t="s">
        <v>29</v>
      </c>
      <c r="F345" s="3">
        <v>418</v>
      </c>
      <c r="G345" s="3">
        <v>391</v>
      </c>
      <c r="H345" s="3">
        <v>361</v>
      </c>
      <c r="I345" s="3">
        <v>403</v>
      </c>
      <c r="J345" s="3">
        <v>97</v>
      </c>
      <c r="K345" s="3">
        <v>40</v>
      </c>
      <c r="L345" s="3">
        <v>1750</v>
      </c>
      <c r="M345" s="4">
        <f t="shared" si="30"/>
        <v>0.86363636363636365</v>
      </c>
      <c r="N345" s="5">
        <f t="shared" si="31"/>
        <v>1.1483253588516746</v>
      </c>
      <c r="O345" s="3">
        <f t="shared" si="32"/>
        <v>57</v>
      </c>
      <c r="P345" s="3" t="str">
        <f t="shared" si="33"/>
        <v>Medium</v>
      </c>
      <c r="Q345" s="3" t="str">
        <f t="shared" si="34"/>
        <v>Short Supply</v>
      </c>
      <c r="R345" s="6">
        <f t="shared" si="35"/>
        <v>70000</v>
      </c>
    </row>
    <row r="346" spans="1:18" x14ac:dyDescent="0.25">
      <c r="A346" s="2">
        <v>45839</v>
      </c>
      <c r="B346" s="3" t="s">
        <v>49</v>
      </c>
      <c r="C346" s="3" t="s">
        <v>50</v>
      </c>
      <c r="D346" s="3" t="s">
        <v>33</v>
      </c>
      <c r="E346" s="3" t="s">
        <v>34</v>
      </c>
      <c r="F346" s="3">
        <v>452</v>
      </c>
      <c r="G346" s="3">
        <v>436</v>
      </c>
      <c r="H346" s="3">
        <v>437</v>
      </c>
      <c r="I346" s="3">
        <v>449</v>
      </c>
      <c r="J346" s="3">
        <v>124</v>
      </c>
      <c r="K346" s="3">
        <v>109</v>
      </c>
      <c r="L346" s="3">
        <v>1750</v>
      </c>
      <c r="M346" s="4">
        <f t="shared" si="30"/>
        <v>0.9668141592920354</v>
      </c>
      <c r="N346" s="5">
        <f t="shared" si="31"/>
        <v>2.8938053097345131</v>
      </c>
      <c r="O346" s="3">
        <f t="shared" si="32"/>
        <v>15</v>
      </c>
      <c r="P346" s="3" t="str">
        <f t="shared" si="33"/>
        <v>Healthy</v>
      </c>
      <c r="Q346" s="3" t="str">
        <f t="shared" si="34"/>
        <v>Short Supply</v>
      </c>
      <c r="R346" s="6">
        <f t="shared" si="35"/>
        <v>190750</v>
      </c>
    </row>
    <row r="347" spans="1:18" x14ac:dyDescent="0.25">
      <c r="A347" s="2">
        <v>45839</v>
      </c>
      <c r="B347" s="3" t="s">
        <v>51</v>
      </c>
      <c r="C347" s="3" t="s">
        <v>36</v>
      </c>
      <c r="D347" s="3" t="s">
        <v>26</v>
      </c>
      <c r="E347" s="3" t="s">
        <v>31</v>
      </c>
      <c r="F347" s="3">
        <v>669</v>
      </c>
      <c r="G347" s="3">
        <v>640</v>
      </c>
      <c r="H347" s="3">
        <v>581</v>
      </c>
      <c r="I347" s="3">
        <v>648</v>
      </c>
      <c r="J347" s="3">
        <v>63</v>
      </c>
      <c r="K347" s="3">
        <v>0</v>
      </c>
      <c r="L347" s="3">
        <v>1450</v>
      </c>
      <c r="M347" s="4">
        <f t="shared" si="30"/>
        <v>0.86846038863976083</v>
      </c>
      <c r="N347" s="5">
        <f t="shared" si="31"/>
        <v>0</v>
      </c>
      <c r="O347" s="3">
        <f t="shared" si="32"/>
        <v>88</v>
      </c>
      <c r="P347" s="3" t="str">
        <f t="shared" si="33"/>
        <v>Low</v>
      </c>
      <c r="Q347" s="3" t="str">
        <f t="shared" si="34"/>
        <v>Short Supply</v>
      </c>
      <c r="R347" s="6">
        <f t="shared" si="35"/>
        <v>0</v>
      </c>
    </row>
    <row r="348" spans="1:18" x14ac:dyDescent="0.25">
      <c r="A348" s="2">
        <v>45839</v>
      </c>
      <c r="B348" s="3" t="s">
        <v>51</v>
      </c>
      <c r="C348" s="3" t="s">
        <v>36</v>
      </c>
      <c r="D348" s="3" t="s">
        <v>28</v>
      </c>
      <c r="E348" s="3" t="s">
        <v>29</v>
      </c>
      <c r="F348" s="3">
        <v>517</v>
      </c>
      <c r="G348" s="3">
        <v>456</v>
      </c>
      <c r="H348" s="3">
        <v>436</v>
      </c>
      <c r="I348" s="3">
        <v>523</v>
      </c>
      <c r="J348" s="3">
        <v>117</v>
      </c>
      <c r="K348" s="3">
        <v>36</v>
      </c>
      <c r="L348" s="3">
        <v>1450</v>
      </c>
      <c r="M348" s="4">
        <f t="shared" si="30"/>
        <v>0.84332688588007731</v>
      </c>
      <c r="N348" s="5">
        <f t="shared" si="31"/>
        <v>0.83558994197292069</v>
      </c>
      <c r="O348" s="3">
        <f t="shared" si="32"/>
        <v>81</v>
      </c>
      <c r="P348" s="3" t="str">
        <f t="shared" si="33"/>
        <v>Low</v>
      </c>
      <c r="Q348" s="3" t="str">
        <f t="shared" si="34"/>
        <v>Short Supply</v>
      </c>
      <c r="R348" s="6">
        <f t="shared" si="35"/>
        <v>52200</v>
      </c>
    </row>
    <row r="349" spans="1:18" x14ac:dyDescent="0.25">
      <c r="A349" s="2">
        <v>45839</v>
      </c>
      <c r="B349" s="3" t="s">
        <v>51</v>
      </c>
      <c r="C349" s="3" t="s">
        <v>36</v>
      </c>
      <c r="D349" s="3" t="s">
        <v>30</v>
      </c>
      <c r="E349" s="3" t="s">
        <v>29</v>
      </c>
      <c r="F349" s="3">
        <v>321</v>
      </c>
      <c r="G349" s="3">
        <v>307</v>
      </c>
      <c r="H349" s="3">
        <v>286</v>
      </c>
      <c r="I349" s="3">
        <v>338</v>
      </c>
      <c r="J349" s="3">
        <v>99</v>
      </c>
      <c r="K349" s="3">
        <v>64</v>
      </c>
      <c r="L349" s="3">
        <v>1450</v>
      </c>
      <c r="M349" s="4">
        <f t="shared" si="30"/>
        <v>0.8909657320872274</v>
      </c>
      <c r="N349" s="5">
        <f t="shared" si="31"/>
        <v>2.3925233644859811</v>
      </c>
      <c r="O349" s="3">
        <f t="shared" si="32"/>
        <v>35</v>
      </c>
      <c r="P349" s="3" t="str">
        <f t="shared" si="33"/>
        <v>Healthy</v>
      </c>
      <c r="Q349" s="3" t="str">
        <f t="shared" si="34"/>
        <v>Short Supply</v>
      </c>
      <c r="R349" s="6">
        <f t="shared" si="35"/>
        <v>92800</v>
      </c>
    </row>
    <row r="350" spans="1:18" x14ac:dyDescent="0.25">
      <c r="A350" s="2">
        <v>45839</v>
      </c>
      <c r="B350" s="3" t="s">
        <v>51</v>
      </c>
      <c r="C350" s="3" t="s">
        <v>36</v>
      </c>
      <c r="D350" s="3" t="s">
        <v>32</v>
      </c>
      <c r="E350" s="3" t="s">
        <v>31</v>
      </c>
      <c r="F350" s="3">
        <v>307</v>
      </c>
      <c r="G350" s="3">
        <v>330</v>
      </c>
      <c r="H350" s="3">
        <v>335</v>
      </c>
      <c r="I350" s="3">
        <v>313</v>
      </c>
      <c r="J350" s="3">
        <v>99</v>
      </c>
      <c r="K350" s="3">
        <v>127</v>
      </c>
      <c r="L350" s="3">
        <v>1450</v>
      </c>
      <c r="M350" s="4">
        <f t="shared" si="30"/>
        <v>1.0912052117263844</v>
      </c>
      <c r="N350" s="5">
        <f t="shared" si="31"/>
        <v>4.9641693811074923</v>
      </c>
      <c r="O350" s="3">
        <f t="shared" si="32"/>
        <v>-28</v>
      </c>
      <c r="P350" s="3" t="str">
        <f t="shared" si="33"/>
        <v>Healthy</v>
      </c>
      <c r="Q350" s="3" t="str">
        <f t="shared" si="34"/>
        <v>On Track</v>
      </c>
      <c r="R350" s="6">
        <f t="shared" si="35"/>
        <v>184150</v>
      </c>
    </row>
    <row r="351" spans="1:18" x14ac:dyDescent="0.25">
      <c r="A351" s="2">
        <v>45839</v>
      </c>
      <c r="B351" s="3" t="s">
        <v>51</v>
      </c>
      <c r="C351" s="3" t="s">
        <v>36</v>
      </c>
      <c r="D351" s="3" t="s">
        <v>33</v>
      </c>
      <c r="E351" s="3" t="s">
        <v>27</v>
      </c>
      <c r="F351" s="3">
        <v>393</v>
      </c>
      <c r="G351" s="3">
        <v>379</v>
      </c>
      <c r="H351" s="3">
        <v>340</v>
      </c>
      <c r="I351" s="3">
        <v>395</v>
      </c>
      <c r="J351" s="3">
        <v>74</v>
      </c>
      <c r="K351" s="3">
        <v>21</v>
      </c>
      <c r="L351" s="3">
        <v>1450</v>
      </c>
      <c r="M351" s="4">
        <f t="shared" si="30"/>
        <v>0.86513994910941472</v>
      </c>
      <c r="N351" s="5">
        <f t="shared" si="31"/>
        <v>0.64122137404580148</v>
      </c>
      <c r="O351" s="3">
        <f t="shared" si="32"/>
        <v>53</v>
      </c>
      <c r="P351" s="3" t="str">
        <f t="shared" si="33"/>
        <v>Low</v>
      </c>
      <c r="Q351" s="3" t="str">
        <f t="shared" si="34"/>
        <v>Short Supply</v>
      </c>
      <c r="R351" s="6">
        <f t="shared" si="35"/>
        <v>30450</v>
      </c>
    </row>
    <row r="352" spans="1:18" x14ac:dyDescent="0.25">
      <c r="A352" s="2">
        <v>45870</v>
      </c>
      <c r="B352" s="3" t="s">
        <v>24</v>
      </c>
      <c r="C352" s="3" t="s">
        <v>25</v>
      </c>
      <c r="D352" s="3" t="s">
        <v>26</v>
      </c>
      <c r="E352" s="3" t="s">
        <v>27</v>
      </c>
      <c r="F352" s="3">
        <v>939</v>
      </c>
      <c r="G352" s="3">
        <v>1015</v>
      </c>
      <c r="H352" s="3">
        <v>903</v>
      </c>
      <c r="I352" s="3">
        <v>986</v>
      </c>
      <c r="J352" s="3">
        <v>63</v>
      </c>
      <c r="K352" s="3">
        <v>27</v>
      </c>
      <c r="L352" s="3">
        <v>1800</v>
      </c>
      <c r="M352" s="4">
        <f t="shared" si="30"/>
        <v>0.96166134185303509</v>
      </c>
      <c r="N352" s="5">
        <f t="shared" si="31"/>
        <v>0.34504792332268369</v>
      </c>
      <c r="O352" s="3">
        <f t="shared" si="32"/>
        <v>36</v>
      </c>
      <c r="P352" s="3" t="str">
        <f t="shared" si="33"/>
        <v>Low</v>
      </c>
      <c r="Q352" s="3" t="str">
        <f t="shared" si="34"/>
        <v>Short Supply</v>
      </c>
      <c r="R352" s="6">
        <f t="shared" si="35"/>
        <v>48600</v>
      </c>
    </row>
    <row r="353" spans="1:18" x14ac:dyDescent="0.25">
      <c r="A353" s="2">
        <v>45870</v>
      </c>
      <c r="B353" s="3" t="s">
        <v>24</v>
      </c>
      <c r="C353" s="3" t="s">
        <v>25</v>
      </c>
      <c r="D353" s="3" t="s">
        <v>28</v>
      </c>
      <c r="E353" s="3" t="s">
        <v>34</v>
      </c>
      <c r="F353" s="3">
        <v>706</v>
      </c>
      <c r="G353" s="3">
        <v>764</v>
      </c>
      <c r="H353" s="3">
        <v>697</v>
      </c>
      <c r="I353" s="3">
        <v>729</v>
      </c>
      <c r="J353" s="3">
        <v>60</v>
      </c>
      <c r="K353" s="3">
        <v>51</v>
      </c>
      <c r="L353" s="3">
        <v>1800</v>
      </c>
      <c r="M353" s="4">
        <f t="shared" si="30"/>
        <v>0.9872521246458924</v>
      </c>
      <c r="N353" s="5">
        <f t="shared" si="31"/>
        <v>0.86685552407932009</v>
      </c>
      <c r="O353" s="3">
        <f t="shared" si="32"/>
        <v>9</v>
      </c>
      <c r="P353" s="3" t="str">
        <f t="shared" si="33"/>
        <v>Low</v>
      </c>
      <c r="Q353" s="3" t="str">
        <f t="shared" si="34"/>
        <v>Short Supply</v>
      </c>
      <c r="R353" s="6">
        <f t="shared" si="35"/>
        <v>91800</v>
      </c>
    </row>
    <row r="354" spans="1:18" x14ac:dyDescent="0.25">
      <c r="A354" s="2">
        <v>45870</v>
      </c>
      <c r="B354" s="3" t="s">
        <v>24</v>
      </c>
      <c r="C354" s="3" t="s">
        <v>25</v>
      </c>
      <c r="D354" s="3" t="s">
        <v>30</v>
      </c>
      <c r="E354" s="3" t="s">
        <v>34</v>
      </c>
      <c r="F354" s="3">
        <v>518</v>
      </c>
      <c r="G354" s="3">
        <v>532</v>
      </c>
      <c r="H354" s="3">
        <v>517</v>
      </c>
      <c r="I354" s="3">
        <v>527</v>
      </c>
      <c r="J354" s="3">
        <v>98</v>
      </c>
      <c r="K354" s="3">
        <v>97</v>
      </c>
      <c r="L354" s="3">
        <v>1800</v>
      </c>
      <c r="M354" s="4">
        <f t="shared" si="30"/>
        <v>0.99806949806949807</v>
      </c>
      <c r="N354" s="5">
        <f t="shared" si="31"/>
        <v>2.2471042471042471</v>
      </c>
      <c r="O354" s="3">
        <f t="shared" si="32"/>
        <v>1</v>
      </c>
      <c r="P354" s="3" t="str">
        <f t="shared" si="33"/>
        <v>Healthy</v>
      </c>
      <c r="Q354" s="3" t="str">
        <f t="shared" si="34"/>
        <v>Short Supply</v>
      </c>
      <c r="R354" s="6">
        <f t="shared" si="35"/>
        <v>174600</v>
      </c>
    </row>
    <row r="355" spans="1:18" x14ac:dyDescent="0.25">
      <c r="A355" s="2">
        <v>45870</v>
      </c>
      <c r="B355" s="3" t="s">
        <v>24</v>
      </c>
      <c r="C355" s="3" t="s">
        <v>25</v>
      </c>
      <c r="D355" s="3" t="s">
        <v>32</v>
      </c>
      <c r="E355" s="3" t="s">
        <v>29</v>
      </c>
      <c r="F355" s="3">
        <v>425</v>
      </c>
      <c r="G355" s="3">
        <v>428</v>
      </c>
      <c r="H355" s="3">
        <v>401</v>
      </c>
      <c r="I355" s="3">
        <v>392</v>
      </c>
      <c r="J355" s="3">
        <v>117</v>
      </c>
      <c r="K355" s="3">
        <v>93</v>
      </c>
      <c r="L355" s="3">
        <v>1800</v>
      </c>
      <c r="M355" s="4">
        <f t="shared" si="30"/>
        <v>0.94352941176470584</v>
      </c>
      <c r="N355" s="5">
        <f t="shared" si="31"/>
        <v>2.6258823529411766</v>
      </c>
      <c r="O355" s="3">
        <f t="shared" si="32"/>
        <v>24</v>
      </c>
      <c r="P355" s="3" t="str">
        <f t="shared" si="33"/>
        <v>Healthy</v>
      </c>
      <c r="Q355" s="3" t="str">
        <f t="shared" si="34"/>
        <v>Short Supply</v>
      </c>
      <c r="R355" s="6">
        <f t="shared" si="35"/>
        <v>167400</v>
      </c>
    </row>
    <row r="356" spans="1:18" x14ac:dyDescent="0.25">
      <c r="A356" s="2">
        <v>45870</v>
      </c>
      <c r="B356" s="3" t="s">
        <v>24</v>
      </c>
      <c r="C356" s="3" t="s">
        <v>25</v>
      </c>
      <c r="D356" s="3" t="s">
        <v>33</v>
      </c>
      <c r="E356" s="3" t="s">
        <v>27</v>
      </c>
      <c r="F356" s="3">
        <v>472</v>
      </c>
      <c r="G356" s="3">
        <v>507</v>
      </c>
      <c r="H356" s="3">
        <v>494</v>
      </c>
      <c r="I356" s="3">
        <v>495</v>
      </c>
      <c r="J356" s="3">
        <v>132</v>
      </c>
      <c r="K356" s="3">
        <v>154</v>
      </c>
      <c r="L356" s="3">
        <v>1800</v>
      </c>
      <c r="M356" s="4">
        <f t="shared" si="30"/>
        <v>1.0466101694915255</v>
      </c>
      <c r="N356" s="5">
        <f t="shared" si="31"/>
        <v>3.9152542372881358</v>
      </c>
      <c r="O356" s="3">
        <f t="shared" si="32"/>
        <v>-22</v>
      </c>
      <c r="P356" s="3" t="str">
        <f t="shared" si="33"/>
        <v>Healthy</v>
      </c>
      <c r="Q356" s="3" t="str">
        <f t="shared" si="34"/>
        <v>On Track</v>
      </c>
      <c r="R356" s="6">
        <f t="shared" si="35"/>
        <v>277200</v>
      </c>
    </row>
    <row r="357" spans="1:18" x14ac:dyDescent="0.25">
      <c r="A357" s="2">
        <v>45870</v>
      </c>
      <c r="B357" s="3" t="s">
        <v>35</v>
      </c>
      <c r="C357" s="3" t="s">
        <v>36</v>
      </c>
      <c r="D357" s="3" t="s">
        <v>26</v>
      </c>
      <c r="E357" s="3" t="s">
        <v>29</v>
      </c>
      <c r="F357" s="3">
        <v>853</v>
      </c>
      <c r="G357" s="3">
        <v>857</v>
      </c>
      <c r="H357" s="3">
        <v>783</v>
      </c>
      <c r="I357" s="3">
        <v>869</v>
      </c>
      <c r="J357" s="3">
        <v>80</v>
      </c>
      <c r="K357" s="3">
        <v>10</v>
      </c>
      <c r="L357" s="3">
        <v>1600</v>
      </c>
      <c r="M357" s="4">
        <f t="shared" si="30"/>
        <v>0.91793669402110201</v>
      </c>
      <c r="N357" s="5">
        <f t="shared" si="31"/>
        <v>0.1406799531066823</v>
      </c>
      <c r="O357" s="3">
        <f t="shared" si="32"/>
        <v>70</v>
      </c>
      <c r="P357" s="3" t="str">
        <f t="shared" si="33"/>
        <v>Low</v>
      </c>
      <c r="Q357" s="3" t="str">
        <f t="shared" si="34"/>
        <v>Short Supply</v>
      </c>
      <c r="R357" s="6">
        <f t="shared" si="35"/>
        <v>16000</v>
      </c>
    </row>
    <row r="358" spans="1:18" x14ac:dyDescent="0.25">
      <c r="A358" s="2">
        <v>45870</v>
      </c>
      <c r="B358" s="3" t="s">
        <v>35</v>
      </c>
      <c r="C358" s="3" t="s">
        <v>36</v>
      </c>
      <c r="D358" s="3" t="s">
        <v>28</v>
      </c>
      <c r="E358" s="3" t="s">
        <v>31</v>
      </c>
      <c r="F358" s="3">
        <v>548</v>
      </c>
      <c r="G358" s="3">
        <v>534</v>
      </c>
      <c r="H358" s="3">
        <v>497</v>
      </c>
      <c r="I358" s="3">
        <v>539</v>
      </c>
      <c r="J358" s="3">
        <v>105</v>
      </c>
      <c r="K358" s="3">
        <v>54</v>
      </c>
      <c r="L358" s="3">
        <v>1600</v>
      </c>
      <c r="M358" s="4">
        <f t="shared" si="30"/>
        <v>0.90693430656934304</v>
      </c>
      <c r="N358" s="5">
        <f t="shared" si="31"/>
        <v>1.1824817518248176</v>
      </c>
      <c r="O358" s="3">
        <f t="shared" si="32"/>
        <v>51</v>
      </c>
      <c r="P358" s="3" t="str">
        <f t="shared" si="33"/>
        <v>Medium</v>
      </c>
      <c r="Q358" s="3" t="str">
        <f t="shared" si="34"/>
        <v>Short Supply</v>
      </c>
      <c r="R358" s="6">
        <f t="shared" si="35"/>
        <v>86400</v>
      </c>
    </row>
    <row r="359" spans="1:18" x14ac:dyDescent="0.25">
      <c r="A359" s="2">
        <v>45870</v>
      </c>
      <c r="B359" s="3" t="s">
        <v>35</v>
      </c>
      <c r="C359" s="3" t="s">
        <v>36</v>
      </c>
      <c r="D359" s="3" t="s">
        <v>30</v>
      </c>
      <c r="E359" s="3" t="s">
        <v>27</v>
      </c>
      <c r="F359" s="3">
        <v>411</v>
      </c>
      <c r="G359" s="3">
        <v>443</v>
      </c>
      <c r="H359" s="3">
        <v>394</v>
      </c>
      <c r="I359" s="3">
        <v>443</v>
      </c>
      <c r="J359" s="3">
        <v>111</v>
      </c>
      <c r="K359" s="3">
        <v>94</v>
      </c>
      <c r="L359" s="3">
        <v>1600</v>
      </c>
      <c r="M359" s="4">
        <f t="shared" si="30"/>
        <v>0.95863746958637475</v>
      </c>
      <c r="N359" s="5">
        <f t="shared" si="31"/>
        <v>2.7445255474452557</v>
      </c>
      <c r="O359" s="3">
        <f t="shared" si="32"/>
        <v>17</v>
      </c>
      <c r="P359" s="3" t="str">
        <f t="shared" si="33"/>
        <v>Healthy</v>
      </c>
      <c r="Q359" s="3" t="str">
        <f t="shared" si="34"/>
        <v>Short Supply</v>
      </c>
      <c r="R359" s="6">
        <f t="shared" si="35"/>
        <v>150400</v>
      </c>
    </row>
    <row r="360" spans="1:18" x14ac:dyDescent="0.25">
      <c r="A360" s="2">
        <v>45870</v>
      </c>
      <c r="B360" s="3" t="s">
        <v>35</v>
      </c>
      <c r="C360" s="3" t="s">
        <v>36</v>
      </c>
      <c r="D360" s="3" t="s">
        <v>32</v>
      </c>
      <c r="E360" s="3" t="s">
        <v>31</v>
      </c>
      <c r="F360" s="3">
        <v>355</v>
      </c>
      <c r="G360" s="3">
        <v>344</v>
      </c>
      <c r="H360" s="3">
        <v>329</v>
      </c>
      <c r="I360" s="3">
        <v>329</v>
      </c>
      <c r="J360" s="3">
        <v>60</v>
      </c>
      <c r="K360" s="3">
        <v>34</v>
      </c>
      <c r="L360" s="3">
        <v>1600</v>
      </c>
      <c r="M360" s="4">
        <f t="shared" si="30"/>
        <v>0.92676056338028168</v>
      </c>
      <c r="N360" s="5">
        <f t="shared" si="31"/>
        <v>1.1492957746478873</v>
      </c>
      <c r="O360" s="3">
        <f t="shared" si="32"/>
        <v>26</v>
      </c>
      <c r="P360" s="3" t="str">
        <f t="shared" si="33"/>
        <v>Medium</v>
      </c>
      <c r="Q360" s="3" t="str">
        <f t="shared" si="34"/>
        <v>Short Supply</v>
      </c>
      <c r="R360" s="6">
        <f t="shared" si="35"/>
        <v>54400</v>
      </c>
    </row>
    <row r="361" spans="1:18" x14ac:dyDescent="0.25">
      <c r="A361" s="2">
        <v>45870</v>
      </c>
      <c r="B361" s="3" t="s">
        <v>35</v>
      </c>
      <c r="C361" s="3" t="s">
        <v>36</v>
      </c>
      <c r="D361" s="3" t="s">
        <v>33</v>
      </c>
      <c r="E361" s="3" t="s">
        <v>27</v>
      </c>
      <c r="F361" s="3">
        <v>393</v>
      </c>
      <c r="G361" s="3">
        <v>425</v>
      </c>
      <c r="H361" s="3">
        <v>412</v>
      </c>
      <c r="I361" s="3">
        <v>382</v>
      </c>
      <c r="J361" s="3">
        <v>138</v>
      </c>
      <c r="K361" s="3">
        <v>157</v>
      </c>
      <c r="L361" s="3">
        <v>1600</v>
      </c>
      <c r="M361" s="4">
        <f t="shared" si="30"/>
        <v>1.0483460559796438</v>
      </c>
      <c r="N361" s="5">
        <f t="shared" si="31"/>
        <v>4.7938931297709928</v>
      </c>
      <c r="O361" s="3">
        <f t="shared" si="32"/>
        <v>-19</v>
      </c>
      <c r="P361" s="3" t="str">
        <f t="shared" si="33"/>
        <v>Healthy</v>
      </c>
      <c r="Q361" s="3" t="str">
        <f t="shared" si="34"/>
        <v>On Track</v>
      </c>
      <c r="R361" s="6">
        <f t="shared" si="35"/>
        <v>251200</v>
      </c>
    </row>
    <row r="362" spans="1:18" x14ac:dyDescent="0.25">
      <c r="A362" s="2">
        <v>45870</v>
      </c>
      <c r="B362" s="3" t="s">
        <v>37</v>
      </c>
      <c r="C362" s="3" t="s">
        <v>38</v>
      </c>
      <c r="D362" s="3" t="s">
        <v>26</v>
      </c>
      <c r="E362" s="3" t="s">
        <v>34</v>
      </c>
      <c r="F362" s="3">
        <v>717</v>
      </c>
      <c r="G362" s="3">
        <v>789</v>
      </c>
      <c r="H362" s="3">
        <v>719</v>
      </c>
      <c r="I362" s="3">
        <v>763</v>
      </c>
      <c r="J362" s="3">
        <v>115</v>
      </c>
      <c r="K362" s="3">
        <v>117</v>
      </c>
      <c r="L362" s="3">
        <v>1300</v>
      </c>
      <c r="M362" s="4">
        <f t="shared" si="30"/>
        <v>1.0027894002789399</v>
      </c>
      <c r="N362" s="5">
        <f t="shared" si="31"/>
        <v>1.9581589958158996</v>
      </c>
      <c r="O362" s="3">
        <f t="shared" si="32"/>
        <v>-2</v>
      </c>
      <c r="P362" s="3" t="str">
        <f t="shared" si="33"/>
        <v>Medium</v>
      </c>
      <c r="Q362" s="3" t="str">
        <f t="shared" si="34"/>
        <v>On Track</v>
      </c>
      <c r="R362" s="6">
        <f t="shared" si="35"/>
        <v>152100</v>
      </c>
    </row>
    <row r="363" spans="1:18" x14ac:dyDescent="0.25">
      <c r="A363" s="2">
        <v>45870</v>
      </c>
      <c r="B363" s="3" t="s">
        <v>37</v>
      </c>
      <c r="C363" s="3" t="s">
        <v>38</v>
      </c>
      <c r="D363" s="3" t="s">
        <v>28</v>
      </c>
      <c r="E363" s="3" t="s">
        <v>27</v>
      </c>
      <c r="F363" s="3">
        <v>464</v>
      </c>
      <c r="G363" s="3">
        <v>511</v>
      </c>
      <c r="H363" s="3">
        <v>498</v>
      </c>
      <c r="I363" s="3">
        <v>447</v>
      </c>
      <c r="J363" s="3">
        <v>103</v>
      </c>
      <c r="K363" s="3">
        <v>137</v>
      </c>
      <c r="L363" s="3">
        <v>1300</v>
      </c>
      <c r="M363" s="4">
        <f t="shared" si="30"/>
        <v>1.0732758620689655</v>
      </c>
      <c r="N363" s="5">
        <f t="shared" si="31"/>
        <v>3.5431034482758621</v>
      </c>
      <c r="O363" s="3">
        <f t="shared" si="32"/>
        <v>-34</v>
      </c>
      <c r="P363" s="3" t="str">
        <f t="shared" si="33"/>
        <v>Healthy</v>
      </c>
      <c r="Q363" s="3" t="str">
        <f t="shared" si="34"/>
        <v>On Track</v>
      </c>
      <c r="R363" s="6">
        <f t="shared" si="35"/>
        <v>178100</v>
      </c>
    </row>
    <row r="364" spans="1:18" x14ac:dyDescent="0.25">
      <c r="A364" s="2">
        <v>45870</v>
      </c>
      <c r="B364" s="3" t="s">
        <v>37</v>
      </c>
      <c r="C364" s="3" t="s">
        <v>38</v>
      </c>
      <c r="D364" s="3" t="s">
        <v>30</v>
      </c>
      <c r="E364" s="3" t="s">
        <v>34</v>
      </c>
      <c r="F364" s="3">
        <v>335</v>
      </c>
      <c r="G364" s="3">
        <v>363</v>
      </c>
      <c r="H364" s="3">
        <v>320</v>
      </c>
      <c r="I364" s="3">
        <v>319</v>
      </c>
      <c r="J364" s="3">
        <v>71</v>
      </c>
      <c r="K364" s="3">
        <v>56</v>
      </c>
      <c r="L364" s="3">
        <v>1300</v>
      </c>
      <c r="M364" s="4">
        <f t="shared" si="30"/>
        <v>0.95522388059701491</v>
      </c>
      <c r="N364" s="5">
        <f t="shared" si="31"/>
        <v>2.0059701492537316</v>
      </c>
      <c r="O364" s="3">
        <f t="shared" si="32"/>
        <v>15</v>
      </c>
      <c r="P364" s="3" t="str">
        <f t="shared" si="33"/>
        <v>Healthy</v>
      </c>
      <c r="Q364" s="3" t="str">
        <f t="shared" si="34"/>
        <v>Short Supply</v>
      </c>
      <c r="R364" s="6">
        <f t="shared" si="35"/>
        <v>72800</v>
      </c>
    </row>
    <row r="365" spans="1:18" x14ac:dyDescent="0.25">
      <c r="A365" s="2">
        <v>45870</v>
      </c>
      <c r="B365" s="3" t="s">
        <v>37</v>
      </c>
      <c r="C365" s="3" t="s">
        <v>38</v>
      </c>
      <c r="D365" s="3" t="s">
        <v>32</v>
      </c>
      <c r="E365" s="3" t="s">
        <v>29</v>
      </c>
      <c r="F365" s="3">
        <v>386</v>
      </c>
      <c r="G365" s="3">
        <v>367</v>
      </c>
      <c r="H365" s="3">
        <v>351</v>
      </c>
      <c r="I365" s="3">
        <v>390</v>
      </c>
      <c r="J365" s="3">
        <v>127</v>
      </c>
      <c r="K365" s="3">
        <v>92</v>
      </c>
      <c r="L365" s="3">
        <v>1300</v>
      </c>
      <c r="M365" s="4">
        <f t="shared" si="30"/>
        <v>0.90932642487046633</v>
      </c>
      <c r="N365" s="5">
        <f t="shared" si="31"/>
        <v>2.8601036269430051</v>
      </c>
      <c r="O365" s="3">
        <f t="shared" si="32"/>
        <v>35</v>
      </c>
      <c r="P365" s="3" t="str">
        <f t="shared" si="33"/>
        <v>Healthy</v>
      </c>
      <c r="Q365" s="3" t="str">
        <f t="shared" si="34"/>
        <v>Short Supply</v>
      </c>
      <c r="R365" s="6">
        <f t="shared" si="35"/>
        <v>119600</v>
      </c>
    </row>
    <row r="366" spans="1:18" x14ac:dyDescent="0.25">
      <c r="A366" s="2">
        <v>45870</v>
      </c>
      <c r="B366" s="3" t="s">
        <v>37</v>
      </c>
      <c r="C366" s="3" t="s">
        <v>38</v>
      </c>
      <c r="D366" s="3" t="s">
        <v>33</v>
      </c>
      <c r="E366" s="3" t="s">
        <v>29</v>
      </c>
      <c r="F366" s="3">
        <v>366</v>
      </c>
      <c r="G366" s="3">
        <v>387</v>
      </c>
      <c r="H366" s="3">
        <v>383</v>
      </c>
      <c r="I366" s="3">
        <v>377</v>
      </c>
      <c r="J366" s="3">
        <v>66</v>
      </c>
      <c r="K366" s="3">
        <v>83</v>
      </c>
      <c r="L366" s="3">
        <v>1300</v>
      </c>
      <c r="M366" s="4">
        <f t="shared" si="30"/>
        <v>1.0464480874316939</v>
      </c>
      <c r="N366" s="5">
        <f t="shared" si="31"/>
        <v>2.721311475409836</v>
      </c>
      <c r="O366" s="3">
        <f t="shared" si="32"/>
        <v>-17</v>
      </c>
      <c r="P366" s="3" t="str">
        <f t="shared" si="33"/>
        <v>Healthy</v>
      </c>
      <c r="Q366" s="3" t="str">
        <f t="shared" si="34"/>
        <v>On Track</v>
      </c>
      <c r="R366" s="6">
        <f t="shared" si="35"/>
        <v>107900</v>
      </c>
    </row>
    <row r="367" spans="1:18" x14ac:dyDescent="0.25">
      <c r="A367" s="2">
        <v>45870</v>
      </c>
      <c r="B367" s="3" t="s">
        <v>39</v>
      </c>
      <c r="C367" s="3" t="s">
        <v>40</v>
      </c>
      <c r="D367" s="3" t="s">
        <v>26</v>
      </c>
      <c r="E367" s="3" t="s">
        <v>34</v>
      </c>
      <c r="F367" s="3">
        <v>732</v>
      </c>
      <c r="G367" s="3">
        <v>720</v>
      </c>
      <c r="H367" s="3">
        <v>718</v>
      </c>
      <c r="I367" s="3">
        <v>713</v>
      </c>
      <c r="J367" s="3">
        <v>121</v>
      </c>
      <c r="K367" s="3">
        <v>107</v>
      </c>
      <c r="L367" s="3">
        <v>1700</v>
      </c>
      <c r="M367" s="4">
        <f t="shared" si="30"/>
        <v>0.98087431693989069</v>
      </c>
      <c r="N367" s="5">
        <f t="shared" si="31"/>
        <v>1.7540983606557377</v>
      </c>
      <c r="O367" s="3">
        <f t="shared" si="32"/>
        <v>14</v>
      </c>
      <c r="P367" s="3" t="str">
        <f t="shared" si="33"/>
        <v>Medium</v>
      </c>
      <c r="Q367" s="3" t="str">
        <f t="shared" si="34"/>
        <v>Short Supply</v>
      </c>
      <c r="R367" s="6">
        <f t="shared" si="35"/>
        <v>181900</v>
      </c>
    </row>
    <row r="368" spans="1:18" x14ac:dyDescent="0.25">
      <c r="A368" s="2">
        <v>45870</v>
      </c>
      <c r="B368" s="3" t="s">
        <v>39</v>
      </c>
      <c r="C368" s="3" t="s">
        <v>40</v>
      </c>
      <c r="D368" s="3" t="s">
        <v>28</v>
      </c>
      <c r="E368" s="3" t="s">
        <v>31</v>
      </c>
      <c r="F368" s="3">
        <v>750</v>
      </c>
      <c r="G368" s="3">
        <v>718</v>
      </c>
      <c r="H368" s="3">
        <v>695</v>
      </c>
      <c r="I368" s="3">
        <v>784</v>
      </c>
      <c r="J368" s="3">
        <v>96</v>
      </c>
      <c r="K368" s="3">
        <v>41</v>
      </c>
      <c r="L368" s="3">
        <v>1700</v>
      </c>
      <c r="M368" s="4">
        <f t="shared" si="30"/>
        <v>0.92666666666666664</v>
      </c>
      <c r="N368" s="5">
        <f t="shared" si="31"/>
        <v>0.65600000000000003</v>
      </c>
      <c r="O368" s="3">
        <f t="shared" si="32"/>
        <v>55</v>
      </c>
      <c r="P368" s="3" t="str">
        <f t="shared" si="33"/>
        <v>Low</v>
      </c>
      <c r="Q368" s="3" t="str">
        <f t="shared" si="34"/>
        <v>Short Supply</v>
      </c>
      <c r="R368" s="6">
        <f t="shared" si="35"/>
        <v>69700</v>
      </c>
    </row>
    <row r="369" spans="1:18" x14ac:dyDescent="0.25">
      <c r="A369" s="2">
        <v>45870</v>
      </c>
      <c r="B369" s="3" t="s">
        <v>39</v>
      </c>
      <c r="C369" s="3" t="s">
        <v>40</v>
      </c>
      <c r="D369" s="3" t="s">
        <v>30</v>
      </c>
      <c r="E369" s="3" t="s">
        <v>27</v>
      </c>
      <c r="F369" s="3">
        <v>467</v>
      </c>
      <c r="G369" s="3">
        <v>516</v>
      </c>
      <c r="H369" s="3">
        <v>485</v>
      </c>
      <c r="I369" s="3">
        <v>480</v>
      </c>
      <c r="J369" s="3">
        <v>112</v>
      </c>
      <c r="K369" s="3">
        <v>130</v>
      </c>
      <c r="L369" s="3">
        <v>1700</v>
      </c>
      <c r="M369" s="4">
        <f t="shared" si="30"/>
        <v>1.0385438972162742</v>
      </c>
      <c r="N369" s="5">
        <f t="shared" si="31"/>
        <v>3.3404710920770877</v>
      </c>
      <c r="O369" s="3">
        <f t="shared" si="32"/>
        <v>-18</v>
      </c>
      <c r="P369" s="3" t="str">
        <f t="shared" si="33"/>
        <v>Healthy</v>
      </c>
      <c r="Q369" s="3" t="str">
        <f t="shared" si="34"/>
        <v>On Track</v>
      </c>
      <c r="R369" s="6">
        <f t="shared" si="35"/>
        <v>221000</v>
      </c>
    </row>
    <row r="370" spans="1:18" x14ac:dyDescent="0.25">
      <c r="A370" s="2">
        <v>45870</v>
      </c>
      <c r="B370" s="3" t="s">
        <v>39</v>
      </c>
      <c r="C370" s="3" t="s">
        <v>40</v>
      </c>
      <c r="D370" s="3" t="s">
        <v>32</v>
      </c>
      <c r="E370" s="3" t="s">
        <v>34</v>
      </c>
      <c r="F370" s="3">
        <v>487</v>
      </c>
      <c r="G370" s="3">
        <v>463</v>
      </c>
      <c r="H370" s="3">
        <v>423</v>
      </c>
      <c r="I370" s="3">
        <v>453</v>
      </c>
      <c r="J370" s="3">
        <v>81</v>
      </c>
      <c r="K370" s="3">
        <v>17</v>
      </c>
      <c r="L370" s="3">
        <v>1700</v>
      </c>
      <c r="M370" s="4">
        <f t="shared" si="30"/>
        <v>0.86858316221765919</v>
      </c>
      <c r="N370" s="5">
        <f t="shared" si="31"/>
        <v>0.41889117043121149</v>
      </c>
      <c r="O370" s="3">
        <f t="shared" si="32"/>
        <v>64</v>
      </c>
      <c r="P370" s="3" t="str">
        <f t="shared" si="33"/>
        <v>Low</v>
      </c>
      <c r="Q370" s="3" t="str">
        <f t="shared" si="34"/>
        <v>Short Supply</v>
      </c>
      <c r="R370" s="6">
        <f t="shared" si="35"/>
        <v>28900</v>
      </c>
    </row>
    <row r="371" spans="1:18" x14ac:dyDescent="0.25">
      <c r="A371" s="2">
        <v>45870</v>
      </c>
      <c r="B371" s="3" t="s">
        <v>39</v>
      </c>
      <c r="C371" s="3" t="s">
        <v>40</v>
      </c>
      <c r="D371" s="3" t="s">
        <v>33</v>
      </c>
      <c r="E371" s="3" t="s">
        <v>27</v>
      </c>
      <c r="F371" s="3">
        <v>532</v>
      </c>
      <c r="G371" s="3">
        <v>549</v>
      </c>
      <c r="H371" s="3">
        <v>539</v>
      </c>
      <c r="I371" s="3">
        <v>516</v>
      </c>
      <c r="J371" s="3">
        <v>68</v>
      </c>
      <c r="K371" s="3">
        <v>75</v>
      </c>
      <c r="L371" s="3">
        <v>1700</v>
      </c>
      <c r="M371" s="4">
        <f t="shared" si="30"/>
        <v>1.013157894736842</v>
      </c>
      <c r="N371" s="5">
        <f t="shared" si="31"/>
        <v>1.6917293233082709</v>
      </c>
      <c r="O371" s="3">
        <f t="shared" si="32"/>
        <v>-7</v>
      </c>
      <c r="P371" s="3" t="str">
        <f t="shared" si="33"/>
        <v>Medium</v>
      </c>
      <c r="Q371" s="3" t="str">
        <f t="shared" si="34"/>
        <v>On Track</v>
      </c>
      <c r="R371" s="6">
        <f t="shared" si="35"/>
        <v>127500</v>
      </c>
    </row>
    <row r="372" spans="1:18" x14ac:dyDescent="0.25">
      <c r="A372" s="2">
        <v>45870</v>
      </c>
      <c r="B372" s="3" t="s">
        <v>41</v>
      </c>
      <c r="C372" s="3" t="s">
        <v>42</v>
      </c>
      <c r="D372" s="3" t="s">
        <v>26</v>
      </c>
      <c r="E372" s="3" t="s">
        <v>34</v>
      </c>
      <c r="F372" s="3">
        <v>594</v>
      </c>
      <c r="G372" s="3">
        <v>586</v>
      </c>
      <c r="H372" s="3">
        <v>578</v>
      </c>
      <c r="I372" s="3">
        <v>556</v>
      </c>
      <c r="J372" s="3">
        <v>66</v>
      </c>
      <c r="K372" s="3">
        <v>50</v>
      </c>
      <c r="L372" s="3">
        <v>1200</v>
      </c>
      <c r="M372" s="4">
        <f t="shared" si="30"/>
        <v>0.97306397306397308</v>
      </c>
      <c r="N372" s="5">
        <f t="shared" si="31"/>
        <v>1.0101010101010102</v>
      </c>
      <c r="O372" s="3">
        <f t="shared" si="32"/>
        <v>16</v>
      </c>
      <c r="P372" s="3" t="str">
        <f t="shared" si="33"/>
        <v>Medium</v>
      </c>
      <c r="Q372" s="3" t="str">
        <f t="shared" si="34"/>
        <v>Short Supply</v>
      </c>
      <c r="R372" s="6">
        <f t="shared" si="35"/>
        <v>60000</v>
      </c>
    </row>
    <row r="373" spans="1:18" x14ac:dyDescent="0.25">
      <c r="A373" s="2">
        <v>45870</v>
      </c>
      <c r="B373" s="3" t="s">
        <v>41</v>
      </c>
      <c r="C373" s="3" t="s">
        <v>42</v>
      </c>
      <c r="D373" s="3" t="s">
        <v>28</v>
      </c>
      <c r="E373" s="3" t="s">
        <v>27</v>
      </c>
      <c r="F373" s="3">
        <v>401</v>
      </c>
      <c r="G373" s="3">
        <v>406</v>
      </c>
      <c r="H373" s="3">
        <v>380</v>
      </c>
      <c r="I373" s="3">
        <v>370</v>
      </c>
      <c r="J373" s="3">
        <v>88</v>
      </c>
      <c r="K373" s="3">
        <v>67</v>
      </c>
      <c r="L373" s="3">
        <v>1200</v>
      </c>
      <c r="M373" s="4">
        <f t="shared" si="30"/>
        <v>0.94763092269326688</v>
      </c>
      <c r="N373" s="5">
        <f t="shared" si="31"/>
        <v>2.0049875311720697</v>
      </c>
      <c r="O373" s="3">
        <f t="shared" si="32"/>
        <v>21</v>
      </c>
      <c r="P373" s="3" t="str">
        <f t="shared" si="33"/>
        <v>Healthy</v>
      </c>
      <c r="Q373" s="3" t="str">
        <f t="shared" si="34"/>
        <v>Short Supply</v>
      </c>
      <c r="R373" s="6">
        <f t="shared" si="35"/>
        <v>80400</v>
      </c>
    </row>
    <row r="374" spans="1:18" x14ac:dyDescent="0.25">
      <c r="A374" s="2">
        <v>45870</v>
      </c>
      <c r="B374" s="3" t="s">
        <v>41</v>
      </c>
      <c r="C374" s="3" t="s">
        <v>42</v>
      </c>
      <c r="D374" s="3" t="s">
        <v>30</v>
      </c>
      <c r="E374" s="3" t="s">
        <v>27</v>
      </c>
      <c r="F374" s="3">
        <v>312</v>
      </c>
      <c r="G374" s="3">
        <v>333</v>
      </c>
      <c r="H374" s="3">
        <v>333</v>
      </c>
      <c r="I374" s="3">
        <v>287</v>
      </c>
      <c r="J374" s="3">
        <v>93</v>
      </c>
      <c r="K374" s="3">
        <v>114</v>
      </c>
      <c r="L374" s="3">
        <v>1200</v>
      </c>
      <c r="M374" s="4">
        <f t="shared" si="30"/>
        <v>1.0673076923076923</v>
      </c>
      <c r="N374" s="5">
        <f t="shared" si="31"/>
        <v>4.3846153846153841</v>
      </c>
      <c r="O374" s="3">
        <f t="shared" si="32"/>
        <v>-21</v>
      </c>
      <c r="P374" s="3" t="str">
        <f t="shared" si="33"/>
        <v>Healthy</v>
      </c>
      <c r="Q374" s="3" t="str">
        <f t="shared" si="34"/>
        <v>On Track</v>
      </c>
      <c r="R374" s="6">
        <f t="shared" si="35"/>
        <v>136800</v>
      </c>
    </row>
    <row r="375" spans="1:18" x14ac:dyDescent="0.25">
      <c r="A375" s="2">
        <v>45870</v>
      </c>
      <c r="B375" s="3" t="s">
        <v>41</v>
      </c>
      <c r="C375" s="3" t="s">
        <v>42</v>
      </c>
      <c r="D375" s="3" t="s">
        <v>32</v>
      </c>
      <c r="E375" s="3" t="s">
        <v>34</v>
      </c>
      <c r="F375" s="3">
        <v>298</v>
      </c>
      <c r="G375" s="3">
        <v>302</v>
      </c>
      <c r="H375" s="3">
        <v>307</v>
      </c>
      <c r="I375" s="3">
        <v>285</v>
      </c>
      <c r="J375" s="3">
        <v>101</v>
      </c>
      <c r="K375" s="3">
        <v>110</v>
      </c>
      <c r="L375" s="3">
        <v>1200</v>
      </c>
      <c r="M375" s="4">
        <f t="shared" si="30"/>
        <v>1.0302013422818792</v>
      </c>
      <c r="N375" s="5">
        <f t="shared" si="31"/>
        <v>4.4295302013422821</v>
      </c>
      <c r="O375" s="3">
        <f t="shared" si="32"/>
        <v>-9</v>
      </c>
      <c r="P375" s="3" t="str">
        <f t="shared" si="33"/>
        <v>Healthy</v>
      </c>
      <c r="Q375" s="3" t="str">
        <f t="shared" si="34"/>
        <v>On Track</v>
      </c>
      <c r="R375" s="6">
        <f t="shared" si="35"/>
        <v>132000</v>
      </c>
    </row>
    <row r="376" spans="1:18" x14ac:dyDescent="0.25">
      <c r="A376" s="2">
        <v>45870</v>
      </c>
      <c r="B376" s="3" t="s">
        <v>41</v>
      </c>
      <c r="C376" s="3" t="s">
        <v>42</v>
      </c>
      <c r="D376" s="3" t="s">
        <v>33</v>
      </c>
      <c r="E376" s="3" t="s">
        <v>29</v>
      </c>
      <c r="F376" s="3">
        <v>280</v>
      </c>
      <c r="G376" s="3">
        <v>264</v>
      </c>
      <c r="H376" s="3">
        <v>242</v>
      </c>
      <c r="I376" s="3">
        <v>264</v>
      </c>
      <c r="J376" s="3">
        <v>73</v>
      </c>
      <c r="K376" s="3">
        <v>35</v>
      </c>
      <c r="L376" s="3">
        <v>1200</v>
      </c>
      <c r="M376" s="4">
        <f t="shared" si="30"/>
        <v>0.86428571428571432</v>
      </c>
      <c r="N376" s="5">
        <f t="shared" si="31"/>
        <v>1.5</v>
      </c>
      <c r="O376" s="3">
        <f t="shared" si="32"/>
        <v>38</v>
      </c>
      <c r="P376" s="3" t="str">
        <f t="shared" si="33"/>
        <v>Medium</v>
      </c>
      <c r="Q376" s="3" t="str">
        <f t="shared" si="34"/>
        <v>Short Supply</v>
      </c>
      <c r="R376" s="6">
        <f t="shared" si="35"/>
        <v>42000</v>
      </c>
    </row>
    <row r="377" spans="1:18" x14ac:dyDescent="0.25">
      <c r="A377" s="2">
        <v>45870</v>
      </c>
      <c r="B377" s="3" t="s">
        <v>43</v>
      </c>
      <c r="C377" s="3" t="s">
        <v>44</v>
      </c>
      <c r="D377" s="3" t="s">
        <v>26</v>
      </c>
      <c r="E377" s="3" t="s">
        <v>34</v>
      </c>
      <c r="F377" s="3">
        <v>683</v>
      </c>
      <c r="G377" s="3">
        <v>680</v>
      </c>
      <c r="H377" s="3">
        <v>605</v>
      </c>
      <c r="I377" s="3">
        <v>655</v>
      </c>
      <c r="J377" s="3">
        <v>79</v>
      </c>
      <c r="K377" s="3">
        <v>1</v>
      </c>
      <c r="L377" s="3">
        <v>1400</v>
      </c>
      <c r="M377" s="4">
        <f t="shared" si="30"/>
        <v>0.88579795021961938</v>
      </c>
      <c r="N377" s="5">
        <f t="shared" si="31"/>
        <v>1.7569546120058566E-2</v>
      </c>
      <c r="O377" s="3">
        <f t="shared" si="32"/>
        <v>78</v>
      </c>
      <c r="P377" s="3" t="str">
        <f t="shared" si="33"/>
        <v>Low</v>
      </c>
      <c r="Q377" s="3" t="str">
        <f t="shared" si="34"/>
        <v>Short Supply</v>
      </c>
      <c r="R377" s="6">
        <f t="shared" si="35"/>
        <v>1400</v>
      </c>
    </row>
    <row r="378" spans="1:18" x14ac:dyDescent="0.25">
      <c r="A378" s="2">
        <v>45870</v>
      </c>
      <c r="B378" s="3" t="s">
        <v>43</v>
      </c>
      <c r="C378" s="3" t="s">
        <v>44</v>
      </c>
      <c r="D378" s="3" t="s">
        <v>28</v>
      </c>
      <c r="E378" s="3" t="s">
        <v>29</v>
      </c>
      <c r="F378" s="3">
        <v>559</v>
      </c>
      <c r="G378" s="3">
        <v>518</v>
      </c>
      <c r="H378" s="3">
        <v>463</v>
      </c>
      <c r="I378" s="3">
        <v>541</v>
      </c>
      <c r="J378" s="3">
        <v>135</v>
      </c>
      <c r="K378" s="3">
        <v>39</v>
      </c>
      <c r="L378" s="3">
        <v>1400</v>
      </c>
      <c r="M378" s="4">
        <f t="shared" si="30"/>
        <v>0.82826475849731662</v>
      </c>
      <c r="N378" s="5">
        <f t="shared" si="31"/>
        <v>0.83720930232558133</v>
      </c>
      <c r="O378" s="3">
        <f t="shared" si="32"/>
        <v>96</v>
      </c>
      <c r="P378" s="3" t="str">
        <f t="shared" si="33"/>
        <v>Low</v>
      </c>
      <c r="Q378" s="3" t="str">
        <f t="shared" si="34"/>
        <v>Short Supply</v>
      </c>
      <c r="R378" s="6">
        <f t="shared" si="35"/>
        <v>54600</v>
      </c>
    </row>
    <row r="379" spans="1:18" x14ac:dyDescent="0.25">
      <c r="A379" s="2">
        <v>45870</v>
      </c>
      <c r="B379" s="3" t="s">
        <v>43</v>
      </c>
      <c r="C379" s="3" t="s">
        <v>44</v>
      </c>
      <c r="D379" s="3" t="s">
        <v>30</v>
      </c>
      <c r="E379" s="3" t="s">
        <v>31</v>
      </c>
      <c r="F379" s="3">
        <v>445</v>
      </c>
      <c r="G379" s="3">
        <v>432</v>
      </c>
      <c r="H379" s="3">
        <v>432</v>
      </c>
      <c r="I379" s="3">
        <v>440</v>
      </c>
      <c r="J379" s="3">
        <v>94</v>
      </c>
      <c r="K379" s="3">
        <v>81</v>
      </c>
      <c r="L379" s="3">
        <v>1400</v>
      </c>
      <c r="M379" s="4">
        <f t="shared" si="30"/>
        <v>0.97078651685393258</v>
      </c>
      <c r="N379" s="5">
        <f t="shared" si="31"/>
        <v>2.1842696629213485</v>
      </c>
      <c r="O379" s="3">
        <f t="shared" si="32"/>
        <v>13</v>
      </c>
      <c r="P379" s="3" t="str">
        <f t="shared" si="33"/>
        <v>Healthy</v>
      </c>
      <c r="Q379" s="3" t="str">
        <f t="shared" si="34"/>
        <v>Short Supply</v>
      </c>
      <c r="R379" s="6">
        <f t="shared" si="35"/>
        <v>113400</v>
      </c>
    </row>
    <row r="380" spans="1:18" x14ac:dyDescent="0.25">
      <c r="A380" s="2">
        <v>45870</v>
      </c>
      <c r="B380" s="3" t="s">
        <v>43</v>
      </c>
      <c r="C380" s="3" t="s">
        <v>44</v>
      </c>
      <c r="D380" s="3" t="s">
        <v>32</v>
      </c>
      <c r="E380" s="3" t="s">
        <v>34</v>
      </c>
      <c r="F380" s="3">
        <v>350</v>
      </c>
      <c r="G380" s="3">
        <v>358</v>
      </c>
      <c r="H380" s="3">
        <v>349</v>
      </c>
      <c r="I380" s="3">
        <v>348</v>
      </c>
      <c r="J380" s="3">
        <v>74</v>
      </c>
      <c r="K380" s="3">
        <v>73</v>
      </c>
      <c r="L380" s="3">
        <v>1400</v>
      </c>
      <c r="M380" s="4">
        <f t="shared" si="30"/>
        <v>0.99714285714285711</v>
      </c>
      <c r="N380" s="5">
        <f t="shared" si="31"/>
        <v>2.5028571428571427</v>
      </c>
      <c r="O380" s="3">
        <f t="shared" si="32"/>
        <v>1</v>
      </c>
      <c r="P380" s="3" t="str">
        <f t="shared" si="33"/>
        <v>Healthy</v>
      </c>
      <c r="Q380" s="3" t="str">
        <f t="shared" si="34"/>
        <v>Short Supply</v>
      </c>
      <c r="R380" s="6">
        <f t="shared" si="35"/>
        <v>102200</v>
      </c>
    </row>
    <row r="381" spans="1:18" x14ac:dyDescent="0.25">
      <c r="A381" s="2">
        <v>45870</v>
      </c>
      <c r="B381" s="3" t="s">
        <v>43</v>
      </c>
      <c r="C381" s="3" t="s">
        <v>44</v>
      </c>
      <c r="D381" s="3" t="s">
        <v>33</v>
      </c>
      <c r="E381" s="3" t="s">
        <v>31</v>
      </c>
      <c r="F381" s="3">
        <v>473</v>
      </c>
      <c r="G381" s="3">
        <v>449</v>
      </c>
      <c r="H381" s="3">
        <v>438</v>
      </c>
      <c r="I381" s="3">
        <v>472</v>
      </c>
      <c r="J381" s="3">
        <v>106</v>
      </c>
      <c r="K381" s="3">
        <v>71</v>
      </c>
      <c r="L381" s="3">
        <v>1400</v>
      </c>
      <c r="M381" s="4">
        <f t="shared" si="30"/>
        <v>0.92600422832980978</v>
      </c>
      <c r="N381" s="5">
        <f t="shared" si="31"/>
        <v>1.8012684989429175</v>
      </c>
      <c r="O381" s="3">
        <f t="shared" si="32"/>
        <v>35</v>
      </c>
      <c r="P381" s="3" t="str">
        <f t="shared" si="33"/>
        <v>Medium</v>
      </c>
      <c r="Q381" s="3" t="str">
        <f t="shared" si="34"/>
        <v>Short Supply</v>
      </c>
      <c r="R381" s="6">
        <f t="shared" si="35"/>
        <v>99400</v>
      </c>
    </row>
    <row r="382" spans="1:18" x14ac:dyDescent="0.25">
      <c r="A382" s="2">
        <v>45870</v>
      </c>
      <c r="B382" s="3" t="s">
        <v>45</v>
      </c>
      <c r="C382" s="3" t="s">
        <v>46</v>
      </c>
      <c r="D382" s="3" t="s">
        <v>26</v>
      </c>
      <c r="E382" s="3" t="s">
        <v>31</v>
      </c>
      <c r="F382" s="3">
        <v>552</v>
      </c>
      <c r="G382" s="3">
        <v>522</v>
      </c>
      <c r="H382" s="3">
        <v>516</v>
      </c>
      <c r="I382" s="3">
        <v>540</v>
      </c>
      <c r="J382" s="3">
        <v>134</v>
      </c>
      <c r="K382" s="3">
        <v>98</v>
      </c>
      <c r="L382" s="3">
        <v>1500</v>
      </c>
      <c r="M382" s="4">
        <f t="shared" si="30"/>
        <v>0.93478260869565222</v>
      </c>
      <c r="N382" s="5">
        <f t="shared" si="31"/>
        <v>2.1304347826086958</v>
      </c>
      <c r="O382" s="3">
        <f t="shared" si="32"/>
        <v>36</v>
      </c>
      <c r="P382" s="3" t="str">
        <f t="shared" si="33"/>
        <v>Healthy</v>
      </c>
      <c r="Q382" s="3" t="str">
        <f t="shared" si="34"/>
        <v>Short Supply</v>
      </c>
      <c r="R382" s="6">
        <f t="shared" si="35"/>
        <v>147000</v>
      </c>
    </row>
    <row r="383" spans="1:18" x14ac:dyDescent="0.25">
      <c r="A383" s="2">
        <v>45870</v>
      </c>
      <c r="B383" s="3" t="s">
        <v>45</v>
      </c>
      <c r="C383" s="3" t="s">
        <v>46</v>
      </c>
      <c r="D383" s="3" t="s">
        <v>28</v>
      </c>
      <c r="E383" s="3" t="s">
        <v>34</v>
      </c>
      <c r="F383" s="3">
        <v>466</v>
      </c>
      <c r="G383" s="3">
        <v>471</v>
      </c>
      <c r="H383" s="3">
        <v>459</v>
      </c>
      <c r="I383" s="3">
        <v>469</v>
      </c>
      <c r="J383" s="3">
        <v>136</v>
      </c>
      <c r="K383" s="3">
        <v>129</v>
      </c>
      <c r="L383" s="3">
        <v>1500</v>
      </c>
      <c r="M383" s="4">
        <f t="shared" si="30"/>
        <v>0.98497854077253222</v>
      </c>
      <c r="N383" s="5">
        <f t="shared" si="31"/>
        <v>3.3218884120171674</v>
      </c>
      <c r="O383" s="3">
        <f t="shared" si="32"/>
        <v>7</v>
      </c>
      <c r="P383" s="3" t="str">
        <f t="shared" si="33"/>
        <v>Healthy</v>
      </c>
      <c r="Q383" s="3" t="str">
        <f t="shared" si="34"/>
        <v>Short Supply</v>
      </c>
      <c r="R383" s="6">
        <f t="shared" si="35"/>
        <v>193500</v>
      </c>
    </row>
    <row r="384" spans="1:18" x14ac:dyDescent="0.25">
      <c r="A384" s="2">
        <v>45870</v>
      </c>
      <c r="B384" s="3" t="s">
        <v>45</v>
      </c>
      <c r="C384" s="3" t="s">
        <v>46</v>
      </c>
      <c r="D384" s="3" t="s">
        <v>30</v>
      </c>
      <c r="E384" s="3" t="s">
        <v>34</v>
      </c>
      <c r="F384" s="3">
        <v>381</v>
      </c>
      <c r="G384" s="3">
        <v>354</v>
      </c>
      <c r="H384" s="3">
        <v>351</v>
      </c>
      <c r="I384" s="3">
        <v>401</v>
      </c>
      <c r="J384" s="3">
        <v>65</v>
      </c>
      <c r="K384" s="3">
        <v>35</v>
      </c>
      <c r="L384" s="3">
        <v>1500</v>
      </c>
      <c r="M384" s="4">
        <f t="shared" si="30"/>
        <v>0.92125984251968507</v>
      </c>
      <c r="N384" s="5">
        <f t="shared" si="31"/>
        <v>1.1023622047244095</v>
      </c>
      <c r="O384" s="3">
        <f t="shared" si="32"/>
        <v>30</v>
      </c>
      <c r="P384" s="3" t="str">
        <f t="shared" si="33"/>
        <v>Medium</v>
      </c>
      <c r="Q384" s="3" t="str">
        <f t="shared" si="34"/>
        <v>Short Supply</v>
      </c>
      <c r="R384" s="6">
        <f t="shared" si="35"/>
        <v>52500</v>
      </c>
    </row>
    <row r="385" spans="1:18" x14ac:dyDescent="0.25">
      <c r="A385" s="2">
        <v>45870</v>
      </c>
      <c r="B385" s="3" t="s">
        <v>45</v>
      </c>
      <c r="C385" s="3" t="s">
        <v>46</v>
      </c>
      <c r="D385" s="3" t="s">
        <v>32</v>
      </c>
      <c r="E385" s="3" t="s">
        <v>34</v>
      </c>
      <c r="F385" s="3">
        <v>327</v>
      </c>
      <c r="G385" s="3">
        <v>298</v>
      </c>
      <c r="H385" s="3">
        <v>274</v>
      </c>
      <c r="I385" s="3">
        <v>314</v>
      </c>
      <c r="J385" s="3">
        <v>72</v>
      </c>
      <c r="K385" s="3">
        <v>19</v>
      </c>
      <c r="L385" s="3">
        <v>1500</v>
      </c>
      <c r="M385" s="4">
        <f t="shared" si="30"/>
        <v>0.8379204892966361</v>
      </c>
      <c r="N385" s="5">
        <f t="shared" si="31"/>
        <v>0.69724770642201839</v>
      </c>
      <c r="O385" s="3">
        <f t="shared" si="32"/>
        <v>53</v>
      </c>
      <c r="P385" s="3" t="str">
        <f t="shared" si="33"/>
        <v>Low</v>
      </c>
      <c r="Q385" s="3" t="str">
        <f t="shared" si="34"/>
        <v>Short Supply</v>
      </c>
      <c r="R385" s="6">
        <f t="shared" si="35"/>
        <v>28500</v>
      </c>
    </row>
    <row r="386" spans="1:18" x14ac:dyDescent="0.25">
      <c r="A386" s="2">
        <v>45870</v>
      </c>
      <c r="B386" s="3" t="s">
        <v>45</v>
      </c>
      <c r="C386" s="3" t="s">
        <v>46</v>
      </c>
      <c r="D386" s="3" t="s">
        <v>33</v>
      </c>
      <c r="E386" s="3" t="s">
        <v>34</v>
      </c>
      <c r="F386" s="3">
        <v>375</v>
      </c>
      <c r="G386" s="3">
        <v>336</v>
      </c>
      <c r="H386" s="3">
        <v>342</v>
      </c>
      <c r="I386" s="3">
        <v>373</v>
      </c>
      <c r="J386" s="3">
        <v>92</v>
      </c>
      <c r="K386" s="3">
        <v>59</v>
      </c>
      <c r="L386" s="3">
        <v>1500</v>
      </c>
      <c r="M386" s="4">
        <f t="shared" ref="M386:M449" si="36">IFERROR(H386/F386,0)</f>
        <v>0.91200000000000003</v>
      </c>
      <c r="N386" s="5">
        <f t="shared" ref="N386:N449" si="37">IFERROR(K386/F386*12,0)</f>
        <v>1.8879999999999999</v>
      </c>
      <c r="O386" s="3">
        <f t="shared" ref="O386:O449" si="38">F386-H386</f>
        <v>33</v>
      </c>
      <c r="P386" s="3" t="str">
        <f t="shared" ref="P386:P449" si="39">IF(N386&lt;1,"Low",IF(N386&lt;=2,"Medium","Healthy"))</f>
        <v>Medium</v>
      </c>
      <c r="Q386" s="3" t="str">
        <f t="shared" ref="Q386:Q449" si="40">IF(H386&lt;F386,"Short Supply","On Track")</f>
        <v>Short Supply</v>
      </c>
      <c r="R386" s="6">
        <f t="shared" ref="R386:R449" si="41">K386*L386</f>
        <v>88500</v>
      </c>
    </row>
    <row r="387" spans="1:18" x14ac:dyDescent="0.25">
      <c r="A387" s="2">
        <v>45870</v>
      </c>
      <c r="B387" s="3" t="s">
        <v>47</v>
      </c>
      <c r="C387" s="3" t="s">
        <v>48</v>
      </c>
      <c r="D387" s="3" t="s">
        <v>26</v>
      </c>
      <c r="E387" s="3" t="s">
        <v>27</v>
      </c>
      <c r="F387" s="3">
        <v>620</v>
      </c>
      <c r="G387" s="3">
        <v>663</v>
      </c>
      <c r="H387" s="3">
        <v>616</v>
      </c>
      <c r="I387" s="3">
        <v>659</v>
      </c>
      <c r="J387" s="3">
        <v>102</v>
      </c>
      <c r="K387" s="3">
        <v>98</v>
      </c>
      <c r="L387" s="3">
        <v>1250</v>
      </c>
      <c r="M387" s="4">
        <f t="shared" si="36"/>
        <v>0.99354838709677418</v>
      </c>
      <c r="N387" s="5">
        <f t="shared" si="37"/>
        <v>1.8967741935483868</v>
      </c>
      <c r="O387" s="3">
        <f t="shared" si="38"/>
        <v>4</v>
      </c>
      <c r="P387" s="3" t="str">
        <f t="shared" si="39"/>
        <v>Medium</v>
      </c>
      <c r="Q387" s="3" t="str">
        <f t="shared" si="40"/>
        <v>Short Supply</v>
      </c>
      <c r="R387" s="6">
        <f t="shared" si="41"/>
        <v>122500</v>
      </c>
    </row>
    <row r="388" spans="1:18" x14ac:dyDescent="0.25">
      <c r="A388" s="2">
        <v>45870</v>
      </c>
      <c r="B388" s="3" t="s">
        <v>47</v>
      </c>
      <c r="C388" s="3" t="s">
        <v>48</v>
      </c>
      <c r="D388" s="3" t="s">
        <v>28</v>
      </c>
      <c r="E388" s="3" t="s">
        <v>34</v>
      </c>
      <c r="F388" s="3">
        <v>420</v>
      </c>
      <c r="G388" s="3">
        <v>394</v>
      </c>
      <c r="H388" s="3">
        <v>383</v>
      </c>
      <c r="I388" s="3">
        <v>397</v>
      </c>
      <c r="J388" s="3">
        <v>109</v>
      </c>
      <c r="K388" s="3">
        <v>72</v>
      </c>
      <c r="L388" s="3">
        <v>1250</v>
      </c>
      <c r="M388" s="4">
        <f t="shared" si="36"/>
        <v>0.91190476190476188</v>
      </c>
      <c r="N388" s="5">
        <f t="shared" si="37"/>
        <v>2.0571428571428569</v>
      </c>
      <c r="O388" s="3">
        <f t="shared" si="38"/>
        <v>37</v>
      </c>
      <c r="P388" s="3" t="str">
        <f t="shared" si="39"/>
        <v>Healthy</v>
      </c>
      <c r="Q388" s="3" t="str">
        <f t="shared" si="40"/>
        <v>Short Supply</v>
      </c>
      <c r="R388" s="6">
        <f t="shared" si="41"/>
        <v>90000</v>
      </c>
    </row>
    <row r="389" spans="1:18" x14ac:dyDescent="0.25">
      <c r="A389" s="2">
        <v>45870</v>
      </c>
      <c r="B389" s="3" t="s">
        <v>47</v>
      </c>
      <c r="C389" s="3" t="s">
        <v>48</v>
      </c>
      <c r="D389" s="3" t="s">
        <v>30</v>
      </c>
      <c r="E389" s="3" t="s">
        <v>31</v>
      </c>
      <c r="F389" s="3">
        <v>403</v>
      </c>
      <c r="G389" s="3">
        <v>386</v>
      </c>
      <c r="H389" s="3">
        <v>382</v>
      </c>
      <c r="I389" s="3">
        <v>377</v>
      </c>
      <c r="J389" s="3">
        <v>67</v>
      </c>
      <c r="K389" s="3">
        <v>46</v>
      </c>
      <c r="L389" s="3">
        <v>1250</v>
      </c>
      <c r="M389" s="4">
        <f t="shared" si="36"/>
        <v>0.94789081885856075</v>
      </c>
      <c r="N389" s="5">
        <f t="shared" si="37"/>
        <v>1.369727047146402</v>
      </c>
      <c r="O389" s="3">
        <f t="shared" si="38"/>
        <v>21</v>
      </c>
      <c r="P389" s="3" t="str">
        <f t="shared" si="39"/>
        <v>Medium</v>
      </c>
      <c r="Q389" s="3" t="str">
        <f t="shared" si="40"/>
        <v>Short Supply</v>
      </c>
      <c r="R389" s="6">
        <f t="shared" si="41"/>
        <v>57500</v>
      </c>
    </row>
    <row r="390" spans="1:18" x14ac:dyDescent="0.25">
      <c r="A390" s="2">
        <v>45870</v>
      </c>
      <c r="B390" s="3" t="s">
        <v>47</v>
      </c>
      <c r="C390" s="3" t="s">
        <v>48</v>
      </c>
      <c r="D390" s="3" t="s">
        <v>32</v>
      </c>
      <c r="E390" s="3" t="s">
        <v>34</v>
      </c>
      <c r="F390" s="3">
        <v>327</v>
      </c>
      <c r="G390" s="3">
        <v>328</v>
      </c>
      <c r="H390" s="3">
        <v>315</v>
      </c>
      <c r="I390" s="3">
        <v>330</v>
      </c>
      <c r="J390" s="3">
        <v>95</v>
      </c>
      <c r="K390" s="3">
        <v>83</v>
      </c>
      <c r="L390" s="3">
        <v>1250</v>
      </c>
      <c r="M390" s="4">
        <f t="shared" si="36"/>
        <v>0.96330275229357798</v>
      </c>
      <c r="N390" s="5">
        <f t="shared" si="37"/>
        <v>3.0458715596330275</v>
      </c>
      <c r="O390" s="3">
        <f t="shared" si="38"/>
        <v>12</v>
      </c>
      <c r="P390" s="3" t="str">
        <f t="shared" si="39"/>
        <v>Healthy</v>
      </c>
      <c r="Q390" s="3" t="str">
        <f t="shared" si="40"/>
        <v>Short Supply</v>
      </c>
      <c r="R390" s="6">
        <f t="shared" si="41"/>
        <v>103750</v>
      </c>
    </row>
    <row r="391" spans="1:18" x14ac:dyDescent="0.25">
      <c r="A391" s="2">
        <v>45870</v>
      </c>
      <c r="B391" s="3" t="s">
        <v>47</v>
      </c>
      <c r="C391" s="3" t="s">
        <v>48</v>
      </c>
      <c r="D391" s="3" t="s">
        <v>33</v>
      </c>
      <c r="E391" s="3" t="s">
        <v>34</v>
      </c>
      <c r="F391" s="3">
        <v>358</v>
      </c>
      <c r="G391" s="3">
        <v>373</v>
      </c>
      <c r="H391" s="3">
        <v>364</v>
      </c>
      <c r="I391" s="3">
        <v>337</v>
      </c>
      <c r="J391" s="3">
        <v>139</v>
      </c>
      <c r="K391" s="3">
        <v>145</v>
      </c>
      <c r="L391" s="3">
        <v>1250</v>
      </c>
      <c r="M391" s="4">
        <f t="shared" si="36"/>
        <v>1.0167597765363128</v>
      </c>
      <c r="N391" s="5">
        <f t="shared" si="37"/>
        <v>4.8603351955307259</v>
      </c>
      <c r="O391" s="3">
        <f t="shared" si="38"/>
        <v>-6</v>
      </c>
      <c r="P391" s="3" t="str">
        <f t="shared" si="39"/>
        <v>Healthy</v>
      </c>
      <c r="Q391" s="3" t="str">
        <f t="shared" si="40"/>
        <v>On Track</v>
      </c>
      <c r="R391" s="6">
        <f t="shared" si="41"/>
        <v>181250</v>
      </c>
    </row>
    <row r="392" spans="1:18" x14ac:dyDescent="0.25">
      <c r="A392" s="2">
        <v>45870</v>
      </c>
      <c r="B392" s="3" t="s">
        <v>49</v>
      </c>
      <c r="C392" s="3" t="s">
        <v>50</v>
      </c>
      <c r="D392" s="3" t="s">
        <v>26</v>
      </c>
      <c r="E392" s="3" t="s">
        <v>31</v>
      </c>
      <c r="F392" s="3">
        <v>771</v>
      </c>
      <c r="G392" s="3">
        <v>755</v>
      </c>
      <c r="H392" s="3">
        <v>766</v>
      </c>
      <c r="I392" s="3">
        <v>723</v>
      </c>
      <c r="J392" s="3">
        <v>135</v>
      </c>
      <c r="K392" s="3">
        <v>130</v>
      </c>
      <c r="L392" s="3">
        <v>1750</v>
      </c>
      <c r="M392" s="4">
        <f t="shared" si="36"/>
        <v>0.99351491569390404</v>
      </c>
      <c r="N392" s="5">
        <f t="shared" si="37"/>
        <v>2.0233463035019454</v>
      </c>
      <c r="O392" s="3">
        <f t="shared" si="38"/>
        <v>5</v>
      </c>
      <c r="P392" s="3" t="str">
        <f t="shared" si="39"/>
        <v>Healthy</v>
      </c>
      <c r="Q392" s="3" t="str">
        <f t="shared" si="40"/>
        <v>Short Supply</v>
      </c>
      <c r="R392" s="6">
        <f t="shared" si="41"/>
        <v>227500</v>
      </c>
    </row>
    <row r="393" spans="1:18" x14ac:dyDescent="0.25">
      <c r="A393" s="2">
        <v>45870</v>
      </c>
      <c r="B393" s="3" t="s">
        <v>49</v>
      </c>
      <c r="C393" s="3" t="s">
        <v>50</v>
      </c>
      <c r="D393" s="3" t="s">
        <v>28</v>
      </c>
      <c r="E393" s="3" t="s">
        <v>27</v>
      </c>
      <c r="F393" s="3">
        <v>649</v>
      </c>
      <c r="G393" s="3">
        <v>624</v>
      </c>
      <c r="H393" s="3">
        <v>617</v>
      </c>
      <c r="I393" s="3">
        <v>651</v>
      </c>
      <c r="J393" s="3">
        <v>87</v>
      </c>
      <c r="K393" s="3">
        <v>55</v>
      </c>
      <c r="L393" s="3">
        <v>1750</v>
      </c>
      <c r="M393" s="4">
        <f t="shared" si="36"/>
        <v>0.95069337442218793</v>
      </c>
      <c r="N393" s="5">
        <f t="shared" si="37"/>
        <v>1.0169491525423728</v>
      </c>
      <c r="O393" s="3">
        <f t="shared" si="38"/>
        <v>32</v>
      </c>
      <c r="P393" s="3" t="str">
        <f t="shared" si="39"/>
        <v>Medium</v>
      </c>
      <c r="Q393" s="3" t="str">
        <f t="shared" si="40"/>
        <v>Short Supply</v>
      </c>
      <c r="R393" s="6">
        <f t="shared" si="41"/>
        <v>96250</v>
      </c>
    </row>
    <row r="394" spans="1:18" x14ac:dyDescent="0.25">
      <c r="A394" s="2">
        <v>45870</v>
      </c>
      <c r="B394" s="3" t="s">
        <v>49</v>
      </c>
      <c r="C394" s="3" t="s">
        <v>50</v>
      </c>
      <c r="D394" s="3" t="s">
        <v>30</v>
      </c>
      <c r="E394" s="3" t="s">
        <v>27</v>
      </c>
      <c r="F394" s="3">
        <v>496</v>
      </c>
      <c r="G394" s="3">
        <v>519</v>
      </c>
      <c r="H394" s="3">
        <v>479</v>
      </c>
      <c r="I394" s="3">
        <v>480</v>
      </c>
      <c r="J394" s="3">
        <v>124</v>
      </c>
      <c r="K394" s="3">
        <v>107</v>
      </c>
      <c r="L394" s="3">
        <v>1750</v>
      </c>
      <c r="M394" s="4">
        <f t="shared" si="36"/>
        <v>0.96572580645161288</v>
      </c>
      <c r="N394" s="5">
        <f t="shared" si="37"/>
        <v>2.588709677419355</v>
      </c>
      <c r="O394" s="3">
        <f t="shared" si="38"/>
        <v>17</v>
      </c>
      <c r="P394" s="3" t="str">
        <f t="shared" si="39"/>
        <v>Healthy</v>
      </c>
      <c r="Q394" s="3" t="str">
        <f t="shared" si="40"/>
        <v>Short Supply</v>
      </c>
      <c r="R394" s="6">
        <f t="shared" si="41"/>
        <v>187250</v>
      </c>
    </row>
    <row r="395" spans="1:18" x14ac:dyDescent="0.25">
      <c r="A395" s="2">
        <v>45870</v>
      </c>
      <c r="B395" s="3" t="s">
        <v>49</v>
      </c>
      <c r="C395" s="3" t="s">
        <v>50</v>
      </c>
      <c r="D395" s="3" t="s">
        <v>32</v>
      </c>
      <c r="E395" s="3" t="s">
        <v>31</v>
      </c>
      <c r="F395" s="3">
        <v>399</v>
      </c>
      <c r="G395" s="3">
        <v>383</v>
      </c>
      <c r="H395" s="3">
        <v>342</v>
      </c>
      <c r="I395" s="3">
        <v>418</v>
      </c>
      <c r="J395" s="3">
        <v>134</v>
      </c>
      <c r="K395" s="3">
        <v>77</v>
      </c>
      <c r="L395" s="3">
        <v>1750</v>
      </c>
      <c r="M395" s="4">
        <f t="shared" si="36"/>
        <v>0.8571428571428571</v>
      </c>
      <c r="N395" s="5">
        <f t="shared" si="37"/>
        <v>2.3157894736842106</v>
      </c>
      <c r="O395" s="3">
        <f t="shared" si="38"/>
        <v>57</v>
      </c>
      <c r="P395" s="3" t="str">
        <f t="shared" si="39"/>
        <v>Healthy</v>
      </c>
      <c r="Q395" s="3" t="str">
        <f t="shared" si="40"/>
        <v>Short Supply</v>
      </c>
      <c r="R395" s="6">
        <f t="shared" si="41"/>
        <v>134750</v>
      </c>
    </row>
    <row r="396" spans="1:18" x14ac:dyDescent="0.25">
      <c r="A396" s="2">
        <v>45870</v>
      </c>
      <c r="B396" s="3" t="s">
        <v>49</v>
      </c>
      <c r="C396" s="3" t="s">
        <v>50</v>
      </c>
      <c r="D396" s="3" t="s">
        <v>33</v>
      </c>
      <c r="E396" s="3" t="s">
        <v>34</v>
      </c>
      <c r="F396" s="3">
        <v>520</v>
      </c>
      <c r="G396" s="3">
        <v>526</v>
      </c>
      <c r="H396" s="3">
        <v>487</v>
      </c>
      <c r="I396" s="3">
        <v>513</v>
      </c>
      <c r="J396" s="3">
        <v>96</v>
      </c>
      <c r="K396" s="3">
        <v>63</v>
      </c>
      <c r="L396" s="3">
        <v>1750</v>
      </c>
      <c r="M396" s="4">
        <f t="shared" si="36"/>
        <v>0.93653846153846154</v>
      </c>
      <c r="N396" s="5">
        <f t="shared" si="37"/>
        <v>1.4538461538461538</v>
      </c>
      <c r="O396" s="3">
        <f t="shared" si="38"/>
        <v>33</v>
      </c>
      <c r="P396" s="3" t="str">
        <f t="shared" si="39"/>
        <v>Medium</v>
      </c>
      <c r="Q396" s="3" t="str">
        <f t="shared" si="40"/>
        <v>Short Supply</v>
      </c>
      <c r="R396" s="6">
        <f t="shared" si="41"/>
        <v>110250</v>
      </c>
    </row>
    <row r="397" spans="1:18" x14ac:dyDescent="0.25">
      <c r="A397" s="2">
        <v>45870</v>
      </c>
      <c r="B397" s="3" t="s">
        <v>51</v>
      </c>
      <c r="C397" s="3" t="s">
        <v>36</v>
      </c>
      <c r="D397" s="3" t="s">
        <v>26</v>
      </c>
      <c r="E397" s="3" t="s">
        <v>31</v>
      </c>
      <c r="F397" s="3">
        <v>696</v>
      </c>
      <c r="G397" s="3">
        <v>643</v>
      </c>
      <c r="H397" s="3">
        <v>625</v>
      </c>
      <c r="I397" s="3">
        <v>684</v>
      </c>
      <c r="J397" s="3">
        <v>118</v>
      </c>
      <c r="K397" s="3">
        <v>47</v>
      </c>
      <c r="L397" s="3">
        <v>1450</v>
      </c>
      <c r="M397" s="4">
        <f t="shared" si="36"/>
        <v>0.89798850574712641</v>
      </c>
      <c r="N397" s="5">
        <f t="shared" si="37"/>
        <v>0.81034482758620685</v>
      </c>
      <c r="O397" s="3">
        <f t="shared" si="38"/>
        <v>71</v>
      </c>
      <c r="P397" s="3" t="str">
        <f t="shared" si="39"/>
        <v>Low</v>
      </c>
      <c r="Q397" s="3" t="str">
        <f t="shared" si="40"/>
        <v>Short Supply</v>
      </c>
      <c r="R397" s="6">
        <f t="shared" si="41"/>
        <v>68150</v>
      </c>
    </row>
    <row r="398" spans="1:18" x14ac:dyDescent="0.25">
      <c r="A398" s="2">
        <v>45870</v>
      </c>
      <c r="B398" s="3" t="s">
        <v>51</v>
      </c>
      <c r="C398" s="3" t="s">
        <v>36</v>
      </c>
      <c r="D398" s="3" t="s">
        <v>28</v>
      </c>
      <c r="E398" s="3" t="s">
        <v>27</v>
      </c>
      <c r="F398" s="3">
        <v>513</v>
      </c>
      <c r="G398" s="3">
        <v>504</v>
      </c>
      <c r="H398" s="3">
        <v>443</v>
      </c>
      <c r="I398" s="3">
        <v>489</v>
      </c>
      <c r="J398" s="3">
        <v>82</v>
      </c>
      <c r="K398" s="3">
        <v>12</v>
      </c>
      <c r="L398" s="3">
        <v>1450</v>
      </c>
      <c r="M398" s="4">
        <f t="shared" si="36"/>
        <v>0.8635477582846004</v>
      </c>
      <c r="N398" s="5">
        <f t="shared" si="37"/>
        <v>0.2807017543859649</v>
      </c>
      <c r="O398" s="3">
        <f t="shared" si="38"/>
        <v>70</v>
      </c>
      <c r="P398" s="3" t="str">
        <f t="shared" si="39"/>
        <v>Low</v>
      </c>
      <c r="Q398" s="3" t="str">
        <f t="shared" si="40"/>
        <v>Short Supply</v>
      </c>
      <c r="R398" s="6">
        <f t="shared" si="41"/>
        <v>17400</v>
      </c>
    </row>
    <row r="399" spans="1:18" x14ac:dyDescent="0.25">
      <c r="A399" s="2">
        <v>45870</v>
      </c>
      <c r="B399" s="3" t="s">
        <v>51</v>
      </c>
      <c r="C399" s="3" t="s">
        <v>36</v>
      </c>
      <c r="D399" s="3" t="s">
        <v>30</v>
      </c>
      <c r="E399" s="3" t="s">
        <v>27</v>
      </c>
      <c r="F399" s="3">
        <v>396</v>
      </c>
      <c r="G399" s="3">
        <v>424</v>
      </c>
      <c r="H399" s="3">
        <v>404</v>
      </c>
      <c r="I399" s="3">
        <v>387</v>
      </c>
      <c r="J399" s="3">
        <v>75</v>
      </c>
      <c r="K399" s="3">
        <v>83</v>
      </c>
      <c r="L399" s="3">
        <v>1450</v>
      </c>
      <c r="M399" s="4">
        <f t="shared" si="36"/>
        <v>1.0202020202020201</v>
      </c>
      <c r="N399" s="5">
        <f t="shared" si="37"/>
        <v>2.5151515151515151</v>
      </c>
      <c r="O399" s="3">
        <f t="shared" si="38"/>
        <v>-8</v>
      </c>
      <c r="P399" s="3" t="str">
        <f t="shared" si="39"/>
        <v>Healthy</v>
      </c>
      <c r="Q399" s="3" t="str">
        <f t="shared" si="40"/>
        <v>On Track</v>
      </c>
      <c r="R399" s="6">
        <f t="shared" si="41"/>
        <v>120350</v>
      </c>
    </row>
    <row r="400" spans="1:18" x14ac:dyDescent="0.25">
      <c r="A400" s="2">
        <v>45870</v>
      </c>
      <c r="B400" s="3" t="s">
        <v>51</v>
      </c>
      <c r="C400" s="3" t="s">
        <v>36</v>
      </c>
      <c r="D400" s="3" t="s">
        <v>32</v>
      </c>
      <c r="E400" s="3" t="s">
        <v>34</v>
      </c>
      <c r="F400" s="3">
        <v>332</v>
      </c>
      <c r="G400" s="3">
        <v>360</v>
      </c>
      <c r="H400" s="3">
        <v>343</v>
      </c>
      <c r="I400" s="3">
        <v>339</v>
      </c>
      <c r="J400" s="3">
        <v>107</v>
      </c>
      <c r="K400" s="3">
        <v>118</v>
      </c>
      <c r="L400" s="3">
        <v>1450</v>
      </c>
      <c r="M400" s="4">
        <f t="shared" si="36"/>
        <v>1.0331325301204819</v>
      </c>
      <c r="N400" s="5">
        <f t="shared" si="37"/>
        <v>4.2650602409638552</v>
      </c>
      <c r="O400" s="3">
        <f t="shared" si="38"/>
        <v>-11</v>
      </c>
      <c r="P400" s="3" t="str">
        <f t="shared" si="39"/>
        <v>Healthy</v>
      </c>
      <c r="Q400" s="3" t="str">
        <f t="shared" si="40"/>
        <v>On Track</v>
      </c>
      <c r="R400" s="6">
        <f t="shared" si="41"/>
        <v>171100</v>
      </c>
    </row>
    <row r="401" spans="1:18" x14ac:dyDescent="0.25">
      <c r="A401" s="2">
        <v>45870</v>
      </c>
      <c r="B401" s="3" t="s">
        <v>51</v>
      </c>
      <c r="C401" s="3" t="s">
        <v>36</v>
      </c>
      <c r="D401" s="3" t="s">
        <v>33</v>
      </c>
      <c r="E401" s="3" t="s">
        <v>29</v>
      </c>
      <c r="F401" s="3">
        <v>407</v>
      </c>
      <c r="G401" s="3">
        <v>392</v>
      </c>
      <c r="H401" s="3">
        <v>391</v>
      </c>
      <c r="I401" s="3">
        <v>414</v>
      </c>
      <c r="J401" s="3">
        <v>125</v>
      </c>
      <c r="K401" s="3">
        <v>109</v>
      </c>
      <c r="L401" s="3">
        <v>1450</v>
      </c>
      <c r="M401" s="4">
        <f t="shared" si="36"/>
        <v>0.9606879606879607</v>
      </c>
      <c r="N401" s="5">
        <f t="shared" si="37"/>
        <v>3.2137592137592135</v>
      </c>
      <c r="O401" s="3">
        <f t="shared" si="38"/>
        <v>16</v>
      </c>
      <c r="P401" s="3" t="str">
        <f t="shared" si="39"/>
        <v>Healthy</v>
      </c>
      <c r="Q401" s="3" t="str">
        <f t="shared" si="40"/>
        <v>Short Supply</v>
      </c>
      <c r="R401" s="6">
        <f t="shared" si="41"/>
        <v>158050</v>
      </c>
    </row>
    <row r="402" spans="1:18" x14ac:dyDescent="0.25">
      <c r="A402" s="2">
        <v>45901</v>
      </c>
      <c r="B402" s="3" t="s">
        <v>24</v>
      </c>
      <c r="C402" s="3" t="s">
        <v>25</v>
      </c>
      <c r="D402" s="3" t="s">
        <v>26</v>
      </c>
      <c r="E402" s="3" t="s">
        <v>27</v>
      </c>
      <c r="F402" s="3">
        <v>1147</v>
      </c>
      <c r="G402" s="3">
        <v>1171</v>
      </c>
      <c r="H402" s="3">
        <v>1140</v>
      </c>
      <c r="I402" s="3">
        <v>1112</v>
      </c>
      <c r="J402" s="3">
        <v>79</v>
      </c>
      <c r="K402" s="3">
        <v>72</v>
      </c>
      <c r="L402" s="3">
        <v>1800</v>
      </c>
      <c r="M402" s="4">
        <f t="shared" si="36"/>
        <v>0.99389712292938104</v>
      </c>
      <c r="N402" s="5">
        <f t="shared" si="37"/>
        <v>0.75326939843068874</v>
      </c>
      <c r="O402" s="3">
        <f t="shared" si="38"/>
        <v>7</v>
      </c>
      <c r="P402" s="3" t="str">
        <f t="shared" si="39"/>
        <v>Low</v>
      </c>
      <c r="Q402" s="3" t="str">
        <f t="shared" si="40"/>
        <v>Short Supply</v>
      </c>
      <c r="R402" s="6">
        <f t="shared" si="41"/>
        <v>129600</v>
      </c>
    </row>
    <row r="403" spans="1:18" x14ac:dyDescent="0.25">
      <c r="A403" s="2">
        <v>45901</v>
      </c>
      <c r="B403" s="3" t="s">
        <v>24</v>
      </c>
      <c r="C403" s="3" t="s">
        <v>25</v>
      </c>
      <c r="D403" s="3" t="s">
        <v>28</v>
      </c>
      <c r="E403" s="3" t="s">
        <v>34</v>
      </c>
      <c r="F403" s="3">
        <v>717</v>
      </c>
      <c r="G403" s="3">
        <v>750</v>
      </c>
      <c r="H403" s="3">
        <v>713</v>
      </c>
      <c r="I403" s="3">
        <v>707</v>
      </c>
      <c r="J403" s="3">
        <v>71</v>
      </c>
      <c r="K403" s="3">
        <v>67</v>
      </c>
      <c r="L403" s="3">
        <v>1800</v>
      </c>
      <c r="M403" s="4">
        <f t="shared" si="36"/>
        <v>0.99442119944211993</v>
      </c>
      <c r="N403" s="5">
        <f t="shared" si="37"/>
        <v>1.1213389121338913</v>
      </c>
      <c r="O403" s="3">
        <f t="shared" si="38"/>
        <v>4</v>
      </c>
      <c r="P403" s="3" t="str">
        <f t="shared" si="39"/>
        <v>Medium</v>
      </c>
      <c r="Q403" s="3" t="str">
        <f t="shared" si="40"/>
        <v>Short Supply</v>
      </c>
      <c r="R403" s="6">
        <f t="shared" si="41"/>
        <v>120600</v>
      </c>
    </row>
    <row r="404" spans="1:18" x14ac:dyDescent="0.25">
      <c r="A404" s="2">
        <v>45901</v>
      </c>
      <c r="B404" s="3" t="s">
        <v>24</v>
      </c>
      <c r="C404" s="3" t="s">
        <v>25</v>
      </c>
      <c r="D404" s="3" t="s">
        <v>30</v>
      </c>
      <c r="E404" s="3" t="s">
        <v>31</v>
      </c>
      <c r="F404" s="3">
        <v>575</v>
      </c>
      <c r="G404" s="3">
        <v>573</v>
      </c>
      <c r="H404" s="3">
        <v>547</v>
      </c>
      <c r="I404" s="3">
        <v>613</v>
      </c>
      <c r="J404" s="3">
        <v>134</v>
      </c>
      <c r="K404" s="3">
        <v>106</v>
      </c>
      <c r="L404" s="3">
        <v>1800</v>
      </c>
      <c r="M404" s="4">
        <f t="shared" si="36"/>
        <v>0.95130434782608697</v>
      </c>
      <c r="N404" s="5">
        <f t="shared" si="37"/>
        <v>2.2121739130434781</v>
      </c>
      <c r="O404" s="3">
        <f t="shared" si="38"/>
        <v>28</v>
      </c>
      <c r="P404" s="3" t="str">
        <f t="shared" si="39"/>
        <v>Healthy</v>
      </c>
      <c r="Q404" s="3" t="str">
        <f t="shared" si="40"/>
        <v>Short Supply</v>
      </c>
      <c r="R404" s="6">
        <f t="shared" si="41"/>
        <v>190800</v>
      </c>
    </row>
    <row r="405" spans="1:18" x14ac:dyDescent="0.25">
      <c r="A405" s="2">
        <v>45901</v>
      </c>
      <c r="B405" s="3" t="s">
        <v>24</v>
      </c>
      <c r="C405" s="3" t="s">
        <v>25</v>
      </c>
      <c r="D405" s="3" t="s">
        <v>32</v>
      </c>
      <c r="E405" s="3" t="s">
        <v>27</v>
      </c>
      <c r="F405" s="3">
        <v>552</v>
      </c>
      <c r="G405" s="3">
        <v>550</v>
      </c>
      <c r="H405" s="3">
        <v>494</v>
      </c>
      <c r="I405" s="3">
        <v>535</v>
      </c>
      <c r="J405" s="3">
        <v>96</v>
      </c>
      <c r="K405" s="3">
        <v>38</v>
      </c>
      <c r="L405" s="3">
        <v>1800</v>
      </c>
      <c r="M405" s="4">
        <f t="shared" si="36"/>
        <v>0.89492753623188404</v>
      </c>
      <c r="N405" s="5">
        <f t="shared" si="37"/>
        <v>0.82608695652173914</v>
      </c>
      <c r="O405" s="3">
        <f t="shared" si="38"/>
        <v>58</v>
      </c>
      <c r="P405" s="3" t="str">
        <f t="shared" si="39"/>
        <v>Low</v>
      </c>
      <c r="Q405" s="3" t="str">
        <f t="shared" si="40"/>
        <v>Short Supply</v>
      </c>
      <c r="R405" s="6">
        <f t="shared" si="41"/>
        <v>68400</v>
      </c>
    </row>
    <row r="406" spans="1:18" x14ac:dyDescent="0.25">
      <c r="A406" s="2">
        <v>45901</v>
      </c>
      <c r="B406" s="3" t="s">
        <v>24</v>
      </c>
      <c r="C406" s="3" t="s">
        <v>25</v>
      </c>
      <c r="D406" s="3" t="s">
        <v>33</v>
      </c>
      <c r="E406" s="3" t="s">
        <v>34</v>
      </c>
      <c r="F406" s="3">
        <v>670</v>
      </c>
      <c r="G406" s="3">
        <v>742</v>
      </c>
      <c r="H406" s="3">
        <v>703</v>
      </c>
      <c r="I406" s="3">
        <v>637</v>
      </c>
      <c r="J406" s="3">
        <v>90</v>
      </c>
      <c r="K406" s="3">
        <v>123</v>
      </c>
      <c r="L406" s="3">
        <v>1800</v>
      </c>
      <c r="M406" s="4">
        <f t="shared" si="36"/>
        <v>1.0492537313432835</v>
      </c>
      <c r="N406" s="5">
        <f t="shared" si="37"/>
        <v>2.2029850746268655</v>
      </c>
      <c r="O406" s="3">
        <f t="shared" si="38"/>
        <v>-33</v>
      </c>
      <c r="P406" s="3" t="str">
        <f t="shared" si="39"/>
        <v>Healthy</v>
      </c>
      <c r="Q406" s="3" t="str">
        <f t="shared" si="40"/>
        <v>On Track</v>
      </c>
      <c r="R406" s="6">
        <f t="shared" si="41"/>
        <v>221400</v>
      </c>
    </row>
    <row r="407" spans="1:18" x14ac:dyDescent="0.25">
      <c r="A407" s="2">
        <v>45901</v>
      </c>
      <c r="B407" s="3" t="s">
        <v>35</v>
      </c>
      <c r="C407" s="3" t="s">
        <v>36</v>
      </c>
      <c r="D407" s="3" t="s">
        <v>26</v>
      </c>
      <c r="E407" s="3" t="s">
        <v>27</v>
      </c>
      <c r="F407" s="3">
        <v>805</v>
      </c>
      <c r="G407" s="3">
        <v>803</v>
      </c>
      <c r="H407" s="3">
        <v>786</v>
      </c>
      <c r="I407" s="3">
        <v>797</v>
      </c>
      <c r="J407" s="3">
        <v>73</v>
      </c>
      <c r="K407" s="3">
        <v>54</v>
      </c>
      <c r="L407" s="3">
        <v>1600</v>
      </c>
      <c r="M407" s="4">
        <f t="shared" si="36"/>
        <v>0.97639751552795029</v>
      </c>
      <c r="N407" s="5">
        <f t="shared" si="37"/>
        <v>0.8049689440993788</v>
      </c>
      <c r="O407" s="3">
        <f t="shared" si="38"/>
        <v>19</v>
      </c>
      <c r="P407" s="3" t="str">
        <f t="shared" si="39"/>
        <v>Low</v>
      </c>
      <c r="Q407" s="3" t="str">
        <f t="shared" si="40"/>
        <v>Short Supply</v>
      </c>
      <c r="R407" s="6">
        <f t="shared" si="41"/>
        <v>86400</v>
      </c>
    </row>
    <row r="408" spans="1:18" x14ac:dyDescent="0.25">
      <c r="A408" s="2">
        <v>45901</v>
      </c>
      <c r="B408" s="3" t="s">
        <v>35</v>
      </c>
      <c r="C408" s="3" t="s">
        <v>36</v>
      </c>
      <c r="D408" s="3" t="s">
        <v>28</v>
      </c>
      <c r="E408" s="3" t="s">
        <v>34</v>
      </c>
      <c r="F408" s="3">
        <v>701</v>
      </c>
      <c r="G408" s="3">
        <v>653</v>
      </c>
      <c r="H408" s="3">
        <v>577</v>
      </c>
      <c r="I408" s="3">
        <v>670</v>
      </c>
      <c r="J408" s="3">
        <v>83</v>
      </c>
      <c r="K408" s="3">
        <v>0</v>
      </c>
      <c r="L408" s="3">
        <v>1600</v>
      </c>
      <c r="M408" s="4">
        <f t="shared" si="36"/>
        <v>0.82310984308131241</v>
      </c>
      <c r="N408" s="5">
        <f t="shared" si="37"/>
        <v>0</v>
      </c>
      <c r="O408" s="3">
        <f t="shared" si="38"/>
        <v>124</v>
      </c>
      <c r="P408" s="3" t="str">
        <f t="shared" si="39"/>
        <v>Low</v>
      </c>
      <c r="Q408" s="3" t="str">
        <f t="shared" si="40"/>
        <v>Short Supply</v>
      </c>
      <c r="R408" s="6">
        <f t="shared" si="41"/>
        <v>0</v>
      </c>
    </row>
    <row r="409" spans="1:18" x14ac:dyDescent="0.25">
      <c r="A409" s="2">
        <v>45901</v>
      </c>
      <c r="B409" s="3" t="s">
        <v>35</v>
      </c>
      <c r="C409" s="3" t="s">
        <v>36</v>
      </c>
      <c r="D409" s="3" t="s">
        <v>30</v>
      </c>
      <c r="E409" s="3" t="s">
        <v>29</v>
      </c>
      <c r="F409" s="3">
        <v>488</v>
      </c>
      <c r="G409" s="3">
        <v>519</v>
      </c>
      <c r="H409" s="3">
        <v>492</v>
      </c>
      <c r="I409" s="3">
        <v>488</v>
      </c>
      <c r="J409" s="3">
        <v>105</v>
      </c>
      <c r="K409" s="3">
        <v>109</v>
      </c>
      <c r="L409" s="3">
        <v>1600</v>
      </c>
      <c r="M409" s="4">
        <f t="shared" si="36"/>
        <v>1.0081967213114753</v>
      </c>
      <c r="N409" s="5">
        <f t="shared" si="37"/>
        <v>2.680327868852459</v>
      </c>
      <c r="O409" s="3">
        <f t="shared" si="38"/>
        <v>-4</v>
      </c>
      <c r="P409" s="3" t="str">
        <f t="shared" si="39"/>
        <v>Healthy</v>
      </c>
      <c r="Q409" s="3" t="str">
        <f t="shared" si="40"/>
        <v>On Track</v>
      </c>
      <c r="R409" s="6">
        <f t="shared" si="41"/>
        <v>174400</v>
      </c>
    </row>
    <row r="410" spans="1:18" x14ac:dyDescent="0.25">
      <c r="A410" s="2">
        <v>45901</v>
      </c>
      <c r="B410" s="3" t="s">
        <v>35</v>
      </c>
      <c r="C410" s="3" t="s">
        <v>36</v>
      </c>
      <c r="D410" s="3" t="s">
        <v>32</v>
      </c>
      <c r="E410" s="3" t="s">
        <v>34</v>
      </c>
      <c r="F410" s="3">
        <v>478</v>
      </c>
      <c r="G410" s="3">
        <v>515</v>
      </c>
      <c r="H410" s="3">
        <v>479</v>
      </c>
      <c r="I410" s="3">
        <v>502</v>
      </c>
      <c r="J410" s="3">
        <v>63</v>
      </c>
      <c r="K410" s="3">
        <v>64</v>
      </c>
      <c r="L410" s="3">
        <v>1600</v>
      </c>
      <c r="M410" s="4">
        <f t="shared" si="36"/>
        <v>1.002092050209205</v>
      </c>
      <c r="N410" s="5">
        <f t="shared" si="37"/>
        <v>1.6066945606694558</v>
      </c>
      <c r="O410" s="3">
        <f t="shared" si="38"/>
        <v>-1</v>
      </c>
      <c r="P410" s="3" t="str">
        <f t="shared" si="39"/>
        <v>Medium</v>
      </c>
      <c r="Q410" s="3" t="str">
        <f t="shared" si="40"/>
        <v>On Track</v>
      </c>
      <c r="R410" s="6">
        <f t="shared" si="41"/>
        <v>102400</v>
      </c>
    </row>
    <row r="411" spans="1:18" x14ac:dyDescent="0.25">
      <c r="A411" s="2">
        <v>45901</v>
      </c>
      <c r="B411" s="3" t="s">
        <v>35</v>
      </c>
      <c r="C411" s="3" t="s">
        <v>36</v>
      </c>
      <c r="D411" s="3" t="s">
        <v>33</v>
      </c>
      <c r="E411" s="3" t="s">
        <v>29</v>
      </c>
      <c r="F411" s="3">
        <v>497</v>
      </c>
      <c r="G411" s="3">
        <v>555</v>
      </c>
      <c r="H411" s="3">
        <v>496</v>
      </c>
      <c r="I411" s="3">
        <v>523</v>
      </c>
      <c r="J411" s="3">
        <v>120</v>
      </c>
      <c r="K411" s="3">
        <v>119</v>
      </c>
      <c r="L411" s="3">
        <v>1600</v>
      </c>
      <c r="M411" s="4">
        <f t="shared" si="36"/>
        <v>0.99798792756539234</v>
      </c>
      <c r="N411" s="5">
        <f t="shared" si="37"/>
        <v>2.873239436619718</v>
      </c>
      <c r="O411" s="3">
        <f t="shared" si="38"/>
        <v>1</v>
      </c>
      <c r="P411" s="3" t="str">
        <f t="shared" si="39"/>
        <v>Healthy</v>
      </c>
      <c r="Q411" s="3" t="str">
        <f t="shared" si="40"/>
        <v>Short Supply</v>
      </c>
      <c r="R411" s="6">
        <f t="shared" si="41"/>
        <v>190400</v>
      </c>
    </row>
    <row r="412" spans="1:18" x14ac:dyDescent="0.25">
      <c r="A412" s="2">
        <v>45901</v>
      </c>
      <c r="B412" s="3" t="s">
        <v>37</v>
      </c>
      <c r="C412" s="3" t="s">
        <v>38</v>
      </c>
      <c r="D412" s="3" t="s">
        <v>26</v>
      </c>
      <c r="E412" s="3" t="s">
        <v>27</v>
      </c>
      <c r="F412" s="3">
        <v>779</v>
      </c>
      <c r="G412" s="3">
        <v>691</v>
      </c>
      <c r="H412" s="3">
        <v>633</v>
      </c>
      <c r="I412" s="3">
        <v>824</v>
      </c>
      <c r="J412" s="3">
        <v>66</v>
      </c>
      <c r="K412" s="3">
        <v>0</v>
      </c>
      <c r="L412" s="3">
        <v>1300</v>
      </c>
      <c r="M412" s="4">
        <f t="shared" si="36"/>
        <v>0.81258023106546851</v>
      </c>
      <c r="N412" s="5">
        <f t="shared" si="37"/>
        <v>0</v>
      </c>
      <c r="O412" s="3">
        <f t="shared" si="38"/>
        <v>146</v>
      </c>
      <c r="P412" s="3" t="str">
        <f t="shared" si="39"/>
        <v>Low</v>
      </c>
      <c r="Q412" s="3" t="str">
        <f t="shared" si="40"/>
        <v>Short Supply</v>
      </c>
      <c r="R412" s="6">
        <f t="shared" si="41"/>
        <v>0</v>
      </c>
    </row>
    <row r="413" spans="1:18" x14ac:dyDescent="0.25">
      <c r="A413" s="2">
        <v>45901</v>
      </c>
      <c r="B413" s="3" t="s">
        <v>37</v>
      </c>
      <c r="C413" s="3" t="s">
        <v>38</v>
      </c>
      <c r="D413" s="3" t="s">
        <v>28</v>
      </c>
      <c r="E413" s="3" t="s">
        <v>34</v>
      </c>
      <c r="F413" s="3">
        <v>590</v>
      </c>
      <c r="G413" s="3">
        <v>552</v>
      </c>
      <c r="H413" s="3">
        <v>548</v>
      </c>
      <c r="I413" s="3">
        <v>598</v>
      </c>
      <c r="J413" s="3">
        <v>88</v>
      </c>
      <c r="K413" s="3">
        <v>46</v>
      </c>
      <c r="L413" s="3">
        <v>1300</v>
      </c>
      <c r="M413" s="4">
        <f t="shared" si="36"/>
        <v>0.92881355932203391</v>
      </c>
      <c r="N413" s="5">
        <f t="shared" si="37"/>
        <v>0.93559322033898318</v>
      </c>
      <c r="O413" s="3">
        <f t="shared" si="38"/>
        <v>42</v>
      </c>
      <c r="P413" s="3" t="str">
        <f t="shared" si="39"/>
        <v>Low</v>
      </c>
      <c r="Q413" s="3" t="str">
        <f t="shared" si="40"/>
        <v>Short Supply</v>
      </c>
      <c r="R413" s="6">
        <f t="shared" si="41"/>
        <v>59800</v>
      </c>
    </row>
    <row r="414" spans="1:18" x14ac:dyDescent="0.25">
      <c r="A414" s="2">
        <v>45901</v>
      </c>
      <c r="B414" s="3" t="s">
        <v>37</v>
      </c>
      <c r="C414" s="3" t="s">
        <v>38</v>
      </c>
      <c r="D414" s="3" t="s">
        <v>30</v>
      </c>
      <c r="E414" s="3" t="s">
        <v>29</v>
      </c>
      <c r="F414" s="3">
        <v>364</v>
      </c>
      <c r="G414" s="3">
        <v>332</v>
      </c>
      <c r="H414" s="3">
        <v>301</v>
      </c>
      <c r="I414" s="3">
        <v>346</v>
      </c>
      <c r="J414" s="3">
        <v>64</v>
      </c>
      <c r="K414" s="3">
        <v>1</v>
      </c>
      <c r="L414" s="3">
        <v>1300</v>
      </c>
      <c r="M414" s="4">
        <f t="shared" si="36"/>
        <v>0.82692307692307687</v>
      </c>
      <c r="N414" s="5">
        <f t="shared" si="37"/>
        <v>3.2967032967032968E-2</v>
      </c>
      <c r="O414" s="3">
        <f t="shared" si="38"/>
        <v>63</v>
      </c>
      <c r="P414" s="3" t="str">
        <f t="shared" si="39"/>
        <v>Low</v>
      </c>
      <c r="Q414" s="3" t="str">
        <f t="shared" si="40"/>
        <v>Short Supply</v>
      </c>
      <c r="R414" s="6">
        <f t="shared" si="41"/>
        <v>1300</v>
      </c>
    </row>
    <row r="415" spans="1:18" x14ac:dyDescent="0.25">
      <c r="A415" s="2">
        <v>45901</v>
      </c>
      <c r="B415" s="3" t="s">
        <v>37</v>
      </c>
      <c r="C415" s="3" t="s">
        <v>38</v>
      </c>
      <c r="D415" s="3" t="s">
        <v>32</v>
      </c>
      <c r="E415" s="3" t="s">
        <v>29</v>
      </c>
      <c r="F415" s="3">
        <v>377</v>
      </c>
      <c r="G415" s="3">
        <v>385</v>
      </c>
      <c r="H415" s="3">
        <v>347</v>
      </c>
      <c r="I415" s="3">
        <v>405</v>
      </c>
      <c r="J415" s="3">
        <v>83</v>
      </c>
      <c r="K415" s="3">
        <v>53</v>
      </c>
      <c r="L415" s="3">
        <v>1300</v>
      </c>
      <c r="M415" s="4">
        <f t="shared" si="36"/>
        <v>0.92042440318302388</v>
      </c>
      <c r="N415" s="5">
        <f t="shared" si="37"/>
        <v>1.6870026525198938</v>
      </c>
      <c r="O415" s="3">
        <f t="shared" si="38"/>
        <v>30</v>
      </c>
      <c r="P415" s="3" t="str">
        <f t="shared" si="39"/>
        <v>Medium</v>
      </c>
      <c r="Q415" s="3" t="str">
        <f t="shared" si="40"/>
        <v>Short Supply</v>
      </c>
      <c r="R415" s="6">
        <f t="shared" si="41"/>
        <v>68900</v>
      </c>
    </row>
    <row r="416" spans="1:18" x14ac:dyDescent="0.25">
      <c r="A416" s="2">
        <v>45901</v>
      </c>
      <c r="B416" s="3" t="s">
        <v>37</v>
      </c>
      <c r="C416" s="3" t="s">
        <v>38</v>
      </c>
      <c r="D416" s="3" t="s">
        <v>33</v>
      </c>
      <c r="E416" s="3" t="s">
        <v>34</v>
      </c>
      <c r="F416" s="3">
        <v>471</v>
      </c>
      <c r="G416" s="3">
        <v>472</v>
      </c>
      <c r="H416" s="3">
        <v>474</v>
      </c>
      <c r="I416" s="3">
        <v>494</v>
      </c>
      <c r="J416" s="3">
        <v>70</v>
      </c>
      <c r="K416" s="3">
        <v>73</v>
      </c>
      <c r="L416" s="3">
        <v>1300</v>
      </c>
      <c r="M416" s="4">
        <f t="shared" si="36"/>
        <v>1.0063694267515924</v>
      </c>
      <c r="N416" s="5">
        <f t="shared" si="37"/>
        <v>1.8598726114649682</v>
      </c>
      <c r="O416" s="3">
        <f t="shared" si="38"/>
        <v>-3</v>
      </c>
      <c r="P416" s="3" t="str">
        <f t="shared" si="39"/>
        <v>Medium</v>
      </c>
      <c r="Q416" s="3" t="str">
        <f t="shared" si="40"/>
        <v>On Track</v>
      </c>
      <c r="R416" s="6">
        <f t="shared" si="41"/>
        <v>94900</v>
      </c>
    </row>
    <row r="417" spans="1:18" x14ac:dyDescent="0.25">
      <c r="A417" s="2">
        <v>45901</v>
      </c>
      <c r="B417" s="3" t="s">
        <v>39</v>
      </c>
      <c r="C417" s="3" t="s">
        <v>40</v>
      </c>
      <c r="D417" s="3" t="s">
        <v>26</v>
      </c>
      <c r="E417" s="3" t="s">
        <v>31</v>
      </c>
      <c r="F417" s="3">
        <v>1040</v>
      </c>
      <c r="G417" s="3">
        <v>1162</v>
      </c>
      <c r="H417" s="3">
        <v>1163</v>
      </c>
      <c r="I417" s="3">
        <v>977</v>
      </c>
      <c r="J417" s="3">
        <v>129</v>
      </c>
      <c r="K417" s="3">
        <v>252</v>
      </c>
      <c r="L417" s="3">
        <v>1700</v>
      </c>
      <c r="M417" s="4">
        <f t="shared" si="36"/>
        <v>1.1182692307692308</v>
      </c>
      <c r="N417" s="5">
        <f t="shared" si="37"/>
        <v>2.9076923076923076</v>
      </c>
      <c r="O417" s="3">
        <f t="shared" si="38"/>
        <v>-123</v>
      </c>
      <c r="P417" s="3" t="str">
        <f t="shared" si="39"/>
        <v>Healthy</v>
      </c>
      <c r="Q417" s="3" t="str">
        <f t="shared" si="40"/>
        <v>On Track</v>
      </c>
      <c r="R417" s="6">
        <f t="shared" si="41"/>
        <v>428400</v>
      </c>
    </row>
    <row r="418" spans="1:18" x14ac:dyDescent="0.25">
      <c r="A418" s="2">
        <v>45901</v>
      </c>
      <c r="B418" s="3" t="s">
        <v>39</v>
      </c>
      <c r="C418" s="3" t="s">
        <v>40</v>
      </c>
      <c r="D418" s="3" t="s">
        <v>28</v>
      </c>
      <c r="E418" s="3" t="s">
        <v>31</v>
      </c>
      <c r="F418" s="3">
        <v>642</v>
      </c>
      <c r="G418" s="3">
        <v>614</v>
      </c>
      <c r="H418" s="3">
        <v>561</v>
      </c>
      <c r="I418" s="3">
        <v>677</v>
      </c>
      <c r="J418" s="3">
        <v>91</v>
      </c>
      <c r="K418" s="3">
        <v>10</v>
      </c>
      <c r="L418" s="3">
        <v>1700</v>
      </c>
      <c r="M418" s="4">
        <f t="shared" si="36"/>
        <v>0.87383177570093462</v>
      </c>
      <c r="N418" s="5">
        <f t="shared" si="37"/>
        <v>0.18691588785046728</v>
      </c>
      <c r="O418" s="3">
        <f t="shared" si="38"/>
        <v>81</v>
      </c>
      <c r="P418" s="3" t="str">
        <f t="shared" si="39"/>
        <v>Low</v>
      </c>
      <c r="Q418" s="3" t="str">
        <f t="shared" si="40"/>
        <v>Short Supply</v>
      </c>
      <c r="R418" s="6">
        <f t="shared" si="41"/>
        <v>17000</v>
      </c>
    </row>
    <row r="419" spans="1:18" x14ac:dyDescent="0.25">
      <c r="A419" s="2">
        <v>45901</v>
      </c>
      <c r="B419" s="3" t="s">
        <v>39</v>
      </c>
      <c r="C419" s="3" t="s">
        <v>40</v>
      </c>
      <c r="D419" s="3" t="s">
        <v>30</v>
      </c>
      <c r="E419" s="3" t="s">
        <v>27</v>
      </c>
      <c r="F419" s="3">
        <v>546</v>
      </c>
      <c r="G419" s="3">
        <v>515</v>
      </c>
      <c r="H419" s="3">
        <v>483</v>
      </c>
      <c r="I419" s="3">
        <v>541</v>
      </c>
      <c r="J419" s="3">
        <v>110</v>
      </c>
      <c r="K419" s="3">
        <v>47</v>
      </c>
      <c r="L419" s="3">
        <v>1700</v>
      </c>
      <c r="M419" s="4">
        <f t="shared" si="36"/>
        <v>0.88461538461538458</v>
      </c>
      <c r="N419" s="5">
        <f t="shared" si="37"/>
        <v>1.0329670329670328</v>
      </c>
      <c r="O419" s="3">
        <f t="shared" si="38"/>
        <v>63</v>
      </c>
      <c r="P419" s="3" t="str">
        <f t="shared" si="39"/>
        <v>Medium</v>
      </c>
      <c r="Q419" s="3" t="str">
        <f t="shared" si="40"/>
        <v>Short Supply</v>
      </c>
      <c r="R419" s="6">
        <f t="shared" si="41"/>
        <v>79900</v>
      </c>
    </row>
    <row r="420" spans="1:18" x14ac:dyDescent="0.25">
      <c r="A420" s="2">
        <v>45901</v>
      </c>
      <c r="B420" s="3" t="s">
        <v>39</v>
      </c>
      <c r="C420" s="3" t="s">
        <v>40</v>
      </c>
      <c r="D420" s="3" t="s">
        <v>32</v>
      </c>
      <c r="E420" s="3" t="s">
        <v>34</v>
      </c>
      <c r="F420" s="3">
        <v>478</v>
      </c>
      <c r="G420" s="3">
        <v>506</v>
      </c>
      <c r="H420" s="3">
        <v>494</v>
      </c>
      <c r="I420" s="3">
        <v>506</v>
      </c>
      <c r="J420" s="3">
        <v>96</v>
      </c>
      <c r="K420" s="3">
        <v>112</v>
      </c>
      <c r="L420" s="3">
        <v>1700</v>
      </c>
      <c r="M420" s="4">
        <f t="shared" si="36"/>
        <v>1.0334728033472804</v>
      </c>
      <c r="N420" s="5">
        <f t="shared" si="37"/>
        <v>2.8117154811715483</v>
      </c>
      <c r="O420" s="3">
        <f t="shared" si="38"/>
        <v>-16</v>
      </c>
      <c r="P420" s="3" t="str">
        <f t="shared" si="39"/>
        <v>Healthy</v>
      </c>
      <c r="Q420" s="3" t="str">
        <f t="shared" si="40"/>
        <v>On Track</v>
      </c>
      <c r="R420" s="6">
        <f t="shared" si="41"/>
        <v>190400</v>
      </c>
    </row>
    <row r="421" spans="1:18" x14ac:dyDescent="0.25">
      <c r="A421" s="2">
        <v>45901</v>
      </c>
      <c r="B421" s="3" t="s">
        <v>39</v>
      </c>
      <c r="C421" s="3" t="s">
        <v>40</v>
      </c>
      <c r="D421" s="3" t="s">
        <v>33</v>
      </c>
      <c r="E421" s="3" t="s">
        <v>34</v>
      </c>
      <c r="F421" s="3">
        <v>519</v>
      </c>
      <c r="G421" s="3">
        <v>457</v>
      </c>
      <c r="H421" s="3">
        <v>451</v>
      </c>
      <c r="I421" s="3">
        <v>538</v>
      </c>
      <c r="J421" s="3">
        <v>118</v>
      </c>
      <c r="K421" s="3">
        <v>50</v>
      </c>
      <c r="L421" s="3">
        <v>1700</v>
      </c>
      <c r="M421" s="4">
        <f t="shared" si="36"/>
        <v>0.86897880539499039</v>
      </c>
      <c r="N421" s="5">
        <f t="shared" si="37"/>
        <v>1.1560693641618498</v>
      </c>
      <c r="O421" s="3">
        <f t="shared" si="38"/>
        <v>68</v>
      </c>
      <c r="P421" s="3" t="str">
        <f t="shared" si="39"/>
        <v>Medium</v>
      </c>
      <c r="Q421" s="3" t="str">
        <f t="shared" si="40"/>
        <v>Short Supply</v>
      </c>
      <c r="R421" s="6">
        <f t="shared" si="41"/>
        <v>85000</v>
      </c>
    </row>
    <row r="422" spans="1:18" x14ac:dyDescent="0.25">
      <c r="A422" s="2">
        <v>45901</v>
      </c>
      <c r="B422" s="3" t="s">
        <v>41</v>
      </c>
      <c r="C422" s="3" t="s">
        <v>42</v>
      </c>
      <c r="D422" s="3" t="s">
        <v>26</v>
      </c>
      <c r="E422" s="3" t="s">
        <v>34</v>
      </c>
      <c r="F422" s="3">
        <v>596</v>
      </c>
      <c r="G422" s="3">
        <v>624</v>
      </c>
      <c r="H422" s="3">
        <v>623</v>
      </c>
      <c r="I422" s="3">
        <v>624</v>
      </c>
      <c r="J422" s="3">
        <v>91</v>
      </c>
      <c r="K422" s="3">
        <v>118</v>
      </c>
      <c r="L422" s="3">
        <v>1200</v>
      </c>
      <c r="M422" s="4">
        <f t="shared" si="36"/>
        <v>1.0453020134228188</v>
      </c>
      <c r="N422" s="5">
        <f t="shared" si="37"/>
        <v>2.3758389261744965</v>
      </c>
      <c r="O422" s="3">
        <f t="shared" si="38"/>
        <v>-27</v>
      </c>
      <c r="P422" s="3" t="str">
        <f t="shared" si="39"/>
        <v>Healthy</v>
      </c>
      <c r="Q422" s="3" t="str">
        <f t="shared" si="40"/>
        <v>On Track</v>
      </c>
      <c r="R422" s="6">
        <f t="shared" si="41"/>
        <v>141600</v>
      </c>
    </row>
    <row r="423" spans="1:18" x14ac:dyDescent="0.25">
      <c r="A423" s="2">
        <v>45901</v>
      </c>
      <c r="B423" s="3" t="s">
        <v>41</v>
      </c>
      <c r="C423" s="3" t="s">
        <v>42</v>
      </c>
      <c r="D423" s="3" t="s">
        <v>28</v>
      </c>
      <c r="E423" s="3" t="s">
        <v>31</v>
      </c>
      <c r="F423" s="3">
        <v>489</v>
      </c>
      <c r="G423" s="3">
        <v>488</v>
      </c>
      <c r="H423" s="3">
        <v>451</v>
      </c>
      <c r="I423" s="3">
        <v>472</v>
      </c>
      <c r="J423" s="3">
        <v>103</v>
      </c>
      <c r="K423" s="3">
        <v>65</v>
      </c>
      <c r="L423" s="3">
        <v>1200</v>
      </c>
      <c r="M423" s="4">
        <f t="shared" si="36"/>
        <v>0.92229038854805723</v>
      </c>
      <c r="N423" s="5">
        <f t="shared" si="37"/>
        <v>1.5950920245398772</v>
      </c>
      <c r="O423" s="3">
        <f t="shared" si="38"/>
        <v>38</v>
      </c>
      <c r="P423" s="3" t="str">
        <f t="shared" si="39"/>
        <v>Medium</v>
      </c>
      <c r="Q423" s="3" t="str">
        <f t="shared" si="40"/>
        <v>Short Supply</v>
      </c>
      <c r="R423" s="6">
        <f t="shared" si="41"/>
        <v>78000</v>
      </c>
    </row>
    <row r="424" spans="1:18" x14ac:dyDescent="0.25">
      <c r="A424" s="2">
        <v>45901</v>
      </c>
      <c r="B424" s="3" t="s">
        <v>41</v>
      </c>
      <c r="C424" s="3" t="s">
        <v>42</v>
      </c>
      <c r="D424" s="3" t="s">
        <v>30</v>
      </c>
      <c r="E424" s="3" t="s">
        <v>27</v>
      </c>
      <c r="F424" s="3">
        <v>337</v>
      </c>
      <c r="G424" s="3">
        <v>335</v>
      </c>
      <c r="H424" s="3">
        <v>310</v>
      </c>
      <c r="I424" s="3">
        <v>346</v>
      </c>
      <c r="J424" s="3">
        <v>63</v>
      </c>
      <c r="K424" s="3">
        <v>36</v>
      </c>
      <c r="L424" s="3">
        <v>1200</v>
      </c>
      <c r="M424" s="4">
        <f t="shared" si="36"/>
        <v>0.91988130563798221</v>
      </c>
      <c r="N424" s="5">
        <f t="shared" si="37"/>
        <v>1.2818991097922847</v>
      </c>
      <c r="O424" s="3">
        <f t="shared" si="38"/>
        <v>27</v>
      </c>
      <c r="P424" s="3" t="str">
        <f t="shared" si="39"/>
        <v>Medium</v>
      </c>
      <c r="Q424" s="3" t="str">
        <f t="shared" si="40"/>
        <v>Short Supply</v>
      </c>
      <c r="R424" s="6">
        <f t="shared" si="41"/>
        <v>43200</v>
      </c>
    </row>
    <row r="425" spans="1:18" x14ac:dyDescent="0.25">
      <c r="A425" s="2">
        <v>45901</v>
      </c>
      <c r="B425" s="3" t="s">
        <v>41</v>
      </c>
      <c r="C425" s="3" t="s">
        <v>42</v>
      </c>
      <c r="D425" s="3" t="s">
        <v>32</v>
      </c>
      <c r="E425" s="3" t="s">
        <v>34</v>
      </c>
      <c r="F425" s="3">
        <v>317</v>
      </c>
      <c r="G425" s="3">
        <v>342</v>
      </c>
      <c r="H425" s="3">
        <v>301</v>
      </c>
      <c r="I425" s="3">
        <v>338</v>
      </c>
      <c r="J425" s="3">
        <v>72</v>
      </c>
      <c r="K425" s="3">
        <v>56</v>
      </c>
      <c r="L425" s="3">
        <v>1200</v>
      </c>
      <c r="M425" s="4">
        <f t="shared" si="36"/>
        <v>0.94952681388012616</v>
      </c>
      <c r="N425" s="5">
        <f t="shared" si="37"/>
        <v>2.1198738170347005</v>
      </c>
      <c r="O425" s="3">
        <f t="shared" si="38"/>
        <v>16</v>
      </c>
      <c r="P425" s="3" t="str">
        <f t="shared" si="39"/>
        <v>Healthy</v>
      </c>
      <c r="Q425" s="3" t="str">
        <f t="shared" si="40"/>
        <v>Short Supply</v>
      </c>
      <c r="R425" s="6">
        <f t="shared" si="41"/>
        <v>67200</v>
      </c>
    </row>
    <row r="426" spans="1:18" x14ac:dyDescent="0.25">
      <c r="A426" s="2">
        <v>45901</v>
      </c>
      <c r="B426" s="3" t="s">
        <v>41</v>
      </c>
      <c r="C426" s="3" t="s">
        <v>42</v>
      </c>
      <c r="D426" s="3" t="s">
        <v>33</v>
      </c>
      <c r="E426" s="3" t="s">
        <v>29</v>
      </c>
      <c r="F426" s="3">
        <v>288</v>
      </c>
      <c r="G426" s="3">
        <v>319</v>
      </c>
      <c r="H426" s="3">
        <v>289</v>
      </c>
      <c r="I426" s="3">
        <v>296</v>
      </c>
      <c r="J426" s="3">
        <v>70</v>
      </c>
      <c r="K426" s="3">
        <v>71</v>
      </c>
      <c r="L426" s="3">
        <v>1200</v>
      </c>
      <c r="M426" s="4">
        <f t="shared" si="36"/>
        <v>1.0034722222222223</v>
      </c>
      <c r="N426" s="5">
        <f t="shared" si="37"/>
        <v>2.9583333333333335</v>
      </c>
      <c r="O426" s="3">
        <f t="shared" si="38"/>
        <v>-1</v>
      </c>
      <c r="P426" s="3" t="str">
        <f t="shared" si="39"/>
        <v>Healthy</v>
      </c>
      <c r="Q426" s="3" t="str">
        <f t="shared" si="40"/>
        <v>On Track</v>
      </c>
      <c r="R426" s="6">
        <f t="shared" si="41"/>
        <v>85200</v>
      </c>
    </row>
    <row r="427" spans="1:18" x14ac:dyDescent="0.25">
      <c r="A427" s="2">
        <v>45901</v>
      </c>
      <c r="B427" s="3" t="s">
        <v>43</v>
      </c>
      <c r="C427" s="3" t="s">
        <v>44</v>
      </c>
      <c r="D427" s="3" t="s">
        <v>26</v>
      </c>
      <c r="E427" s="3" t="s">
        <v>29</v>
      </c>
      <c r="F427" s="3">
        <v>686</v>
      </c>
      <c r="G427" s="3">
        <v>757</v>
      </c>
      <c r="H427" s="3">
        <v>695</v>
      </c>
      <c r="I427" s="3">
        <v>702</v>
      </c>
      <c r="J427" s="3">
        <v>80</v>
      </c>
      <c r="K427" s="3">
        <v>89</v>
      </c>
      <c r="L427" s="3">
        <v>1400</v>
      </c>
      <c r="M427" s="4">
        <f t="shared" si="36"/>
        <v>1.0131195335276968</v>
      </c>
      <c r="N427" s="5">
        <f t="shared" si="37"/>
        <v>1.5568513119533527</v>
      </c>
      <c r="O427" s="3">
        <f t="shared" si="38"/>
        <v>-9</v>
      </c>
      <c r="P427" s="3" t="str">
        <f t="shared" si="39"/>
        <v>Medium</v>
      </c>
      <c r="Q427" s="3" t="str">
        <f t="shared" si="40"/>
        <v>On Track</v>
      </c>
      <c r="R427" s="6">
        <f t="shared" si="41"/>
        <v>124600</v>
      </c>
    </row>
    <row r="428" spans="1:18" x14ac:dyDescent="0.25">
      <c r="A428" s="2">
        <v>45901</v>
      </c>
      <c r="B428" s="3" t="s">
        <v>43</v>
      </c>
      <c r="C428" s="3" t="s">
        <v>44</v>
      </c>
      <c r="D428" s="3" t="s">
        <v>28</v>
      </c>
      <c r="E428" s="3" t="s">
        <v>31</v>
      </c>
      <c r="F428" s="3">
        <v>624</v>
      </c>
      <c r="G428" s="3">
        <v>646</v>
      </c>
      <c r="H428" s="3">
        <v>573</v>
      </c>
      <c r="I428" s="3">
        <v>636</v>
      </c>
      <c r="J428" s="3">
        <v>118</v>
      </c>
      <c r="K428" s="3">
        <v>67</v>
      </c>
      <c r="L428" s="3">
        <v>1400</v>
      </c>
      <c r="M428" s="4">
        <f t="shared" si="36"/>
        <v>0.91826923076923073</v>
      </c>
      <c r="N428" s="5">
        <f t="shared" si="37"/>
        <v>1.2884615384615383</v>
      </c>
      <c r="O428" s="3">
        <f t="shared" si="38"/>
        <v>51</v>
      </c>
      <c r="P428" s="3" t="str">
        <f t="shared" si="39"/>
        <v>Medium</v>
      </c>
      <c r="Q428" s="3" t="str">
        <f t="shared" si="40"/>
        <v>Short Supply</v>
      </c>
      <c r="R428" s="6">
        <f t="shared" si="41"/>
        <v>93800</v>
      </c>
    </row>
    <row r="429" spans="1:18" x14ac:dyDescent="0.25">
      <c r="A429" s="2">
        <v>45901</v>
      </c>
      <c r="B429" s="3" t="s">
        <v>43</v>
      </c>
      <c r="C429" s="3" t="s">
        <v>44</v>
      </c>
      <c r="D429" s="3" t="s">
        <v>30</v>
      </c>
      <c r="E429" s="3" t="s">
        <v>31</v>
      </c>
      <c r="F429" s="3">
        <v>432</v>
      </c>
      <c r="G429" s="3">
        <v>389</v>
      </c>
      <c r="H429" s="3">
        <v>347</v>
      </c>
      <c r="I429" s="3">
        <v>412</v>
      </c>
      <c r="J429" s="3">
        <v>66</v>
      </c>
      <c r="K429" s="3">
        <v>0</v>
      </c>
      <c r="L429" s="3">
        <v>1400</v>
      </c>
      <c r="M429" s="4">
        <f t="shared" si="36"/>
        <v>0.8032407407407407</v>
      </c>
      <c r="N429" s="5">
        <f t="shared" si="37"/>
        <v>0</v>
      </c>
      <c r="O429" s="3">
        <f t="shared" si="38"/>
        <v>85</v>
      </c>
      <c r="P429" s="3" t="str">
        <f t="shared" si="39"/>
        <v>Low</v>
      </c>
      <c r="Q429" s="3" t="str">
        <f t="shared" si="40"/>
        <v>Short Supply</v>
      </c>
      <c r="R429" s="6">
        <f t="shared" si="41"/>
        <v>0</v>
      </c>
    </row>
    <row r="430" spans="1:18" x14ac:dyDescent="0.25">
      <c r="A430" s="2">
        <v>45901</v>
      </c>
      <c r="B430" s="3" t="s">
        <v>43</v>
      </c>
      <c r="C430" s="3" t="s">
        <v>44</v>
      </c>
      <c r="D430" s="3" t="s">
        <v>32</v>
      </c>
      <c r="E430" s="3" t="s">
        <v>34</v>
      </c>
      <c r="F430" s="3">
        <v>410</v>
      </c>
      <c r="G430" s="3">
        <v>404</v>
      </c>
      <c r="H430" s="3">
        <v>355</v>
      </c>
      <c r="I430" s="3">
        <v>399</v>
      </c>
      <c r="J430" s="3">
        <v>69</v>
      </c>
      <c r="K430" s="3">
        <v>14</v>
      </c>
      <c r="L430" s="3">
        <v>1400</v>
      </c>
      <c r="M430" s="4">
        <f t="shared" si="36"/>
        <v>0.86585365853658536</v>
      </c>
      <c r="N430" s="5">
        <f t="shared" si="37"/>
        <v>0.40975609756097564</v>
      </c>
      <c r="O430" s="3">
        <f t="shared" si="38"/>
        <v>55</v>
      </c>
      <c r="P430" s="3" t="str">
        <f t="shared" si="39"/>
        <v>Low</v>
      </c>
      <c r="Q430" s="3" t="str">
        <f t="shared" si="40"/>
        <v>Short Supply</v>
      </c>
      <c r="R430" s="6">
        <f t="shared" si="41"/>
        <v>19600</v>
      </c>
    </row>
    <row r="431" spans="1:18" x14ac:dyDescent="0.25">
      <c r="A431" s="2">
        <v>45901</v>
      </c>
      <c r="B431" s="3" t="s">
        <v>43</v>
      </c>
      <c r="C431" s="3" t="s">
        <v>44</v>
      </c>
      <c r="D431" s="3" t="s">
        <v>33</v>
      </c>
      <c r="E431" s="3" t="s">
        <v>27</v>
      </c>
      <c r="F431" s="3">
        <v>479</v>
      </c>
      <c r="G431" s="3">
        <v>476</v>
      </c>
      <c r="H431" s="3">
        <v>434</v>
      </c>
      <c r="I431" s="3">
        <v>447</v>
      </c>
      <c r="J431" s="3">
        <v>124</v>
      </c>
      <c r="K431" s="3">
        <v>79</v>
      </c>
      <c r="L431" s="3">
        <v>1400</v>
      </c>
      <c r="M431" s="4">
        <f t="shared" si="36"/>
        <v>0.90605427974947805</v>
      </c>
      <c r="N431" s="5">
        <f t="shared" si="37"/>
        <v>1.9791231732776615</v>
      </c>
      <c r="O431" s="3">
        <f t="shared" si="38"/>
        <v>45</v>
      </c>
      <c r="P431" s="3" t="str">
        <f t="shared" si="39"/>
        <v>Medium</v>
      </c>
      <c r="Q431" s="3" t="str">
        <f t="shared" si="40"/>
        <v>Short Supply</v>
      </c>
      <c r="R431" s="6">
        <f t="shared" si="41"/>
        <v>110600</v>
      </c>
    </row>
    <row r="432" spans="1:18" x14ac:dyDescent="0.25">
      <c r="A432" s="2">
        <v>45901</v>
      </c>
      <c r="B432" s="3" t="s">
        <v>45</v>
      </c>
      <c r="C432" s="3" t="s">
        <v>46</v>
      </c>
      <c r="D432" s="3" t="s">
        <v>26</v>
      </c>
      <c r="E432" s="3" t="s">
        <v>31</v>
      </c>
      <c r="F432" s="3">
        <v>601</v>
      </c>
      <c r="G432" s="3">
        <v>655</v>
      </c>
      <c r="H432" s="3">
        <v>588</v>
      </c>
      <c r="I432" s="3">
        <v>627</v>
      </c>
      <c r="J432" s="3">
        <v>120</v>
      </c>
      <c r="K432" s="3">
        <v>107</v>
      </c>
      <c r="L432" s="3">
        <v>1500</v>
      </c>
      <c r="M432" s="4">
        <f t="shared" si="36"/>
        <v>0.97836938435940102</v>
      </c>
      <c r="N432" s="5">
        <f t="shared" si="37"/>
        <v>2.1364392678868551</v>
      </c>
      <c r="O432" s="3">
        <f t="shared" si="38"/>
        <v>13</v>
      </c>
      <c r="P432" s="3" t="str">
        <f t="shared" si="39"/>
        <v>Healthy</v>
      </c>
      <c r="Q432" s="3" t="str">
        <f t="shared" si="40"/>
        <v>Short Supply</v>
      </c>
      <c r="R432" s="6">
        <f t="shared" si="41"/>
        <v>160500</v>
      </c>
    </row>
    <row r="433" spans="1:18" x14ac:dyDescent="0.25">
      <c r="A433" s="2">
        <v>45901</v>
      </c>
      <c r="B433" s="3" t="s">
        <v>45</v>
      </c>
      <c r="C433" s="3" t="s">
        <v>46</v>
      </c>
      <c r="D433" s="3" t="s">
        <v>28</v>
      </c>
      <c r="E433" s="3" t="s">
        <v>31</v>
      </c>
      <c r="F433" s="3">
        <v>516</v>
      </c>
      <c r="G433" s="3">
        <v>537</v>
      </c>
      <c r="H433" s="3">
        <v>477</v>
      </c>
      <c r="I433" s="3">
        <v>521</v>
      </c>
      <c r="J433" s="3">
        <v>108</v>
      </c>
      <c r="K433" s="3">
        <v>69</v>
      </c>
      <c r="L433" s="3">
        <v>1500</v>
      </c>
      <c r="M433" s="4">
        <f t="shared" si="36"/>
        <v>0.92441860465116277</v>
      </c>
      <c r="N433" s="5">
        <f t="shared" si="37"/>
        <v>1.6046511627906974</v>
      </c>
      <c r="O433" s="3">
        <f t="shared" si="38"/>
        <v>39</v>
      </c>
      <c r="P433" s="3" t="str">
        <f t="shared" si="39"/>
        <v>Medium</v>
      </c>
      <c r="Q433" s="3" t="str">
        <f t="shared" si="40"/>
        <v>Short Supply</v>
      </c>
      <c r="R433" s="6">
        <f t="shared" si="41"/>
        <v>103500</v>
      </c>
    </row>
    <row r="434" spans="1:18" x14ac:dyDescent="0.25">
      <c r="A434" s="2">
        <v>45901</v>
      </c>
      <c r="B434" s="3" t="s">
        <v>45</v>
      </c>
      <c r="C434" s="3" t="s">
        <v>46</v>
      </c>
      <c r="D434" s="3" t="s">
        <v>30</v>
      </c>
      <c r="E434" s="3" t="s">
        <v>34</v>
      </c>
      <c r="F434" s="3">
        <v>361</v>
      </c>
      <c r="G434" s="3">
        <v>380</v>
      </c>
      <c r="H434" s="3">
        <v>367</v>
      </c>
      <c r="I434" s="3">
        <v>340</v>
      </c>
      <c r="J434" s="3">
        <v>92</v>
      </c>
      <c r="K434" s="3">
        <v>98</v>
      </c>
      <c r="L434" s="3">
        <v>1500</v>
      </c>
      <c r="M434" s="4">
        <f t="shared" si="36"/>
        <v>1.0166204986149585</v>
      </c>
      <c r="N434" s="5">
        <f t="shared" si="37"/>
        <v>3.2576177285318559</v>
      </c>
      <c r="O434" s="3">
        <f t="shared" si="38"/>
        <v>-6</v>
      </c>
      <c r="P434" s="3" t="str">
        <f t="shared" si="39"/>
        <v>Healthy</v>
      </c>
      <c r="Q434" s="3" t="str">
        <f t="shared" si="40"/>
        <v>On Track</v>
      </c>
      <c r="R434" s="6">
        <f t="shared" si="41"/>
        <v>147000</v>
      </c>
    </row>
    <row r="435" spans="1:18" x14ac:dyDescent="0.25">
      <c r="A435" s="2">
        <v>45901</v>
      </c>
      <c r="B435" s="3" t="s">
        <v>45</v>
      </c>
      <c r="C435" s="3" t="s">
        <v>46</v>
      </c>
      <c r="D435" s="3" t="s">
        <v>32</v>
      </c>
      <c r="E435" s="3" t="s">
        <v>34</v>
      </c>
      <c r="F435" s="3">
        <v>376</v>
      </c>
      <c r="G435" s="3">
        <v>338</v>
      </c>
      <c r="H435" s="3">
        <v>302</v>
      </c>
      <c r="I435" s="3">
        <v>391</v>
      </c>
      <c r="J435" s="3">
        <v>107</v>
      </c>
      <c r="K435" s="3">
        <v>33</v>
      </c>
      <c r="L435" s="3">
        <v>1500</v>
      </c>
      <c r="M435" s="4">
        <f t="shared" si="36"/>
        <v>0.80319148936170215</v>
      </c>
      <c r="N435" s="5">
        <f t="shared" si="37"/>
        <v>1.0531914893617023</v>
      </c>
      <c r="O435" s="3">
        <f t="shared" si="38"/>
        <v>74</v>
      </c>
      <c r="P435" s="3" t="str">
        <f t="shared" si="39"/>
        <v>Medium</v>
      </c>
      <c r="Q435" s="3" t="str">
        <f t="shared" si="40"/>
        <v>Short Supply</v>
      </c>
      <c r="R435" s="6">
        <f t="shared" si="41"/>
        <v>49500</v>
      </c>
    </row>
    <row r="436" spans="1:18" x14ac:dyDescent="0.25">
      <c r="A436" s="2">
        <v>45901</v>
      </c>
      <c r="B436" s="3" t="s">
        <v>45</v>
      </c>
      <c r="C436" s="3" t="s">
        <v>46</v>
      </c>
      <c r="D436" s="3" t="s">
        <v>33</v>
      </c>
      <c r="E436" s="3" t="s">
        <v>31</v>
      </c>
      <c r="F436" s="3">
        <v>360</v>
      </c>
      <c r="G436" s="3">
        <v>353</v>
      </c>
      <c r="H436" s="3">
        <v>349</v>
      </c>
      <c r="I436" s="3">
        <v>345</v>
      </c>
      <c r="J436" s="3">
        <v>111</v>
      </c>
      <c r="K436" s="3">
        <v>100</v>
      </c>
      <c r="L436" s="3">
        <v>1500</v>
      </c>
      <c r="M436" s="4">
        <f t="shared" si="36"/>
        <v>0.96944444444444444</v>
      </c>
      <c r="N436" s="5">
        <f t="shared" si="37"/>
        <v>3.3333333333333335</v>
      </c>
      <c r="O436" s="3">
        <f t="shared" si="38"/>
        <v>11</v>
      </c>
      <c r="P436" s="3" t="str">
        <f t="shared" si="39"/>
        <v>Healthy</v>
      </c>
      <c r="Q436" s="3" t="str">
        <f t="shared" si="40"/>
        <v>Short Supply</v>
      </c>
      <c r="R436" s="6">
        <f t="shared" si="41"/>
        <v>150000</v>
      </c>
    </row>
    <row r="437" spans="1:18" x14ac:dyDescent="0.25">
      <c r="A437" s="2">
        <v>45901</v>
      </c>
      <c r="B437" s="3" t="s">
        <v>47</v>
      </c>
      <c r="C437" s="3" t="s">
        <v>48</v>
      </c>
      <c r="D437" s="3" t="s">
        <v>26</v>
      </c>
      <c r="E437" s="3" t="s">
        <v>29</v>
      </c>
      <c r="F437" s="3">
        <v>679</v>
      </c>
      <c r="G437" s="3">
        <v>695</v>
      </c>
      <c r="H437" s="3">
        <v>670</v>
      </c>
      <c r="I437" s="3">
        <v>709</v>
      </c>
      <c r="J437" s="3">
        <v>115</v>
      </c>
      <c r="K437" s="3">
        <v>106</v>
      </c>
      <c r="L437" s="3">
        <v>1250</v>
      </c>
      <c r="M437" s="4">
        <f t="shared" si="36"/>
        <v>0.98674521354933731</v>
      </c>
      <c r="N437" s="5">
        <f t="shared" si="37"/>
        <v>1.8733431516936672</v>
      </c>
      <c r="O437" s="3">
        <f t="shared" si="38"/>
        <v>9</v>
      </c>
      <c r="P437" s="3" t="str">
        <f t="shared" si="39"/>
        <v>Medium</v>
      </c>
      <c r="Q437" s="3" t="str">
        <f t="shared" si="40"/>
        <v>Short Supply</v>
      </c>
      <c r="R437" s="6">
        <f t="shared" si="41"/>
        <v>132500</v>
      </c>
    </row>
    <row r="438" spans="1:18" x14ac:dyDescent="0.25">
      <c r="A438" s="2">
        <v>45901</v>
      </c>
      <c r="B438" s="3" t="s">
        <v>47</v>
      </c>
      <c r="C438" s="3" t="s">
        <v>48</v>
      </c>
      <c r="D438" s="3" t="s">
        <v>28</v>
      </c>
      <c r="E438" s="3" t="s">
        <v>31</v>
      </c>
      <c r="F438" s="3">
        <v>474</v>
      </c>
      <c r="G438" s="3">
        <v>486</v>
      </c>
      <c r="H438" s="3">
        <v>440</v>
      </c>
      <c r="I438" s="3">
        <v>465</v>
      </c>
      <c r="J438" s="3">
        <v>111</v>
      </c>
      <c r="K438" s="3">
        <v>77</v>
      </c>
      <c r="L438" s="3">
        <v>1250</v>
      </c>
      <c r="M438" s="4">
        <f t="shared" si="36"/>
        <v>0.92827004219409281</v>
      </c>
      <c r="N438" s="5">
        <f t="shared" si="37"/>
        <v>1.9493670886075947</v>
      </c>
      <c r="O438" s="3">
        <f t="shared" si="38"/>
        <v>34</v>
      </c>
      <c r="P438" s="3" t="str">
        <f t="shared" si="39"/>
        <v>Medium</v>
      </c>
      <c r="Q438" s="3" t="str">
        <f t="shared" si="40"/>
        <v>Short Supply</v>
      </c>
      <c r="R438" s="6">
        <f t="shared" si="41"/>
        <v>96250</v>
      </c>
    </row>
    <row r="439" spans="1:18" x14ac:dyDescent="0.25">
      <c r="A439" s="2">
        <v>45901</v>
      </c>
      <c r="B439" s="3" t="s">
        <v>47</v>
      </c>
      <c r="C439" s="3" t="s">
        <v>48</v>
      </c>
      <c r="D439" s="3" t="s">
        <v>30</v>
      </c>
      <c r="E439" s="3" t="s">
        <v>27</v>
      </c>
      <c r="F439" s="3">
        <v>385</v>
      </c>
      <c r="G439" s="3">
        <v>349</v>
      </c>
      <c r="H439" s="3">
        <v>331</v>
      </c>
      <c r="I439" s="3">
        <v>390</v>
      </c>
      <c r="J439" s="3">
        <v>102</v>
      </c>
      <c r="K439" s="3">
        <v>48</v>
      </c>
      <c r="L439" s="3">
        <v>1250</v>
      </c>
      <c r="M439" s="4">
        <f t="shared" si="36"/>
        <v>0.85974025974025969</v>
      </c>
      <c r="N439" s="5">
        <f t="shared" si="37"/>
        <v>1.4961038961038962</v>
      </c>
      <c r="O439" s="3">
        <f t="shared" si="38"/>
        <v>54</v>
      </c>
      <c r="P439" s="3" t="str">
        <f t="shared" si="39"/>
        <v>Medium</v>
      </c>
      <c r="Q439" s="3" t="str">
        <f t="shared" si="40"/>
        <v>Short Supply</v>
      </c>
      <c r="R439" s="6">
        <f t="shared" si="41"/>
        <v>60000</v>
      </c>
    </row>
    <row r="440" spans="1:18" x14ac:dyDescent="0.25">
      <c r="A440" s="2">
        <v>45901</v>
      </c>
      <c r="B440" s="3" t="s">
        <v>47</v>
      </c>
      <c r="C440" s="3" t="s">
        <v>48</v>
      </c>
      <c r="D440" s="3" t="s">
        <v>32</v>
      </c>
      <c r="E440" s="3" t="s">
        <v>29</v>
      </c>
      <c r="F440" s="3">
        <v>408</v>
      </c>
      <c r="G440" s="3">
        <v>450</v>
      </c>
      <c r="H440" s="3">
        <v>404</v>
      </c>
      <c r="I440" s="3">
        <v>431</v>
      </c>
      <c r="J440" s="3">
        <v>105</v>
      </c>
      <c r="K440" s="3">
        <v>101</v>
      </c>
      <c r="L440" s="3">
        <v>1250</v>
      </c>
      <c r="M440" s="4">
        <f t="shared" si="36"/>
        <v>0.99019607843137258</v>
      </c>
      <c r="N440" s="5">
        <f t="shared" si="37"/>
        <v>2.9705882352941178</v>
      </c>
      <c r="O440" s="3">
        <f t="shared" si="38"/>
        <v>4</v>
      </c>
      <c r="P440" s="3" t="str">
        <f t="shared" si="39"/>
        <v>Healthy</v>
      </c>
      <c r="Q440" s="3" t="str">
        <f t="shared" si="40"/>
        <v>Short Supply</v>
      </c>
      <c r="R440" s="6">
        <f t="shared" si="41"/>
        <v>126250</v>
      </c>
    </row>
    <row r="441" spans="1:18" x14ac:dyDescent="0.25">
      <c r="A441" s="2">
        <v>45901</v>
      </c>
      <c r="B441" s="3" t="s">
        <v>47</v>
      </c>
      <c r="C441" s="3" t="s">
        <v>48</v>
      </c>
      <c r="D441" s="3" t="s">
        <v>33</v>
      </c>
      <c r="E441" s="3" t="s">
        <v>27</v>
      </c>
      <c r="F441" s="3">
        <v>401</v>
      </c>
      <c r="G441" s="3">
        <v>369</v>
      </c>
      <c r="H441" s="3">
        <v>349</v>
      </c>
      <c r="I441" s="3">
        <v>432</v>
      </c>
      <c r="J441" s="3">
        <v>65</v>
      </c>
      <c r="K441" s="3">
        <v>13</v>
      </c>
      <c r="L441" s="3">
        <v>1250</v>
      </c>
      <c r="M441" s="4">
        <f t="shared" si="36"/>
        <v>0.87032418952618451</v>
      </c>
      <c r="N441" s="5">
        <f t="shared" si="37"/>
        <v>0.38902743142144636</v>
      </c>
      <c r="O441" s="3">
        <f t="shared" si="38"/>
        <v>52</v>
      </c>
      <c r="P441" s="3" t="str">
        <f t="shared" si="39"/>
        <v>Low</v>
      </c>
      <c r="Q441" s="3" t="str">
        <f t="shared" si="40"/>
        <v>Short Supply</v>
      </c>
      <c r="R441" s="6">
        <f t="shared" si="41"/>
        <v>16250</v>
      </c>
    </row>
    <row r="442" spans="1:18" x14ac:dyDescent="0.25">
      <c r="A442" s="2">
        <v>45901</v>
      </c>
      <c r="B442" s="3" t="s">
        <v>49</v>
      </c>
      <c r="C442" s="3" t="s">
        <v>50</v>
      </c>
      <c r="D442" s="3" t="s">
        <v>26</v>
      </c>
      <c r="E442" s="3" t="s">
        <v>29</v>
      </c>
      <c r="F442" s="3">
        <v>816</v>
      </c>
      <c r="G442" s="3">
        <v>760</v>
      </c>
      <c r="H442" s="3">
        <v>766</v>
      </c>
      <c r="I442" s="3">
        <v>874</v>
      </c>
      <c r="J442" s="3">
        <v>91</v>
      </c>
      <c r="K442" s="3">
        <v>41</v>
      </c>
      <c r="L442" s="3">
        <v>1750</v>
      </c>
      <c r="M442" s="4">
        <f t="shared" si="36"/>
        <v>0.93872549019607843</v>
      </c>
      <c r="N442" s="5">
        <f t="shared" si="37"/>
        <v>0.60294117647058831</v>
      </c>
      <c r="O442" s="3">
        <f t="shared" si="38"/>
        <v>50</v>
      </c>
      <c r="P442" s="3" t="str">
        <f t="shared" si="39"/>
        <v>Low</v>
      </c>
      <c r="Q442" s="3" t="str">
        <f t="shared" si="40"/>
        <v>Short Supply</v>
      </c>
      <c r="R442" s="6">
        <f t="shared" si="41"/>
        <v>71750</v>
      </c>
    </row>
    <row r="443" spans="1:18" x14ac:dyDescent="0.25">
      <c r="A443" s="2">
        <v>45901</v>
      </c>
      <c r="B443" s="3" t="s">
        <v>49</v>
      </c>
      <c r="C443" s="3" t="s">
        <v>50</v>
      </c>
      <c r="D443" s="3" t="s">
        <v>28</v>
      </c>
      <c r="E443" s="3" t="s">
        <v>31</v>
      </c>
      <c r="F443" s="3">
        <v>772</v>
      </c>
      <c r="G443" s="3">
        <v>772</v>
      </c>
      <c r="H443" s="3">
        <v>724</v>
      </c>
      <c r="I443" s="3">
        <v>796</v>
      </c>
      <c r="J443" s="3">
        <v>66</v>
      </c>
      <c r="K443" s="3">
        <v>18</v>
      </c>
      <c r="L443" s="3">
        <v>1750</v>
      </c>
      <c r="M443" s="4">
        <f t="shared" si="36"/>
        <v>0.93782383419689119</v>
      </c>
      <c r="N443" s="5">
        <f t="shared" si="37"/>
        <v>0.27979274611398963</v>
      </c>
      <c r="O443" s="3">
        <f t="shared" si="38"/>
        <v>48</v>
      </c>
      <c r="P443" s="3" t="str">
        <f t="shared" si="39"/>
        <v>Low</v>
      </c>
      <c r="Q443" s="3" t="str">
        <f t="shared" si="40"/>
        <v>Short Supply</v>
      </c>
      <c r="R443" s="6">
        <f t="shared" si="41"/>
        <v>31500</v>
      </c>
    </row>
    <row r="444" spans="1:18" x14ac:dyDescent="0.25">
      <c r="A444" s="2">
        <v>45901</v>
      </c>
      <c r="B444" s="3" t="s">
        <v>49</v>
      </c>
      <c r="C444" s="3" t="s">
        <v>50</v>
      </c>
      <c r="D444" s="3" t="s">
        <v>30</v>
      </c>
      <c r="E444" s="3" t="s">
        <v>29</v>
      </c>
      <c r="F444" s="3">
        <v>515</v>
      </c>
      <c r="G444" s="3">
        <v>491</v>
      </c>
      <c r="H444" s="3">
        <v>467</v>
      </c>
      <c r="I444" s="3">
        <v>490</v>
      </c>
      <c r="J444" s="3">
        <v>124</v>
      </c>
      <c r="K444" s="3">
        <v>76</v>
      </c>
      <c r="L444" s="3">
        <v>1750</v>
      </c>
      <c r="M444" s="4">
        <f t="shared" si="36"/>
        <v>0.90679611650485437</v>
      </c>
      <c r="N444" s="5">
        <f t="shared" si="37"/>
        <v>1.7708737864077668</v>
      </c>
      <c r="O444" s="3">
        <f t="shared" si="38"/>
        <v>48</v>
      </c>
      <c r="P444" s="3" t="str">
        <f t="shared" si="39"/>
        <v>Medium</v>
      </c>
      <c r="Q444" s="3" t="str">
        <f t="shared" si="40"/>
        <v>Short Supply</v>
      </c>
      <c r="R444" s="6">
        <f t="shared" si="41"/>
        <v>133000</v>
      </c>
    </row>
    <row r="445" spans="1:18" x14ac:dyDescent="0.25">
      <c r="A445" s="2">
        <v>45901</v>
      </c>
      <c r="B445" s="3" t="s">
        <v>49</v>
      </c>
      <c r="C445" s="3" t="s">
        <v>50</v>
      </c>
      <c r="D445" s="3" t="s">
        <v>32</v>
      </c>
      <c r="E445" s="3" t="s">
        <v>34</v>
      </c>
      <c r="F445" s="3">
        <v>493</v>
      </c>
      <c r="G445" s="3">
        <v>508</v>
      </c>
      <c r="H445" s="3">
        <v>506</v>
      </c>
      <c r="I445" s="3">
        <v>507</v>
      </c>
      <c r="J445" s="3">
        <v>65</v>
      </c>
      <c r="K445" s="3">
        <v>78</v>
      </c>
      <c r="L445" s="3">
        <v>1750</v>
      </c>
      <c r="M445" s="4">
        <f t="shared" si="36"/>
        <v>1.026369168356998</v>
      </c>
      <c r="N445" s="5">
        <f t="shared" si="37"/>
        <v>1.898580121703854</v>
      </c>
      <c r="O445" s="3">
        <f t="shared" si="38"/>
        <v>-13</v>
      </c>
      <c r="P445" s="3" t="str">
        <f t="shared" si="39"/>
        <v>Medium</v>
      </c>
      <c r="Q445" s="3" t="str">
        <f t="shared" si="40"/>
        <v>On Track</v>
      </c>
      <c r="R445" s="6">
        <f t="shared" si="41"/>
        <v>136500</v>
      </c>
    </row>
    <row r="446" spans="1:18" x14ac:dyDescent="0.25">
      <c r="A446" s="2">
        <v>45901</v>
      </c>
      <c r="B446" s="3" t="s">
        <v>49</v>
      </c>
      <c r="C446" s="3" t="s">
        <v>50</v>
      </c>
      <c r="D446" s="3" t="s">
        <v>33</v>
      </c>
      <c r="E446" s="3" t="s">
        <v>34</v>
      </c>
      <c r="F446" s="3">
        <v>605</v>
      </c>
      <c r="G446" s="3">
        <v>655</v>
      </c>
      <c r="H446" s="3">
        <v>581</v>
      </c>
      <c r="I446" s="3">
        <v>564</v>
      </c>
      <c r="J446" s="3">
        <v>94</v>
      </c>
      <c r="K446" s="3">
        <v>70</v>
      </c>
      <c r="L446" s="3">
        <v>1750</v>
      </c>
      <c r="M446" s="4">
        <f t="shared" si="36"/>
        <v>0.96033057851239667</v>
      </c>
      <c r="N446" s="5">
        <f t="shared" si="37"/>
        <v>1.3884297520661157</v>
      </c>
      <c r="O446" s="3">
        <f t="shared" si="38"/>
        <v>24</v>
      </c>
      <c r="P446" s="3" t="str">
        <f t="shared" si="39"/>
        <v>Medium</v>
      </c>
      <c r="Q446" s="3" t="str">
        <f t="shared" si="40"/>
        <v>Short Supply</v>
      </c>
      <c r="R446" s="6">
        <f t="shared" si="41"/>
        <v>122500</v>
      </c>
    </row>
    <row r="447" spans="1:18" x14ac:dyDescent="0.25">
      <c r="A447" s="2">
        <v>45901</v>
      </c>
      <c r="B447" s="3" t="s">
        <v>51</v>
      </c>
      <c r="C447" s="3" t="s">
        <v>36</v>
      </c>
      <c r="D447" s="3" t="s">
        <v>26</v>
      </c>
      <c r="E447" s="3" t="s">
        <v>27</v>
      </c>
      <c r="F447" s="3">
        <v>757</v>
      </c>
      <c r="G447" s="3">
        <v>676</v>
      </c>
      <c r="H447" s="3">
        <v>657</v>
      </c>
      <c r="I447" s="3">
        <v>776</v>
      </c>
      <c r="J447" s="3">
        <v>74</v>
      </c>
      <c r="K447" s="3">
        <v>0</v>
      </c>
      <c r="L447" s="3">
        <v>1450</v>
      </c>
      <c r="M447" s="4">
        <f t="shared" si="36"/>
        <v>0.86789960369881114</v>
      </c>
      <c r="N447" s="5">
        <f t="shared" si="37"/>
        <v>0</v>
      </c>
      <c r="O447" s="3">
        <f t="shared" si="38"/>
        <v>100</v>
      </c>
      <c r="P447" s="3" t="str">
        <f t="shared" si="39"/>
        <v>Low</v>
      </c>
      <c r="Q447" s="3" t="str">
        <f t="shared" si="40"/>
        <v>Short Supply</v>
      </c>
      <c r="R447" s="6">
        <f t="shared" si="41"/>
        <v>0</v>
      </c>
    </row>
    <row r="448" spans="1:18" x14ac:dyDescent="0.25">
      <c r="A448" s="2">
        <v>45901</v>
      </c>
      <c r="B448" s="3" t="s">
        <v>51</v>
      </c>
      <c r="C448" s="3" t="s">
        <v>36</v>
      </c>
      <c r="D448" s="3" t="s">
        <v>28</v>
      </c>
      <c r="E448" s="3" t="s">
        <v>29</v>
      </c>
      <c r="F448" s="3">
        <v>605</v>
      </c>
      <c r="G448" s="3">
        <v>634</v>
      </c>
      <c r="H448" s="3">
        <v>572</v>
      </c>
      <c r="I448" s="3">
        <v>648</v>
      </c>
      <c r="J448" s="3">
        <v>101</v>
      </c>
      <c r="K448" s="3">
        <v>68</v>
      </c>
      <c r="L448" s="3">
        <v>1450</v>
      </c>
      <c r="M448" s="4">
        <f t="shared" si="36"/>
        <v>0.94545454545454544</v>
      </c>
      <c r="N448" s="5">
        <f t="shared" si="37"/>
        <v>1.3487603305785125</v>
      </c>
      <c r="O448" s="3">
        <f t="shared" si="38"/>
        <v>33</v>
      </c>
      <c r="P448" s="3" t="str">
        <f t="shared" si="39"/>
        <v>Medium</v>
      </c>
      <c r="Q448" s="3" t="str">
        <f t="shared" si="40"/>
        <v>Short Supply</v>
      </c>
      <c r="R448" s="6">
        <f t="shared" si="41"/>
        <v>98600</v>
      </c>
    </row>
    <row r="449" spans="1:18" x14ac:dyDescent="0.25">
      <c r="A449" s="2">
        <v>45901</v>
      </c>
      <c r="B449" s="3" t="s">
        <v>51</v>
      </c>
      <c r="C449" s="3" t="s">
        <v>36</v>
      </c>
      <c r="D449" s="3" t="s">
        <v>30</v>
      </c>
      <c r="E449" s="3" t="s">
        <v>27</v>
      </c>
      <c r="F449" s="3">
        <v>381</v>
      </c>
      <c r="G449" s="3">
        <v>346</v>
      </c>
      <c r="H449" s="3">
        <v>342</v>
      </c>
      <c r="I449" s="3">
        <v>366</v>
      </c>
      <c r="J449" s="3">
        <v>130</v>
      </c>
      <c r="K449" s="3">
        <v>91</v>
      </c>
      <c r="L449" s="3">
        <v>1450</v>
      </c>
      <c r="M449" s="4">
        <f t="shared" si="36"/>
        <v>0.89763779527559051</v>
      </c>
      <c r="N449" s="5">
        <f t="shared" si="37"/>
        <v>2.8661417322834648</v>
      </c>
      <c r="O449" s="3">
        <f t="shared" si="38"/>
        <v>39</v>
      </c>
      <c r="P449" s="3" t="str">
        <f t="shared" si="39"/>
        <v>Healthy</v>
      </c>
      <c r="Q449" s="3" t="str">
        <f t="shared" si="40"/>
        <v>Short Supply</v>
      </c>
      <c r="R449" s="6">
        <f t="shared" si="41"/>
        <v>131950</v>
      </c>
    </row>
    <row r="450" spans="1:18" x14ac:dyDescent="0.25">
      <c r="A450" s="2">
        <v>45901</v>
      </c>
      <c r="B450" s="3" t="s">
        <v>51</v>
      </c>
      <c r="C450" s="3" t="s">
        <v>36</v>
      </c>
      <c r="D450" s="3" t="s">
        <v>32</v>
      </c>
      <c r="E450" s="3" t="s">
        <v>27</v>
      </c>
      <c r="F450" s="3">
        <v>371</v>
      </c>
      <c r="G450" s="3">
        <v>364</v>
      </c>
      <c r="H450" s="3">
        <v>347</v>
      </c>
      <c r="I450" s="3">
        <v>356</v>
      </c>
      <c r="J450" s="3">
        <v>138</v>
      </c>
      <c r="K450" s="3">
        <v>114</v>
      </c>
      <c r="L450" s="3">
        <v>1450</v>
      </c>
      <c r="M450" s="4">
        <f t="shared" ref="M450:M513" si="42">IFERROR(H450/F450,0)</f>
        <v>0.93530997304582209</v>
      </c>
      <c r="N450" s="5">
        <f t="shared" ref="N450:N513" si="43">IFERROR(K450/F450*12,0)</f>
        <v>3.6873315363881405</v>
      </c>
      <c r="O450" s="3">
        <f t="shared" ref="O450:O513" si="44">F450-H450</f>
        <v>24</v>
      </c>
      <c r="P450" s="3" t="str">
        <f t="shared" ref="P450:P513" si="45">IF(N450&lt;1,"Low",IF(N450&lt;=2,"Medium","Healthy"))</f>
        <v>Healthy</v>
      </c>
      <c r="Q450" s="3" t="str">
        <f t="shared" ref="Q450:Q513" si="46">IF(H450&lt;F450,"Short Supply","On Track")</f>
        <v>Short Supply</v>
      </c>
      <c r="R450" s="6">
        <f t="shared" ref="R450:R513" si="47">K450*L450</f>
        <v>165300</v>
      </c>
    </row>
    <row r="451" spans="1:18" x14ac:dyDescent="0.25">
      <c r="A451" s="2">
        <v>45901</v>
      </c>
      <c r="B451" s="3" t="s">
        <v>51</v>
      </c>
      <c r="C451" s="3" t="s">
        <v>36</v>
      </c>
      <c r="D451" s="3" t="s">
        <v>33</v>
      </c>
      <c r="E451" s="3" t="s">
        <v>31</v>
      </c>
      <c r="F451" s="3">
        <v>433</v>
      </c>
      <c r="G451" s="3">
        <v>434</v>
      </c>
      <c r="H451" s="3">
        <v>385</v>
      </c>
      <c r="I451" s="3">
        <v>457</v>
      </c>
      <c r="J451" s="3">
        <v>73</v>
      </c>
      <c r="K451" s="3">
        <v>25</v>
      </c>
      <c r="L451" s="3">
        <v>1450</v>
      </c>
      <c r="M451" s="4">
        <f t="shared" si="42"/>
        <v>0.88914549653579678</v>
      </c>
      <c r="N451" s="5">
        <f t="shared" si="43"/>
        <v>0.69284064665127021</v>
      </c>
      <c r="O451" s="3">
        <f t="shared" si="44"/>
        <v>48</v>
      </c>
      <c r="P451" s="3" t="str">
        <f t="shared" si="45"/>
        <v>Low</v>
      </c>
      <c r="Q451" s="3" t="str">
        <f t="shared" si="46"/>
        <v>Short Supply</v>
      </c>
      <c r="R451" s="6">
        <f t="shared" si="47"/>
        <v>36250</v>
      </c>
    </row>
    <row r="452" spans="1:18" x14ac:dyDescent="0.25">
      <c r="A452" s="2">
        <v>45931</v>
      </c>
      <c r="B452" s="3" t="s">
        <v>24</v>
      </c>
      <c r="C452" s="3" t="s">
        <v>25</v>
      </c>
      <c r="D452" s="3" t="s">
        <v>26</v>
      </c>
      <c r="E452" s="3" t="s">
        <v>27</v>
      </c>
      <c r="F452" s="3">
        <v>1024</v>
      </c>
      <c r="G452" s="3">
        <v>926</v>
      </c>
      <c r="H452" s="3">
        <v>889</v>
      </c>
      <c r="I452" s="3">
        <v>1060</v>
      </c>
      <c r="J452" s="3">
        <v>78</v>
      </c>
      <c r="K452" s="3">
        <v>0</v>
      </c>
      <c r="L452" s="3">
        <v>1800</v>
      </c>
      <c r="M452" s="4">
        <f t="shared" si="42"/>
        <v>0.8681640625</v>
      </c>
      <c r="N452" s="5">
        <f t="shared" si="43"/>
        <v>0</v>
      </c>
      <c r="O452" s="3">
        <f t="shared" si="44"/>
        <v>135</v>
      </c>
      <c r="P452" s="3" t="str">
        <f t="shared" si="45"/>
        <v>Low</v>
      </c>
      <c r="Q452" s="3" t="str">
        <f t="shared" si="46"/>
        <v>Short Supply</v>
      </c>
      <c r="R452" s="6">
        <f t="shared" si="47"/>
        <v>0</v>
      </c>
    </row>
    <row r="453" spans="1:18" x14ac:dyDescent="0.25">
      <c r="A453" s="2">
        <v>45931</v>
      </c>
      <c r="B453" s="3" t="s">
        <v>24</v>
      </c>
      <c r="C453" s="3" t="s">
        <v>25</v>
      </c>
      <c r="D453" s="3" t="s">
        <v>28</v>
      </c>
      <c r="E453" s="3" t="s">
        <v>31</v>
      </c>
      <c r="F453" s="3">
        <v>742</v>
      </c>
      <c r="G453" s="3">
        <v>806</v>
      </c>
      <c r="H453" s="3">
        <v>736</v>
      </c>
      <c r="I453" s="3">
        <v>738</v>
      </c>
      <c r="J453" s="3">
        <v>90</v>
      </c>
      <c r="K453" s="3">
        <v>84</v>
      </c>
      <c r="L453" s="3">
        <v>1800</v>
      </c>
      <c r="M453" s="4">
        <f t="shared" si="42"/>
        <v>0.99191374663072773</v>
      </c>
      <c r="N453" s="5">
        <f t="shared" si="43"/>
        <v>1.358490566037736</v>
      </c>
      <c r="O453" s="3">
        <f t="shared" si="44"/>
        <v>6</v>
      </c>
      <c r="P453" s="3" t="str">
        <f t="shared" si="45"/>
        <v>Medium</v>
      </c>
      <c r="Q453" s="3" t="str">
        <f t="shared" si="46"/>
        <v>Short Supply</v>
      </c>
      <c r="R453" s="6">
        <f t="shared" si="47"/>
        <v>151200</v>
      </c>
    </row>
    <row r="454" spans="1:18" x14ac:dyDescent="0.25">
      <c r="A454" s="2">
        <v>45931</v>
      </c>
      <c r="B454" s="3" t="s">
        <v>24</v>
      </c>
      <c r="C454" s="3" t="s">
        <v>25</v>
      </c>
      <c r="D454" s="3" t="s">
        <v>30</v>
      </c>
      <c r="E454" s="3" t="s">
        <v>34</v>
      </c>
      <c r="F454" s="3">
        <v>577</v>
      </c>
      <c r="G454" s="3">
        <v>640</v>
      </c>
      <c r="H454" s="3">
        <v>566</v>
      </c>
      <c r="I454" s="3">
        <v>604</v>
      </c>
      <c r="J454" s="3">
        <v>117</v>
      </c>
      <c r="K454" s="3">
        <v>106</v>
      </c>
      <c r="L454" s="3">
        <v>1800</v>
      </c>
      <c r="M454" s="4">
        <f t="shared" si="42"/>
        <v>0.98093587521663783</v>
      </c>
      <c r="N454" s="5">
        <f t="shared" si="43"/>
        <v>2.2045060658578857</v>
      </c>
      <c r="O454" s="3">
        <f t="shared" si="44"/>
        <v>11</v>
      </c>
      <c r="P454" s="3" t="str">
        <f t="shared" si="45"/>
        <v>Healthy</v>
      </c>
      <c r="Q454" s="3" t="str">
        <f t="shared" si="46"/>
        <v>Short Supply</v>
      </c>
      <c r="R454" s="6">
        <f t="shared" si="47"/>
        <v>190800</v>
      </c>
    </row>
    <row r="455" spans="1:18" x14ac:dyDescent="0.25">
      <c r="A455" s="2">
        <v>45931</v>
      </c>
      <c r="B455" s="3" t="s">
        <v>24</v>
      </c>
      <c r="C455" s="3" t="s">
        <v>25</v>
      </c>
      <c r="D455" s="3" t="s">
        <v>32</v>
      </c>
      <c r="E455" s="3" t="s">
        <v>29</v>
      </c>
      <c r="F455" s="3">
        <v>541</v>
      </c>
      <c r="G455" s="3">
        <v>508</v>
      </c>
      <c r="H455" s="3">
        <v>512</v>
      </c>
      <c r="I455" s="3">
        <v>525</v>
      </c>
      <c r="J455" s="3">
        <v>126</v>
      </c>
      <c r="K455" s="3">
        <v>97</v>
      </c>
      <c r="L455" s="3">
        <v>1800</v>
      </c>
      <c r="M455" s="4">
        <f t="shared" si="42"/>
        <v>0.94639556377079481</v>
      </c>
      <c r="N455" s="5">
        <f t="shared" si="43"/>
        <v>2.1515711645101661</v>
      </c>
      <c r="O455" s="3">
        <f t="shared" si="44"/>
        <v>29</v>
      </c>
      <c r="P455" s="3" t="str">
        <f t="shared" si="45"/>
        <v>Healthy</v>
      </c>
      <c r="Q455" s="3" t="str">
        <f t="shared" si="46"/>
        <v>Short Supply</v>
      </c>
      <c r="R455" s="6">
        <f t="shared" si="47"/>
        <v>174600</v>
      </c>
    </row>
    <row r="456" spans="1:18" x14ac:dyDescent="0.25">
      <c r="A456" s="2">
        <v>45931</v>
      </c>
      <c r="B456" s="3" t="s">
        <v>24</v>
      </c>
      <c r="C456" s="3" t="s">
        <v>25</v>
      </c>
      <c r="D456" s="3" t="s">
        <v>33</v>
      </c>
      <c r="E456" s="3" t="s">
        <v>27</v>
      </c>
      <c r="F456" s="3">
        <v>580</v>
      </c>
      <c r="G456" s="3">
        <v>604</v>
      </c>
      <c r="H456" s="3">
        <v>535</v>
      </c>
      <c r="I456" s="3">
        <v>554</v>
      </c>
      <c r="J456" s="3">
        <v>101</v>
      </c>
      <c r="K456" s="3">
        <v>56</v>
      </c>
      <c r="L456" s="3">
        <v>1800</v>
      </c>
      <c r="M456" s="4">
        <f t="shared" si="42"/>
        <v>0.92241379310344829</v>
      </c>
      <c r="N456" s="5">
        <f t="shared" si="43"/>
        <v>1.1586206896551725</v>
      </c>
      <c r="O456" s="3">
        <f t="shared" si="44"/>
        <v>45</v>
      </c>
      <c r="P456" s="3" t="str">
        <f t="shared" si="45"/>
        <v>Medium</v>
      </c>
      <c r="Q456" s="3" t="str">
        <f t="shared" si="46"/>
        <v>Short Supply</v>
      </c>
      <c r="R456" s="6">
        <f t="shared" si="47"/>
        <v>100800</v>
      </c>
    </row>
    <row r="457" spans="1:18" x14ac:dyDescent="0.25">
      <c r="A457" s="2">
        <v>45931</v>
      </c>
      <c r="B457" s="3" t="s">
        <v>35</v>
      </c>
      <c r="C457" s="3" t="s">
        <v>36</v>
      </c>
      <c r="D457" s="3" t="s">
        <v>26</v>
      </c>
      <c r="E457" s="3" t="s">
        <v>29</v>
      </c>
      <c r="F457" s="3">
        <v>1020</v>
      </c>
      <c r="G457" s="3">
        <v>914</v>
      </c>
      <c r="H457" s="3">
        <v>863</v>
      </c>
      <c r="I457" s="3">
        <v>984</v>
      </c>
      <c r="J457" s="3">
        <v>127</v>
      </c>
      <c r="K457" s="3">
        <v>0</v>
      </c>
      <c r="L457" s="3">
        <v>1600</v>
      </c>
      <c r="M457" s="4">
        <f t="shared" si="42"/>
        <v>0.84607843137254901</v>
      </c>
      <c r="N457" s="5">
        <f t="shared" si="43"/>
        <v>0</v>
      </c>
      <c r="O457" s="3">
        <f t="shared" si="44"/>
        <v>157</v>
      </c>
      <c r="P457" s="3" t="str">
        <f t="shared" si="45"/>
        <v>Low</v>
      </c>
      <c r="Q457" s="3" t="str">
        <f t="shared" si="46"/>
        <v>Short Supply</v>
      </c>
      <c r="R457" s="6">
        <f t="shared" si="47"/>
        <v>0</v>
      </c>
    </row>
    <row r="458" spans="1:18" x14ac:dyDescent="0.25">
      <c r="A458" s="2">
        <v>45931</v>
      </c>
      <c r="B458" s="3" t="s">
        <v>35</v>
      </c>
      <c r="C458" s="3" t="s">
        <v>36</v>
      </c>
      <c r="D458" s="3" t="s">
        <v>28</v>
      </c>
      <c r="E458" s="3" t="s">
        <v>31</v>
      </c>
      <c r="F458" s="3">
        <v>612</v>
      </c>
      <c r="G458" s="3">
        <v>605</v>
      </c>
      <c r="H458" s="3">
        <v>563</v>
      </c>
      <c r="I458" s="3">
        <v>591</v>
      </c>
      <c r="J458" s="3">
        <v>122</v>
      </c>
      <c r="K458" s="3">
        <v>73</v>
      </c>
      <c r="L458" s="3">
        <v>1600</v>
      </c>
      <c r="M458" s="4">
        <f t="shared" si="42"/>
        <v>0.91993464052287577</v>
      </c>
      <c r="N458" s="5">
        <f t="shared" si="43"/>
        <v>1.4313725490196079</v>
      </c>
      <c r="O458" s="3">
        <f t="shared" si="44"/>
        <v>49</v>
      </c>
      <c r="P458" s="3" t="str">
        <f t="shared" si="45"/>
        <v>Medium</v>
      </c>
      <c r="Q458" s="3" t="str">
        <f t="shared" si="46"/>
        <v>Short Supply</v>
      </c>
      <c r="R458" s="6">
        <f t="shared" si="47"/>
        <v>116800</v>
      </c>
    </row>
    <row r="459" spans="1:18" x14ac:dyDescent="0.25">
      <c r="A459" s="2">
        <v>45931</v>
      </c>
      <c r="B459" s="3" t="s">
        <v>35</v>
      </c>
      <c r="C459" s="3" t="s">
        <v>36</v>
      </c>
      <c r="D459" s="3" t="s">
        <v>30</v>
      </c>
      <c r="E459" s="3" t="s">
        <v>31</v>
      </c>
      <c r="F459" s="3">
        <v>513</v>
      </c>
      <c r="G459" s="3">
        <v>524</v>
      </c>
      <c r="H459" s="3">
        <v>497</v>
      </c>
      <c r="I459" s="3">
        <v>535</v>
      </c>
      <c r="J459" s="3">
        <v>75</v>
      </c>
      <c r="K459" s="3">
        <v>59</v>
      </c>
      <c r="L459" s="3">
        <v>1600</v>
      </c>
      <c r="M459" s="4">
        <f t="shared" si="42"/>
        <v>0.96881091617933723</v>
      </c>
      <c r="N459" s="5">
        <f t="shared" si="43"/>
        <v>1.3801169590643274</v>
      </c>
      <c r="O459" s="3">
        <f t="shared" si="44"/>
        <v>16</v>
      </c>
      <c r="P459" s="3" t="str">
        <f t="shared" si="45"/>
        <v>Medium</v>
      </c>
      <c r="Q459" s="3" t="str">
        <f t="shared" si="46"/>
        <v>Short Supply</v>
      </c>
      <c r="R459" s="6">
        <f t="shared" si="47"/>
        <v>94400</v>
      </c>
    </row>
    <row r="460" spans="1:18" x14ac:dyDescent="0.25">
      <c r="A460" s="2">
        <v>45931</v>
      </c>
      <c r="B460" s="3" t="s">
        <v>35</v>
      </c>
      <c r="C460" s="3" t="s">
        <v>36</v>
      </c>
      <c r="D460" s="3" t="s">
        <v>32</v>
      </c>
      <c r="E460" s="3" t="s">
        <v>27</v>
      </c>
      <c r="F460" s="3">
        <v>428</v>
      </c>
      <c r="G460" s="3">
        <v>472</v>
      </c>
      <c r="H460" s="3">
        <v>416</v>
      </c>
      <c r="I460" s="3">
        <v>430</v>
      </c>
      <c r="J460" s="3">
        <v>110</v>
      </c>
      <c r="K460" s="3">
        <v>98</v>
      </c>
      <c r="L460" s="3">
        <v>1600</v>
      </c>
      <c r="M460" s="4">
        <f t="shared" si="42"/>
        <v>0.9719626168224299</v>
      </c>
      <c r="N460" s="5">
        <f t="shared" si="43"/>
        <v>2.7476635514018692</v>
      </c>
      <c r="O460" s="3">
        <f t="shared" si="44"/>
        <v>12</v>
      </c>
      <c r="P460" s="3" t="str">
        <f t="shared" si="45"/>
        <v>Healthy</v>
      </c>
      <c r="Q460" s="3" t="str">
        <f t="shared" si="46"/>
        <v>Short Supply</v>
      </c>
      <c r="R460" s="6">
        <f t="shared" si="47"/>
        <v>156800</v>
      </c>
    </row>
    <row r="461" spans="1:18" x14ac:dyDescent="0.25">
      <c r="A461" s="2">
        <v>45931</v>
      </c>
      <c r="B461" s="3" t="s">
        <v>35</v>
      </c>
      <c r="C461" s="3" t="s">
        <v>36</v>
      </c>
      <c r="D461" s="3" t="s">
        <v>33</v>
      </c>
      <c r="E461" s="3" t="s">
        <v>27</v>
      </c>
      <c r="F461" s="3">
        <v>604</v>
      </c>
      <c r="G461" s="3">
        <v>531</v>
      </c>
      <c r="H461" s="3">
        <v>516</v>
      </c>
      <c r="I461" s="3">
        <v>637</v>
      </c>
      <c r="J461" s="3">
        <v>118</v>
      </c>
      <c r="K461" s="3">
        <v>30</v>
      </c>
      <c r="L461" s="3">
        <v>1600</v>
      </c>
      <c r="M461" s="4">
        <f t="shared" si="42"/>
        <v>0.85430463576158944</v>
      </c>
      <c r="N461" s="5">
        <f t="shared" si="43"/>
        <v>0.5960264900662251</v>
      </c>
      <c r="O461" s="3">
        <f t="shared" si="44"/>
        <v>88</v>
      </c>
      <c r="P461" s="3" t="str">
        <f t="shared" si="45"/>
        <v>Low</v>
      </c>
      <c r="Q461" s="3" t="str">
        <f t="shared" si="46"/>
        <v>Short Supply</v>
      </c>
      <c r="R461" s="6">
        <f t="shared" si="47"/>
        <v>48000</v>
      </c>
    </row>
    <row r="462" spans="1:18" x14ac:dyDescent="0.25">
      <c r="A462" s="2">
        <v>45931</v>
      </c>
      <c r="B462" s="3" t="s">
        <v>37</v>
      </c>
      <c r="C462" s="3" t="s">
        <v>38</v>
      </c>
      <c r="D462" s="3" t="s">
        <v>26</v>
      </c>
      <c r="E462" s="3" t="s">
        <v>31</v>
      </c>
      <c r="F462" s="3">
        <v>693</v>
      </c>
      <c r="G462" s="3">
        <v>773</v>
      </c>
      <c r="H462" s="3">
        <v>725</v>
      </c>
      <c r="I462" s="3">
        <v>744</v>
      </c>
      <c r="J462" s="3">
        <v>137</v>
      </c>
      <c r="K462" s="3">
        <v>169</v>
      </c>
      <c r="L462" s="3">
        <v>1300</v>
      </c>
      <c r="M462" s="4">
        <f t="shared" si="42"/>
        <v>1.0461760461760461</v>
      </c>
      <c r="N462" s="5">
        <f t="shared" si="43"/>
        <v>2.9264069264069263</v>
      </c>
      <c r="O462" s="3">
        <f t="shared" si="44"/>
        <v>-32</v>
      </c>
      <c r="P462" s="3" t="str">
        <f t="shared" si="45"/>
        <v>Healthy</v>
      </c>
      <c r="Q462" s="3" t="str">
        <f t="shared" si="46"/>
        <v>On Track</v>
      </c>
      <c r="R462" s="6">
        <f t="shared" si="47"/>
        <v>219700</v>
      </c>
    </row>
    <row r="463" spans="1:18" x14ac:dyDescent="0.25">
      <c r="A463" s="2">
        <v>45931</v>
      </c>
      <c r="B463" s="3" t="s">
        <v>37</v>
      </c>
      <c r="C463" s="3" t="s">
        <v>38</v>
      </c>
      <c r="D463" s="3" t="s">
        <v>28</v>
      </c>
      <c r="E463" s="3" t="s">
        <v>29</v>
      </c>
      <c r="F463" s="3">
        <v>628</v>
      </c>
      <c r="G463" s="3">
        <v>566</v>
      </c>
      <c r="H463" s="3">
        <v>571</v>
      </c>
      <c r="I463" s="3">
        <v>667</v>
      </c>
      <c r="J463" s="3">
        <v>101</v>
      </c>
      <c r="K463" s="3">
        <v>44</v>
      </c>
      <c r="L463" s="3">
        <v>1300</v>
      </c>
      <c r="M463" s="4">
        <f t="shared" si="42"/>
        <v>0.90923566878980888</v>
      </c>
      <c r="N463" s="5">
        <f t="shared" si="43"/>
        <v>0.84076433121019112</v>
      </c>
      <c r="O463" s="3">
        <f t="shared" si="44"/>
        <v>57</v>
      </c>
      <c r="P463" s="3" t="str">
        <f t="shared" si="45"/>
        <v>Low</v>
      </c>
      <c r="Q463" s="3" t="str">
        <f t="shared" si="46"/>
        <v>Short Supply</v>
      </c>
      <c r="R463" s="6">
        <f t="shared" si="47"/>
        <v>57200</v>
      </c>
    </row>
    <row r="464" spans="1:18" x14ac:dyDescent="0.25">
      <c r="A464" s="2">
        <v>45931</v>
      </c>
      <c r="B464" s="3" t="s">
        <v>37</v>
      </c>
      <c r="C464" s="3" t="s">
        <v>38</v>
      </c>
      <c r="D464" s="3" t="s">
        <v>30</v>
      </c>
      <c r="E464" s="3" t="s">
        <v>34</v>
      </c>
      <c r="F464" s="3">
        <v>433</v>
      </c>
      <c r="G464" s="3">
        <v>458</v>
      </c>
      <c r="H464" s="3">
        <v>440</v>
      </c>
      <c r="I464" s="3">
        <v>433</v>
      </c>
      <c r="J464" s="3">
        <v>110</v>
      </c>
      <c r="K464" s="3">
        <v>117</v>
      </c>
      <c r="L464" s="3">
        <v>1300</v>
      </c>
      <c r="M464" s="4">
        <f t="shared" si="42"/>
        <v>1.0161662817551964</v>
      </c>
      <c r="N464" s="5">
        <f t="shared" si="43"/>
        <v>3.2424942263279446</v>
      </c>
      <c r="O464" s="3">
        <f t="shared" si="44"/>
        <v>-7</v>
      </c>
      <c r="P464" s="3" t="str">
        <f t="shared" si="45"/>
        <v>Healthy</v>
      </c>
      <c r="Q464" s="3" t="str">
        <f t="shared" si="46"/>
        <v>On Track</v>
      </c>
      <c r="R464" s="6">
        <f t="shared" si="47"/>
        <v>152100</v>
      </c>
    </row>
    <row r="465" spans="1:18" x14ac:dyDescent="0.25">
      <c r="A465" s="2">
        <v>45931</v>
      </c>
      <c r="B465" s="3" t="s">
        <v>37</v>
      </c>
      <c r="C465" s="3" t="s">
        <v>38</v>
      </c>
      <c r="D465" s="3" t="s">
        <v>32</v>
      </c>
      <c r="E465" s="3" t="s">
        <v>29</v>
      </c>
      <c r="F465" s="3">
        <v>353</v>
      </c>
      <c r="G465" s="3">
        <v>358</v>
      </c>
      <c r="H465" s="3">
        <v>336</v>
      </c>
      <c r="I465" s="3">
        <v>379</v>
      </c>
      <c r="J465" s="3">
        <v>78</v>
      </c>
      <c r="K465" s="3">
        <v>61</v>
      </c>
      <c r="L465" s="3">
        <v>1300</v>
      </c>
      <c r="M465" s="4">
        <f t="shared" si="42"/>
        <v>0.95184135977337114</v>
      </c>
      <c r="N465" s="5">
        <f t="shared" si="43"/>
        <v>2.0736543909348439</v>
      </c>
      <c r="O465" s="3">
        <f t="shared" si="44"/>
        <v>17</v>
      </c>
      <c r="P465" s="3" t="str">
        <f t="shared" si="45"/>
        <v>Healthy</v>
      </c>
      <c r="Q465" s="3" t="str">
        <f t="shared" si="46"/>
        <v>Short Supply</v>
      </c>
      <c r="R465" s="6">
        <f t="shared" si="47"/>
        <v>79300</v>
      </c>
    </row>
    <row r="466" spans="1:18" x14ac:dyDescent="0.25">
      <c r="A466" s="2">
        <v>45931</v>
      </c>
      <c r="B466" s="3" t="s">
        <v>37</v>
      </c>
      <c r="C466" s="3" t="s">
        <v>38</v>
      </c>
      <c r="D466" s="3" t="s">
        <v>33</v>
      </c>
      <c r="E466" s="3" t="s">
        <v>34</v>
      </c>
      <c r="F466" s="3">
        <v>497</v>
      </c>
      <c r="G466" s="3">
        <v>547</v>
      </c>
      <c r="H466" s="3">
        <v>511</v>
      </c>
      <c r="I466" s="3">
        <v>523</v>
      </c>
      <c r="J466" s="3">
        <v>86</v>
      </c>
      <c r="K466" s="3">
        <v>100</v>
      </c>
      <c r="L466" s="3">
        <v>1300</v>
      </c>
      <c r="M466" s="4">
        <f t="shared" si="42"/>
        <v>1.028169014084507</v>
      </c>
      <c r="N466" s="5">
        <f t="shared" si="43"/>
        <v>2.4144869215291753</v>
      </c>
      <c r="O466" s="3">
        <f t="shared" si="44"/>
        <v>-14</v>
      </c>
      <c r="P466" s="3" t="str">
        <f t="shared" si="45"/>
        <v>Healthy</v>
      </c>
      <c r="Q466" s="3" t="str">
        <f t="shared" si="46"/>
        <v>On Track</v>
      </c>
      <c r="R466" s="6">
        <f t="shared" si="47"/>
        <v>130000</v>
      </c>
    </row>
    <row r="467" spans="1:18" x14ac:dyDescent="0.25">
      <c r="A467" s="2">
        <v>45931</v>
      </c>
      <c r="B467" s="3" t="s">
        <v>39</v>
      </c>
      <c r="C467" s="3" t="s">
        <v>40</v>
      </c>
      <c r="D467" s="3" t="s">
        <v>26</v>
      </c>
      <c r="E467" s="3" t="s">
        <v>31</v>
      </c>
      <c r="F467" s="3">
        <v>933</v>
      </c>
      <c r="G467" s="3">
        <v>837</v>
      </c>
      <c r="H467" s="3">
        <v>760</v>
      </c>
      <c r="I467" s="3">
        <v>974</v>
      </c>
      <c r="J467" s="3">
        <v>106</v>
      </c>
      <c r="K467" s="3">
        <v>0</v>
      </c>
      <c r="L467" s="3">
        <v>1700</v>
      </c>
      <c r="M467" s="4">
        <f t="shared" si="42"/>
        <v>0.81457663451232587</v>
      </c>
      <c r="N467" s="5">
        <f t="shared" si="43"/>
        <v>0</v>
      </c>
      <c r="O467" s="3">
        <f t="shared" si="44"/>
        <v>173</v>
      </c>
      <c r="P467" s="3" t="str">
        <f t="shared" si="45"/>
        <v>Low</v>
      </c>
      <c r="Q467" s="3" t="str">
        <f t="shared" si="46"/>
        <v>Short Supply</v>
      </c>
      <c r="R467" s="6">
        <f t="shared" si="47"/>
        <v>0</v>
      </c>
    </row>
    <row r="468" spans="1:18" x14ac:dyDescent="0.25">
      <c r="A468" s="2">
        <v>45931</v>
      </c>
      <c r="B468" s="3" t="s">
        <v>39</v>
      </c>
      <c r="C468" s="3" t="s">
        <v>40</v>
      </c>
      <c r="D468" s="3" t="s">
        <v>28</v>
      </c>
      <c r="E468" s="3" t="s">
        <v>31</v>
      </c>
      <c r="F468" s="3">
        <v>687</v>
      </c>
      <c r="G468" s="3">
        <v>678</v>
      </c>
      <c r="H468" s="3">
        <v>626</v>
      </c>
      <c r="I468" s="3">
        <v>645</v>
      </c>
      <c r="J468" s="3">
        <v>88</v>
      </c>
      <c r="K468" s="3">
        <v>27</v>
      </c>
      <c r="L468" s="3">
        <v>1700</v>
      </c>
      <c r="M468" s="4">
        <f t="shared" si="42"/>
        <v>0.91120815138282385</v>
      </c>
      <c r="N468" s="5">
        <f t="shared" si="43"/>
        <v>0.47161572052401746</v>
      </c>
      <c r="O468" s="3">
        <f t="shared" si="44"/>
        <v>61</v>
      </c>
      <c r="P468" s="3" t="str">
        <f t="shared" si="45"/>
        <v>Low</v>
      </c>
      <c r="Q468" s="3" t="str">
        <f t="shared" si="46"/>
        <v>Short Supply</v>
      </c>
      <c r="R468" s="6">
        <f t="shared" si="47"/>
        <v>45900</v>
      </c>
    </row>
    <row r="469" spans="1:18" x14ac:dyDescent="0.25">
      <c r="A469" s="2">
        <v>45931</v>
      </c>
      <c r="B469" s="3" t="s">
        <v>39</v>
      </c>
      <c r="C469" s="3" t="s">
        <v>40</v>
      </c>
      <c r="D469" s="3" t="s">
        <v>30</v>
      </c>
      <c r="E469" s="3" t="s">
        <v>29</v>
      </c>
      <c r="F469" s="3">
        <v>570</v>
      </c>
      <c r="G469" s="3">
        <v>564</v>
      </c>
      <c r="H469" s="3">
        <v>563</v>
      </c>
      <c r="I469" s="3">
        <v>532</v>
      </c>
      <c r="J469" s="3">
        <v>124</v>
      </c>
      <c r="K469" s="3">
        <v>117</v>
      </c>
      <c r="L469" s="3">
        <v>1700</v>
      </c>
      <c r="M469" s="4">
        <f t="shared" si="42"/>
        <v>0.987719298245614</v>
      </c>
      <c r="N469" s="5">
        <f t="shared" si="43"/>
        <v>2.4631578947368422</v>
      </c>
      <c r="O469" s="3">
        <f t="shared" si="44"/>
        <v>7</v>
      </c>
      <c r="P469" s="3" t="str">
        <f t="shared" si="45"/>
        <v>Healthy</v>
      </c>
      <c r="Q469" s="3" t="str">
        <f t="shared" si="46"/>
        <v>Short Supply</v>
      </c>
      <c r="R469" s="6">
        <f t="shared" si="47"/>
        <v>198900</v>
      </c>
    </row>
    <row r="470" spans="1:18" x14ac:dyDescent="0.25">
      <c r="A470" s="2">
        <v>45931</v>
      </c>
      <c r="B470" s="3" t="s">
        <v>39</v>
      </c>
      <c r="C470" s="3" t="s">
        <v>40</v>
      </c>
      <c r="D470" s="3" t="s">
        <v>32</v>
      </c>
      <c r="E470" s="3" t="s">
        <v>27</v>
      </c>
      <c r="F470" s="3">
        <v>586</v>
      </c>
      <c r="G470" s="3">
        <v>613</v>
      </c>
      <c r="H470" s="3">
        <v>542</v>
      </c>
      <c r="I470" s="3">
        <v>617</v>
      </c>
      <c r="J470" s="3">
        <v>86</v>
      </c>
      <c r="K470" s="3">
        <v>42</v>
      </c>
      <c r="L470" s="3">
        <v>1700</v>
      </c>
      <c r="M470" s="4">
        <f t="shared" si="42"/>
        <v>0.92491467576791808</v>
      </c>
      <c r="N470" s="5">
        <f t="shared" si="43"/>
        <v>0.86006825938566545</v>
      </c>
      <c r="O470" s="3">
        <f t="shared" si="44"/>
        <v>44</v>
      </c>
      <c r="P470" s="3" t="str">
        <f t="shared" si="45"/>
        <v>Low</v>
      </c>
      <c r="Q470" s="3" t="str">
        <f t="shared" si="46"/>
        <v>Short Supply</v>
      </c>
      <c r="R470" s="6">
        <f t="shared" si="47"/>
        <v>71400</v>
      </c>
    </row>
    <row r="471" spans="1:18" x14ac:dyDescent="0.25">
      <c r="A471" s="2">
        <v>45931</v>
      </c>
      <c r="B471" s="3" t="s">
        <v>39</v>
      </c>
      <c r="C471" s="3" t="s">
        <v>40</v>
      </c>
      <c r="D471" s="3" t="s">
        <v>33</v>
      </c>
      <c r="E471" s="3" t="s">
        <v>31</v>
      </c>
      <c r="F471" s="3">
        <v>631</v>
      </c>
      <c r="G471" s="3">
        <v>701</v>
      </c>
      <c r="H471" s="3">
        <v>655</v>
      </c>
      <c r="I471" s="3">
        <v>585</v>
      </c>
      <c r="J471" s="3">
        <v>83</v>
      </c>
      <c r="K471" s="3">
        <v>107</v>
      </c>
      <c r="L471" s="3">
        <v>1700</v>
      </c>
      <c r="M471" s="4">
        <f t="shared" si="42"/>
        <v>1.0380348652931854</v>
      </c>
      <c r="N471" s="5">
        <f t="shared" si="43"/>
        <v>2.0348652931854199</v>
      </c>
      <c r="O471" s="3">
        <f t="shared" si="44"/>
        <v>-24</v>
      </c>
      <c r="P471" s="3" t="str">
        <f t="shared" si="45"/>
        <v>Healthy</v>
      </c>
      <c r="Q471" s="3" t="str">
        <f t="shared" si="46"/>
        <v>On Track</v>
      </c>
      <c r="R471" s="6">
        <f t="shared" si="47"/>
        <v>181900</v>
      </c>
    </row>
    <row r="472" spans="1:18" x14ac:dyDescent="0.25">
      <c r="A472" s="2">
        <v>45931</v>
      </c>
      <c r="B472" s="3" t="s">
        <v>41</v>
      </c>
      <c r="C472" s="3" t="s">
        <v>42</v>
      </c>
      <c r="D472" s="3" t="s">
        <v>26</v>
      </c>
      <c r="E472" s="3" t="s">
        <v>34</v>
      </c>
      <c r="F472" s="3">
        <v>534</v>
      </c>
      <c r="G472" s="3">
        <v>521</v>
      </c>
      <c r="H472" s="3">
        <v>491</v>
      </c>
      <c r="I472" s="3">
        <v>555</v>
      </c>
      <c r="J472" s="3">
        <v>79</v>
      </c>
      <c r="K472" s="3">
        <v>36</v>
      </c>
      <c r="L472" s="3">
        <v>1200</v>
      </c>
      <c r="M472" s="4">
        <f t="shared" si="42"/>
        <v>0.91947565543071164</v>
      </c>
      <c r="N472" s="5">
        <f t="shared" si="43"/>
        <v>0.8089887640449438</v>
      </c>
      <c r="O472" s="3">
        <f t="shared" si="44"/>
        <v>43</v>
      </c>
      <c r="P472" s="3" t="str">
        <f t="shared" si="45"/>
        <v>Low</v>
      </c>
      <c r="Q472" s="3" t="str">
        <f t="shared" si="46"/>
        <v>Short Supply</v>
      </c>
      <c r="R472" s="6">
        <f t="shared" si="47"/>
        <v>43200</v>
      </c>
    </row>
    <row r="473" spans="1:18" x14ac:dyDescent="0.25">
      <c r="A473" s="2">
        <v>45931</v>
      </c>
      <c r="B473" s="3" t="s">
        <v>41</v>
      </c>
      <c r="C473" s="3" t="s">
        <v>42</v>
      </c>
      <c r="D473" s="3" t="s">
        <v>28</v>
      </c>
      <c r="E473" s="3" t="s">
        <v>31</v>
      </c>
      <c r="F473" s="3">
        <v>426</v>
      </c>
      <c r="G473" s="3">
        <v>456</v>
      </c>
      <c r="H473" s="3">
        <v>409</v>
      </c>
      <c r="I473" s="3">
        <v>396</v>
      </c>
      <c r="J473" s="3">
        <v>122</v>
      </c>
      <c r="K473" s="3">
        <v>105</v>
      </c>
      <c r="L473" s="3">
        <v>1200</v>
      </c>
      <c r="M473" s="4">
        <f t="shared" si="42"/>
        <v>0.960093896713615</v>
      </c>
      <c r="N473" s="5">
        <f t="shared" si="43"/>
        <v>2.9577464788732395</v>
      </c>
      <c r="O473" s="3">
        <f t="shared" si="44"/>
        <v>17</v>
      </c>
      <c r="P473" s="3" t="str">
        <f t="shared" si="45"/>
        <v>Healthy</v>
      </c>
      <c r="Q473" s="3" t="str">
        <f t="shared" si="46"/>
        <v>Short Supply</v>
      </c>
      <c r="R473" s="6">
        <f t="shared" si="47"/>
        <v>126000</v>
      </c>
    </row>
    <row r="474" spans="1:18" x14ac:dyDescent="0.25">
      <c r="A474" s="2">
        <v>45931</v>
      </c>
      <c r="B474" s="3" t="s">
        <v>41</v>
      </c>
      <c r="C474" s="3" t="s">
        <v>42</v>
      </c>
      <c r="D474" s="3" t="s">
        <v>30</v>
      </c>
      <c r="E474" s="3" t="s">
        <v>29</v>
      </c>
      <c r="F474" s="3">
        <v>319</v>
      </c>
      <c r="G474" s="3">
        <v>343</v>
      </c>
      <c r="H474" s="3">
        <v>319</v>
      </c>
      <c r="I474" s="3">
        <v>325</v>
      </c>
      <c r="J474" s="3">
        <v>111</v>
      </c>
      <c r="K474" s="3">
        <v>111</v>
      </c>
      <c r="L474" s="3">
        <v>1200</v>
      </c>
      <c r="M474" s="4">
        <f t="shared" si="42"/>
        <v>1</v>
      </c>
      <c r="N474" s="5">
        <f t="shared" si="43"/>
        <v>4.1755485893416928</v>
      </c>
      <c r="O474" s="3">
        <f t="shared" si="44"/>
        <v>0</v>
      </c>
      <c r="P474" s="3" t="str">
        <f t="shared" si="45"/>
        <v>Healthy</v>
      </c>
      <c r="Q474" s="3" t="str">
        <f t="shared" si="46"/>
        <v>On Track</v>
      </c>
      <c r="R474" s="6">
        <f t="shared" si="47"/>
        <v>133200</v>
      </c>
    </row>
    <row r="475" spans="1:18" x14ac:dyDescent="0.25">
      <c r="A475" s="2">
        <v>45931</v>
      </c>
      <c r="B475" s="3" t="s">
        <v>41</v>
      </c>
      <c r="C475" s="3" t="s">
        <v>42</v>
      </c>
      <c r="D475" s="3" t="s">
        <v>32</v>
      </c>
      <c r="E475" s="3" t="s">
        <v>31</v>
      </c>
      <c r="F475" s="3">
        <v>373</v>
      </c>
      <c r="G475" s="3">
        <v>334</v>
      </c>
      <c r="H475" s="3">
        <v>340</v>
      </c>
      <c r="I475" s="3">
        <v>354</v>
      </c>
      <c r="J475" s="3">
        <v>111</v>
      </c>
      <c r="K475" s="3">
        <v>78</v>
      </c>
      <c r="L475" s="3">
        <v>1200</v>
      </c>
      <c r="M475" s="4">
        <f t="shared" si="42"/>
        <v>0.91152815013404831</v>
      </c>
      <c r="N475" s="5">
        <f t="shared" si="43"/>
        <v>2.5093833780160857</v>
      </c>
      <c r="O475" s="3">
        <f t="shared" si="44"/>
        <v>33</v>
      </c>
      <c r="P475" s="3" t="str">
        <f t="shared" si="45"/>
        <v>Healthy</v>
      </c>
      <c r="Q475" s="3" t="str">
        <f t="shared" si="46"/>
        <v>Short Supply</v>
      </c>
      <c r="R475" s="6">
        <f t="shared" si="47"/>
        <v>93600</v>
      </c>
    </row>
    <row r="476" spans="1:18" x14ac:dyDescent="0.25">
      <c r="A476" s="2">
        <v>45931</v>
      </c>
      <c r="B476" s="3" t="s">
        <v>41</v>
      </c>
      <c r="C476" s="3" t="s">
        <v>42</v>
      </c>
      <c r="D476" s="3" t="s">
        <v>33</v>
      </c>
      <c r="E476" s="3" t="s">
        <v>27</v>
      </c>
      <c r="F476" s="3">
        <v>323</v>
      </c>
      <c r="G476" s="3">
        <v>349</v>
      </c>
      <c r="H476" s="3">
        <v>346</v>
      </c>
      <c r="I476" s="3">
        <v>303</v>
      </c>
      <c r="J476" s="3">
        <v>135</v>
      </c>
      <c r="K476" s="3">
        <v>158</v>
      </c>
      <c r="L476" s="3">
        <v>1200</v>
      </c>
      <c r="M476" s="4">
        <f t="shared" si="42"/>
        <v>1.0712074303405572</v>
      </c>
      <c r="N476" s="5">
        <f t="shared" si="43"/>
        <v>5.8699690402476783</v>
      </c>
      <c r="O476" s="3">
        <f t="shared" si="44"/>
        <v>-23</v>
      </c>
      <c r="P476" s="3" t="str">
        <f t="shared" si="45"/>
        <v>Healthy</v>
      </c>
      <c r="Q476" s="3" t="str">
        <f t="shared" si="46"/>
        <v>On Track</v>
      </c>
      <c r="R476" s="6">
        <f t="shared" si="47"/>
        <v>189600</v>
      </c>
    </row>
    <row r="477" spans="1:18" x14ac:dyDescent="0.25">
      <c r="A477" s="2">
        <v>45931</v>
      </c>
      <c r="B477" s="3" t="s">
        <v>43</v>
      </c>
      <c r="C477" s="3" t="s">
        <v>44</v>
      </c>
      <c r="D477" s="3" t="s">
        <v>26</v>
      </c>
      <c r="E477" s="3" t="s">
        <v>34</v>
      </c>
      <c r="F477" s="3">
        <v>746</v>
      </c>
      <c r="G477" s="3">
        <v>759</v>
      </c>
      <c r="H477" s="3">
        <v>755</v>
      </c>
      <c r="I477" s="3">
        <v>733</v>
      </c>
      <c r="J477" s="3">
        <v>62</v>
      </c>
      <c r="K477" s="3">
        <v>71</v>
      </c>
      <c r="L477" s="3">
        <v>1400</v>
      </c>
      <c r="M477" s="4">
        <f t="shared" si="42"/>
        <v>1.0120643431635388</v>
      </c>
      <c r="N477" s="5">
        <f t="shared" si="43"/>
        <v>1.1420911528150133</v>
      </c>
      <c r="O477" s="3">
        <f t="shared" si="44"/>
        <v>-9</v>
      </c>
      <c r="P477" s="3" t="str">
        <f t="shared" si="45"/>
        <v>Medium</v>
      </c>
      <c r="Q477" s="3" t="str">
        <f t="shared" si="46"/>
        <v>On Track</v>
      </c>
      <c r="R477" s="6">
        <f t="shared" si="47"/>
        <v>99400</v>
      </c>
    </row>
    <row r="478" spans="1:18" x14ac:dyDescent="0.25">
      <c r="A478" s="2">
        <v>45931</v>
      </c>
      <c r="B478" s="3" t="s">
        <v>43</v>
      </c>
      <c r="C478" s="3" t="s">
        <v>44</v>
      </c>
      <c r="D478" s="3" t="s">
        <v>28</v>
      </c>
      <c r="E478" s="3" t="s">
        <v>27</v>
      </c>
      <c r="F478" s="3">
        <v>581</v>
      </c>
      <c r="G478" s="3">
        <v>541</v>
      </c>
      <c r="H478" s="3">
        <v>490</v>
      </c>
      <c r="I478" s="3">
        <v>560</v>
      </c>
      <c r="J478" s="3">
        <v>130</v>
      </c>
      <c r="K478" s="3">
        <v>39</v>
      </c>
      <c r="L478" s="3">
        <v>1400</v>
      </c>
      <c r="M478" s="4">
        <f t="shared" si="42"/>
        <v>0.84337349397590367</v>
      </c>
      <c r="N478" s="5">
        <f t="shared" si="43"/>
        <v>0.80550774526678148</v>
      </c>
      <c r="O478" s="3">
        <f t="shared" si="44"/>
        <v>91</v>
      </c>
      <c r="P478" s="3" t="str">
        <f t="shared" si="45"/>
        <v>Low</v>
      </c>
      <c r="Q478" s="3" t="str">
        <f t="shared" si="46"/>
        <v>Short Supply</v>
      </c>
      <c r="R478" s="6">
        <f t="shared" si="47"/>
        <v>54600</v>
      </c>
    </row>
    <row r="479" spans="1:18" x14ac:dyDescent="0.25">
      <c r="A479" s="2">
        <v>45931</v>
      </c>
      <c r="B479" s="3" t="s">
        <v>43</v>
      </c>
      <c r="C479" s="3" t="s">
        <v>44</v>
      </c>
      <c r="D479" s="3" t="s">
        <v>30</v>
      </c>
      <c r="E479" s="3" t="s">
        <v>34</v>
      </c>
      <c r="F479" s="3">
        <v>495</v>
      </c>
      <c r="G479" s="3">
        <v>508</v>
      </c>
      <c r="H479" s="3">
        <v>493</v>
      </c>
      <c r="I479" s="3">
        <v>494</v>
      </c>
      <c r="J479" s="3">
        <v>130</v>
      </c>
      <c r="K479" s="3">
        <v>128</v>
      </c>
      <c r="L479" s="3">
        <v>1400</v>
      </c>
      <c r="M479" s="4">
        <f t="shared" si="42"/>
        <v>0.99595959595959593</v>
      </c>
      <c r="N479" s="5">
        <f t="shared" si="43"/>
        <v>3.103030303030303</v>
      </c>
      <c r="O479" s="3">
        <f t="shared" si="44"/>
        <v>2</v>
      </c>
      <c r="P479" s="3" t="str">
        <f t="shared" si="45"/>
        <v>Healthy</v>
      </c>
      <c r="Q479" s="3" t="str">
        <f t="shared" si="46"/>
        <v>Short Supply</v>
      </c>
      <c r="R479" s="6">
        <f t="shared" si="47"/>
        <v>179200</v>
      </c>
    </row>
    <row r="480" spans="1:18" x14ac:dyDescent="0.25">
      <c r="A480" s="2">
        <v>45931</v>
      </c>
      <c r="B480" s="3" t="s">
        <v>43</v>
      </c>
      <c r="C480" s="3" t="s">
        <v>44</v>
      </c>
      <c r="D480" s="3" t="s">
        <v>32</v>
      </c>
      <c r="E480" s="3" t="s">
        <v>31</v>
      </c>
      <c r="F480" s="3">
        <v>384</v>
      </c>
      <c r="G480" s="3">
        <v>363</v>
      </c>
      <c r="H480" s="3">
        <v>326</v>
      </c>
      <c r="I480" s="3">
        <v>365</v>
      </c>
      <c r="J480" s="3">
        <v>130</v>
      </c>
      <c r="K480" s="3">
        <v>72</v>
      </c>
      <c r="L480" s="3">
        <v>1400</v>
      </c>
      <c r="M480" s="4">
        <f t="shared" si="42"/>
        <v>0.84895833333333337</v>
      </c>
      <c r="N480" s="5">
        <f t="shared" si="43"/>
        <v>2.25</v>
      </c>
      <c r="O480" s="3">
        <f t="shared" si="44"/>
        <v>58</v>
      </c>
      <c r="P480" s="3" t="str">
        <f t="shared" si="45"/>
        <v>Healthy</v>
      </c>
      <c r="Q480" s="3" t="str">
        <f t="shared" si="46"/>
        <v>Short Supply</v>
      </c>
      <c r="R480" s="6">
        <f t="shared" si="47"/>
        <v>100800</v>
      </c>
    </row>
    <row r="481" spans="1:18" x14ac:dyDescent="0.25">
      <c r="A481" s="2">
        <v>45931</v>
      </c>
      <c r="B481" s="3" t="s">
        <v>43</v>
      </c>
      <c r="C481" s="3" t="s">
        <v>44</v>
      </c>
      <c r="D481" s="3" t="s">
        <v>33</v>
      </c>
      <c r="E481" s="3" t="s">
        <v>29</v>
      </c>
      <c r="F481" s="3">
        <v>510</v>
      </c>
      <c r="G481" s="3">
        <v>546</v>
      </c>
      <c r="H481" s="3">
        <v>541</v>
      </c>
      <c r="I481" s="3">
        <v>549</v>
      </c>
      <c r="J481" s="3">
        <v>122</v>
      </c>
      <c r="K481" s="3">
        <v>153</v>
      </c>
      <c r="L481" s="3">
        <v>1400</v>
      </c>
      <c r="M481" s="4">
        <f t="shared" si="42"/>
        <v>1.0607843137254902</v>
      </c>
      <c r="N481" s="5">
        <f t="shared" si="43"/>
        <v>3.5999999999999996</v>
      </c>
      <c r="O481" s="3">
        <f t="shared" si="44"/>
        <v>-31</v>
      </c>
      <c r="P481" s="3" t="str">
        <f t="shared" si="45"/>
        <v>Healthy</v>
      </c>
      <c r="Q481" s="3" t="str">
        <f t="shared" si="46"/>
        <v>On Track</v>
      </c>
      <c r="R481" s="6">
        <f t="shared" si="47"/>
        <v>214200</v>
      </c>
    </row>
    <row r="482" spans="1:18" x14ac:dyDescent="0.25">
      <c r="A482" s="2">
        <v>45931</v>
      </c>
      <c r="B482" s="3" t="s">
        <v>45</v>
      </c>
      <c r="C482" s="3" t="s">
        <v>46</v>
      </c>
      <c r="D482" s="3" t="s">
        <v>26</v>
      </c>
      <c r="E482" s="3" t="s">
        <v>29</v>
      </c>
      <c r="F482" s="3">
        <v>686</v>
      </c>
      <c r="G482" s="3">
        <v>732</v>
      </c>
      <c r="H482" s="3">
        <v>679</v>
      </c>
      <c r="I482" s="3">
        <v>693</v>
      </c>
      <c r="J482" s="3">
        <v>85</v>
      </c>
      <c r="K482" s="3">
        <v>78</v>
      </c>
      <c r="L482" s="3">
        <v>1500</v>
      </c>
      <c r="M482" s="4">
        <f t="shared" si="42"/>
        <v>0.98979591836734693</v>
      </c>
      <c r="N482" s="5">
        <f t="shared" si="43"/>
        <v>1.3644314868804663</v>
      </c>
      <c r="O482" s="3">
        <f t="shared" si="44"/>
        <v>7</v>
      </c>
      <c r="P482" s="3" t="str">
        <f t="shared" si="45"/>
        <v>Medium</v>
      </c>
      <c r="Q482" s="3" t="str">
        <f t="shared" si="46"/>
        <v>Short Supply</v>
      </c>
      <c r="R482" s="6">
        <f t="shared" si="47"/>
        <v>117000</v>
      </c>
    </row>
    <row r="483" spans="1:18" x14ac:dyDescent="0.25">
      <c r="A483" s="2">
        <v>45931</v>
      </c>
      <c r="B483" s="3" t="s">
        <v>45</v>
      </c>
      <c r="C483" s="3" t="s">
        <v>46</v>
      </c>
      <c r="D483" s="3" t="s">
        <v>28</v>
      </c>
      <c r="E483" s="3" t="s">
        <v>27</v>
      </c>
      <c r="F483" s="3">
        <v>485</v>
      </c>
      <c r="G483" s="3">
        <v>463</v>
      </c>
      <c r="H483" s="3">
        <v>421</v>
      </c>
      <c r="I483" s="3">
        <v>515</v>
      </c>
      <c r="J483" s="3">
        <v>122</v>
      </c>
      <c r="K483" s="3">
        <v>58</v>
      </c>
      <c r="L483" s="3">
        <v>1500</v>
      </c>
      <c r="M483" s="4">
        <f t="shared" si="42"/>
        <v>0.86804123711340209</v>
      </c>
      <c r="N483" s="5">
        <f t="shared" si="43"/>
        <v>1.4350515463917526</v>
      </c>
      <c r="O483" s="3">
        <f t="shared" si="44"/>
        <v>64</v>
      </c>
      <c r="P483" s="3" t="str">
        <f t="shared" si="45"/>
        <v>Medium</v>
      </c>
      <c r="Q483" s="3" t="str">
        <f t="shared" si="46"/>
        <v>Short Supply</v>
      </c>
      <c r="R483" s="6">
        <f t="shared" si="47"/>
        <v>87000</v>
      </c>
    </row>
    <row r="484" spans="1:18" x14ac:dyDescent="0.25">
      <c r="A484" s="2">
        <v>45931</v>
      </c>
      <c r="B484" s="3" t="s">
        <v>45</v>
      </c>
      <c r="C484" s="3" t="s">
        <v>46</v>
      </c>
      <c r="D484" s="3" t="s">
        <v>30</v>
      </c>
      <c r="E484" s="3" t="s">
        <v>31</v>
      </c>
      <c r="F484" s="3">
        <v>436</v>
      </c>
      <c r="G484" s="3">
        <v>433</v>
      </c>
      <c r="H484" s="3">
        <v>402</v>
      </c>
      <c r="I484" s="3">
        <v>441</v>
      </c>
      <c r="J484" s="3">
        <v>78</v>
      </c>
      <c r="K484" s="3">
        <v>44</v>
      </c>
      <c r="L484" s="3">
        <v>1500</v>
      </c>
      <c r="M484" s="4">
        <f t="shared" si="42"/>
        <v>0.92201834862385323</v>
      </c>
      <c r="N484" s="5">
        <f t="shared" si="43"/>
        <v>1.2110091743119267</v>
      </c>
      <c r="O484" s="3">
        <f t="shared" si="44"/>
        <v>34</v>
      </c>
      <c r="P484" s="3" t="str">
        <f t="shared" si="45"/>
        <v>Medium</v>
      </c>
      <c r="Q484" s="3" t="str">
        <f t="shared" si="46"/>
        <v>Short Supply</v>
      </c>
      <c r="R484" s="6">
        <f t="shared" si="47"/>
        <v>66000</v>
      </c>
    </row>
    <row r="485" spans="1:18" x14ac:dyDescent="0.25">
      <c r="A485" s="2">
        <v>45931</v>
      </c>
      <c r="B485" s="3" t="s">
        <v>45</v>
      </c>
      <c r="C485" s="3" t="s">
        <v>46</v>
      </c>
      <c r="D485" s="3" t="s">
        <v>32</v>
      </c>
      <c r="E485" s="3" t="s">
        <v>27</v>
      </c>
      <c r="F485" s="3">
        <v>324</v>
      </c>
      <c r="G485" s="3">
        <v>336</v>
      </c>
      <c r="H485" s="3">
        <v>308</v>
      </c>
      <c r="I485" s="3">
        <v>340</v>
      </c>
      <c r="J485" s="3">
        <v>133</v>
      </c>
      <c r="K485" s="3">
        <v>117</v>
      </c>
      <c r="L485" s="3">
        <v>1500</v>
      </c>
      <c r="M485" s="4">
        <f t="shared" si="42"/>
        <v>0.95061728395061729</v>
      </c>
      <c r="N485" s="5">
        <f t="shared" si="43"/>
        <v>4.333333333333333</v>
      </c>
      <c r="O485" s="3">
        <f t="shared" si="44"/>
        <v>16</v>
      </c>
      <c r="P485" s="3" t="str">
        <f t="shared" si="45"/>
        <v>Healthy</v>
      </c>
      <c r="Q485" s="3" t="str">
        <f t="shared" si="46"/>
        <v>Short Supply</v>
      </c>
      <c r="R485" s="6">
        <f t="shared" si="47"/>
        <v>175500</v>
      </c>
    </row>
    <row r="486" spans="1:18" x14ac:dyDescent="0.25">
      <c r="A486" s="2">
        <v>45931</v>
      </c>
      <c r="B486" s="3" t="s">
        <v>45</v>
      </c>
      <c r="C486" s="3" t="s">
        <v>46</v>
      </c>
      <c r="D486" s="3" t="s">
        <v>33</v>
      </c>
      <c r="E486" s="3" t="s">
        <v>31</v>
      </c>
      <c r="F486" s="3">
        <v>442</v>
      </c>
      <c r="G486" s="3">
        <v>489</v>
      </c>
      <c r="H486" s="3">
        <v>469</v>
      </c>
      <c r="I486" s="3">
        <v>476</v>
      </c>
      <c r="J486" s="3">
        <v>91</v>
      </c>
      <c r="K486" s="3">
        <v>118</v>
      </c>
      <c r="L486" s="3">
        <v>1500</v>
      </c>
      <c r="M486" s="4">
        <f t="shared" si="42"/>
        <v>1.0610859728506787</v>
      </c>
      <c r="N486" s="5">
        <f t="shared" si="43"/>
        <v>3.2036199095022626</v>
      </c>
      <c r="O486" s="3">
        <f t="shared" si="44"/>
        <v>-27</v>
      </c>
      <c r="P486" s="3" t="str">
        <f t="shared" si="45"/>
        <v>Healthy</v>
      </c>
      <c r="Q486" s="3" t="str">
        <f t="shared" si="46"/>
        <v>On Track</v>
      </c>
      <c r="R486" s="6">
        <f t="shared" si="47"/>
        <v>177000</v>
      </c>
    </row>
    <row r="487" spans="1:18" x14ac:dyDescent="0.25">
      <c r="A487" s="2">
        <v>45931</v>
      </c>
      <c r="B487" s="3" t="s">
        <v>47</v>
      </c>
      <c r="C487" s="3" t="s">
        <v>48</v>
      </c>
      <c r="D487" s="3" t="s">
        <v>26</v>
      </c>
      <c r="E487" s="3" t="s">
        <v>27</v>
      </c>
      <c r="F487" s="3">
        <v>655</v>
      </c>
      <c r="G487" s="3">
        <v>669</v>
      </c>
      <c r="H487" s="3">
        <v>664</v>
      </c>
      <c r="I487" s="3">
        <v>675</v>
      </c>
      <c r="J487" s="3">
        <v>133</v>
      </c>
      <c r="K487" s="3">
        <v>142</v>
      </c>
      <c r="L487" s="3">
        <v>1250</v>
      </c>
      <c r="M487" s="4">
        <f t="shared" si="42"/>
        <v>1.0137404580152671</v>
      </c>
      <c r="N487" s="5">
        <f t="shared" si="43"/>
        <v>2.6015267175572516</v>
      </c>
      <c r="O487" s="3">
        <f t="shared" si="44"/>
        <v>-9</v>
      </c>
      <c r="P487" s="3" t="str">
        <f t="shared" si="45"/>
        <v>Healthy</v>
      </c>
      <c r="Q487" s="3" t="str">
        <f t="shared" si="46"/>
        <v>On Track</v>
      </c>
      <c r="R487" s="6">
        <f t="shared" si="47"/>
        <v>177500</v>
      </c>
    </row>
    <row r="488" spans="1:18" x14ac:dyDescent="0.25">
      <c r="A488" s="2">
        <v>45931</v>
      </c>
      <c r="B488" s="3" t="s">
        <v>47</v>
      </c>
      <c r="C488" s="3" t="s">
        <v>48</v>
      </c>
      <c r="D488" s="3" t="s">
        <v>28</v>
      </c>
      <c r="E488" s="3" t="s">
        <v>34</v>
      </c>
      <c r="F488" s="3">
        <v>598</v>
      </c>
      <c r="G488" s="3">
        <v>576</v>
      </c>
      <c r="H488" s="3">
        <v>552</v>
      </c>
      <c r="I488" s="3">
        <v>563</v>
      </c>
      <c r="J488" s="3">
        <v>135</v>
      </c>
      <c r="K488" s="3">
        <v>89</v>
      </c>
      <c r="L488" s="3">
        <v>1250</v>
      </c>
      <c r="M488" s="4">
        <f t="shared" si="42"/>
        <v>0.92307692307692313</v>
      </c>
      <c r="N488" s="5">
        <f t="shared" si="43"/>
        <v>1.7859531772575252</v>
      </c>
      <c r="O488" s="3">
        <f t="shared" si="44"/>
        <v>46</v>
      </c>
      <c r="P488" s="3" t="str">
        <f t="shared" si="45"/>
        <v>Medium</v>
      </c>
      <c r="Q488" s="3" t="str">
        <f t="shared" si="46"/>
        <v>Short Supply</v>
      </c>
      <c r="R488" s="6">
        <f t="shared" si="47"/>
        <v>111250</v>
      </c>
    </row>
    <row r="489" spans="1:18" x14ac:dyDescent="0.25">
      <c r="A489" s="2">
        <v>45931</v>
      </c>
      <c r="B489" s="3" t="s">
        <v>47</v>
      </c>
      <c r="C489" s="3" t="s">
        <v>48</v>
      </c>
      <c r="D489" s="3" t="s">
        <v>30</v>
      </c>
      <c r="E489" s="3" t="s">
        <v>27</v>
      </c>
      <c r="F489" s="3">
        <v>424</v>
      </c>
      <c r="G489" s="3">
        <v>390</v>
      </c>
      <c r="H489" s="3">
        <v>345</v>
      </c>
      <c r="I489" s="3">
        <v>393</v>
      </c>
      <c r="J489" s="3">
        <v>108</v>
      </c>
      <c r="K489" s="3">
        <v>29</v>
      </c>
      <c r="L489" s="3">
        <v>1250</v>
      </c>
      <c r="M489" s="4">
        <f t="shared" si="42"/>
        <v>0.81367924528301883</v>
      </c>
      <c r="N489" s="5">
        <f t="shared" si="43"/>
        <v>0.820754716981132</v>
      </c>
      <c r="O489" s="3">
        <f t="shared" si="44"/>
        <v>79</v>
      </c>
      <c r="P489" s="3" t="str">
        <f t="shared" si="45"/>
        <v>Low</v>
      </c>
      <c r="Q489" s="3" t="str">
        <f t="shared" si="46"/>
        <v>Short Supply</v>
      </c>
      <c r="R489" s="6">
        <f t="shared" si="47"/>
        <v>36250</v>
      </c>
    </row>
    <row r="490" spans="1:18" x14ac:dyDescent="0.25">
      <c r="A490" s="2">
        <v>45931</v>
      </c>
      <c r="B490" s="3" t="s">
        <v>47</v>
      </c>
      <c r="C490" s="3" t="s">
        <v>48</v>
      </c>
      <c r="D490" s="3" t="s">
        <v>32</v>
      </c>
      <c r="E490" s="3" t="s">
        <v>31</v>
      </c>
      <c r="F490" s="3">
        <v>390</v>
      </c>
      <c r="G490" s="3">
        <v>343</v>
      </c>
      <c r="H490" s="3">
        <v>345</v>
      </c>
      <c r="I490" s="3">
        <v>371</v>
      </c>
      <c r="J490" s="3">
        <v>70</v>
      </c>
      <c r="K490" s="3">
        <v>25</v>
      </c>
      <c r="L490" s="3">
        <v>1250</v>
      </c>
      <c r="M490" s="4">
        <f t="shared" si="42"/>
        <v>0.88461538461538458</v>
      </c>
      <c r="N490" s="5">
        <f t="shared" si="43"/>
        <v>0.76923076923076916</v>
      </c>
      <c r="O490" s="3">
        <f t="shared" si="44"/>
        <v>45</v>
      </c>
      <c r="P490" s="3" t="str">
        <f t="shared" si="45"/>
        <v>Low</v>
      </c>
      <c r="Q490" s="3" t="str">
        <f t="shared" si="46"/>
        <v>Short Supply</v>
      </c>
      <c r="R490" s="6">
        <f t="shared" si="47"/>
        <v>31250</v>
      </c>
    </row>
    <row r="491" spans="1:18" x14ac:dyDescent="0.25">
      <c r="A491" s="2">
        <v>45931</v>
      </c>
      <c r="B491" s="3" t="s">
        <v>47</v>
      </c>
      <c r="C491" s="3" t="s">
        <v>48</v>
      </c>
      <c r="D491" s="3" t="s">
        <v>33</v>
      </c>
      <c r="E491" s="3" t="s">
        <v>31</v>
      </c>
      <c r="F491" s="3">
        <v>484</v>
      </c>
      <c r="G491" s="3">
        <v>523</v>
      </c>
      <c r="H491" s="3">
        <v>483</v>
      </c>
      <c r="I491" s="3">
        <v>446</v>
      </c>
      <c r="J491" s="3">
        <v>106</v>
      </c>
      <c r="K491" s="3">
        <v>105</v>
      </c>
      <c r="L491" s="3">
        <v>1250</v>
      </c>
      <c r="M491" s="4">
        <f t="shared" si="42"/>
        <v>0.99793388429752061</v>
      </c>
      <c r="N491" s="5">
        <f t="shared" si="43"/>
        <v>2.6033057851239669</v>
      </c>
      <c r="O491" s="3">
        <f t="shared" si="44"/>
        <v>1</v>
      </c>
      <c r="P491" s="3" t="str">
        <f t="shared" si="45"/>
        <v>Healthy</v>
      </c>
      <c r="Q491" s="3" t="str">
        <f t="shared" si="46"/>
        <v>Short Supply</v>
      </c>
      <c r="R491" s="6">
        <f t="shared" si="47"/>
        <v>131250</v>
      </c>
    </row>
    <row r="492" spans="1:18" x14ac:dyDescent="0.25">
      <c r="A492" s="2">
        <v>45931</v>
      </c>
      <c r="B492" s="3" t="s">
        <v>49</v>
      </c>
      <c r="C492" s="3" t="s">
        <v>50</v>
      </c>
      <c r="D492" s="3" t="s">
        <v>26</v>
      </c>
      <c r="E492" s="3" t="s">
        <v>34</v>
      </c>
      <c r="F492" s="3">
        <v>1122</v>
      </c>
      <c r="G492" s="3">
        <v>1215</v>
      </c>
      <c r="H492" s="3">
        <v>1215</v>
      </c>
      <c r="I492" s="3">
        <v>1204</v>
      </c>
      <c r="J492" s="3">
        <v>89</v>
      </c>
      <c r="K492" s="3">
        <v>182</v>
      </c>
      <c r="L492" s="3">
        <v>1750</v>
      </c>
      <c r="M492" s="4">
        <f t="shared" si="42"/>
        <v>1.0828877005347595</v>
      </c>
      <c r="N492" s="5">
        <f t="shared" si="43"/>
        <v>1.9465240641711228</v>
      </c>
      <c r="O492" s="3">
        <f t="shared" si="44"/>
        <v>-93</v>
      </c>
      <c r="P492" s="3" t="str">
        <f t="shared" si="45"/>
        <v>Medium</v>
      </c>
      <c r="Q492" s="3" t="str">
        <f t="shared" si="46"/>
        <v>On Track</v>
      </c>
      <c r="R492" s="6">
        <f t="shared" si="47"/>
        <v>318500</v>
      </c>
    </row>
    <row r="493" spans="1:18" x14ac:dyDescent="0.25">
      <c r="A493" s="2">
        <v>45931</v>
      </c>
      <c r="B493" s="3" t="s">
        <v>49</v>
      </c>
      <c r="C493" s="3" t="s">
        <v>50</v>
      </c>
      <c r="D493" s="3" t="s">
        <v>28</v>
      </c>
      <c r="E493" s="3" t="s">
        <v>34</v>
      </c>
      <c r="F493" s="3">
        <v>827</v>
      </c>
      <c r="G493" s="3">
        <v>794</v>
      </c>
      <c r="H493" s="3">
        <v>734</v>
      </c>
      <c r="I493" s="3">
        <v>889</v>
      </c>
      <c r="J493" s="3">
        <v>118</v>
      </c>
      <c r="K493" s="3">
        <v>25</v>
      </c>
      <c r="L493" s="3">
        <v>1750</v>
      </c>
      <c r="M493" s="4">
        <f t="shared" si="42"/>
        <v>0.88754534461910517</v>
      </c>
      <c r="N493" s="5">
        <f t="shared" si="43"/>
        <v>0.36275695284159615</v>
      </c>
      <c r="O493" s="3">
        <f t="shared" si="44"/>
        <v>93</v>
      </c>
      <c r="P493" s="3" t="str">
        <f t="shared" si="45"/>
        <v>Low</v>
      </c>
      <c r="Q493" s="3" t="str">
        <f t="shared" si="46"/>
        <v>Short Supply</v>
      </c>
      <c r="R493" s="6">
        <f t="shared" si="47"/>
        <v>43750</v>
      </c>
    </row>
    <row r="494" spans="1:18" x14ac:dyDescent="0.25">
      <c r="A494" s="2">
        <v>45931</v>
      </c>
      <c r="B494" s="3" t="s">
        <v>49</v>
      </c>
      <c r="C494" s="3" t="s">
        <v>50</v>
      </c>
      <c r="D494" s="3" t="s">
        <v>30</v>
      </c>
      <c r="E494" s="3" t="s">
        <v>29</v>
      </c>
      <c r="F494" s="3">
        <v>651</v>
      </c>
      <c r="G494" s="3">
        <v>722</v>
      </c>
      <c r="H494" s="3">
        <v>700</v>
      </c>
      <c r="I494" s="3">
        <v>617</v>
      </c>
      <c r="J494" s="3">
        <v>137</v>
      </c>
      <c r="K494" s="3">
        <v>186</v>
      </c>
      <c r="L494" s="3">
        <v>1750</v>
      </c>
      <c r="M494" s="4">
        <f t="shared" si="42"/>
        <v>1.075268817204301</v>
      </c>
      <c r="N494" s="5">
        <f t="shared" si="43"/>
        <v>3.4285714285714284</v>
      </c>
      <c r="O494" s="3">
        <f t="shared" si="44"/>
        <v>-49</v>
      </c>
      <c r="P494" s="3" t="str">
        <f t="shared" si="45"/>
        <v>Healthy</v>
      </c>
      <c r="Q494" s="3" t="str">
        <f t="shared" si="46"/>
        <v>On Track</v>
      </c>
      <c r="R494" s="6">
        <f t="shared" si="47"/>
        <v>325500</v>
      </c>
    </row>
    <row r="495" spans="1:18" x14ac:dyDescent="0.25">
      <c r="A495" s="2">
        <v>45931</v>
      </c>
      <c r="B495" s="3" t="s">
        <v>49</v>
      </c>
      <c r="C495" s="3" t="s">
        <v>50</v>
      </c>
      <c r="D495" s="3" t="s">
        <v>32</v>
      </c>
      <c r="E495" s="3" t="s">
        <v>31</v>
      </c>
      <c r="F495" s="3">
        <v>507</v>
      </c>
      <c r="G495" s="3">
        <v>517</v>
      </c>
      <c r="H495" s="3">
        <v>467</v>
      </c>
      <c r="I495" s="3">
        <v>491</v>
      </c>
      <c r="J495" s="3">
        <v>115</v>
      </c>
      <c r="K495" s="3">
        <v>75</v>
      </c>
      <c r="L495" s="3">
        <v>1750</v>
      </c>
      <c r="M495" s="4">
        <f t="shared" si="42"/>
        <v>0.92110453648915191</v>
      </c>
      <c r="N495" s="5">
        <f t="shared" si="43"/>
        <v>1.775147928994083</v>
      </c>
      <c r="O495" s="3">
        <f t="shared" si="44"/>
        <v>40</v>
      </c>
      <c r="P495" s="3" t="str">
        <f t="shared" si="45"/>
        <v>Medium</v>
      </c>
      <c r="Q495" s="3" t="str">
        <f t="shared" si="46"/>
        <v>Short Supply</v>
      </c>
      <c r="R495" s="6">
        <f t="shared" si="47"/>
        <v>131250</v>
      </c>
    </row>
    <row r="496" spans="1:18" x14ac:dyDescent="0.25">
      <c r="A496" s="2">
        <v>45931</v>
      </c>
      <c r="B496" s="3" t="s">
        <v>49</v>
      </c>
      <c r="C496" s="3" t="s">
        <v>50</v>
      </c>
      <c r="D496" s="3" t="s">
        <v>33</v>
      </c>
      <c r="E496" s="3" t="s">
        <v>27</v>
      </c>
      <c r="F496" s="3">
        <v>554</v>
      </c>
      <c r="G496" s="3">
        <v>487</v>
      </c>
      <c r="H496" s="3">
        <v>476</v>
      </c>
      <c r="I496" s="3">
        <v>560</v>
      </c>
      <c r="J496" s="3">
        <v>128</v>
      </c>
      <c r="K496" s="3">
        <v>50</v>
      </c>
      <c r="L496" s="3">
        <v>1750</v>
      </c>
      <c r="M496" s="4">
        <f t="shared" si="42"/>
        <v>0.8592057761732852</v>
      </c>
      <c r="N496" s="5">
        <f t="shared" si="43"/>
        <v>1.0830324909747293</v>
      </c>
      <c r="O496" s="3">
        <f t="shared" si="44"/>
        <v>78</v>
      </c>
      <c r="P496" s="3" t="str">
        <f t="shared" si="45"/>
        <v>Medium</v>
      </c>
      <c r="Q496" s="3" t="str">
        <f t="shared" si="46"/>
        <v>Short Supply</v>
      </c>
      <c r="R496" s="6">
        <f t="shared" si="47"/>
        <v>87500</v>
      </c>
    </row>
    <row r="497" spans="1:18" x14ac:dyDescent="0.25">
      <c r="A497" s="2">
        <v>45931</v>
      </c>
      <c r="B497" s="3" t="s">
        <v>51</v>
      </c>
      <c r="C497" s="3" t="s">
        <v>36</v>
      </c>
      <c r="D497" s="3" t="s">
        <v>26</v>
      </c>
      <c r="E497" s="3" t="s">
        <v>27</v>
      </c>
      <c r="F497" s="3">
        <v>719</v>
      </c>
      <c r="G497" s="3">
        <v>687</v>
      </c>
      <c r="H497" s="3">
        <v>682</v>
      </c>
      <c r="I497" s="3">
        <v>731</v>
      </c>
      <c r="J497" s="3">
        <v>111</v>
      </c>
      <c r="K497" s="3">
        <v>74</v>
      </c>
      <c r="L497" s="3">
        <v>1450</v>
      </c>
      <c r="M497" s="4">
        <f t="shared" si="42"/>
        <v>0.94853963838664812</v>
      </c>
      <c r="N497" s="5">
        <f t="shared" si="43"/>
        <v>1.2350486787204451</v>
      </c>
      <c r="O497" s="3">
        <f t="shared" si="44"/>
        <v>37</v>
      </c>
      <c r="P497" s="3" t="str">
        <f t="shared" si="45"/>
        <v>Medium</v>
      </c>
      <c r="Q497" s="3" t="str">
        <f t="shared" si="46"/>
        <v>Short Supply</v>
      </c>
      <c r="R497" s="6">
        <f t="shared" si="47"/>
        <v>107300</v>
      </c>
    </row>
    <row r="498" spans="1:18" x14ac:dyDescent="0.25">
      <c r="A498" s="2">
        <v>45931</v>
      </c>
      <c r="B498" s="3" t="s">
        <v>51</v>
      </c>
      <c r="C498" s="3" t="s">
        <v>36</v>
      </c>
      <c r="D498" s="3" t="s">
        <v>28</v>
      </c>
      <c r="E498" s="3" t="s">
        <v>31</v>
      </c>
      <c r="F498" s="3">
        <v>699</v>
      </c>
      <c r="G498" s="3">
        <v>638</v>
      </c>
      <c r="H498" s="3">
        <v>628</v>
      </c>
      <c r="I498" s="3">
        <v>669</v>
      </c>
      <c r="J498" s="3">
        <v>138</v>
      </c>
      <c r="K498" s="3">
        <v>67</v>
      </c>
      <c r="L498" s="3">
        <v>1450</v>
      </c>
      <c r="M498" s="4">
        <f t="shared" si="42"/>
        <v>0.89842632331902716</v>
      </c>
      <c r="N498" s="5">
        <f t="shared" si="43"/>
        <v>1.1502145922746783</v>
      </c>
      <c r="O498" s="3">
        <f t="shared" si="44"/>
        <v>71</v>
      </c>
      <c r="P498" s="3" t="str">
        <f t="shared" si="45"/>
        <v>Medium</v>
      </c>
      <c r="Q498" s="3" t="str">
        <f t="shared" si="46"/>
        <v>Short Supply</v>
      </c>
      <c r="R498" s="6">
        <f t="shared" si="47"/>
        <v>97150</v>
      </c>
    </row>
    <row r="499" spans="1:18" x14ac:dyDescent="0.25">
      <c r="A499" s="2">
        <v>45931</v>
      </c>
      <c r="B499" s="3" t="s">
        <v>51</v>
      </c>
      <c r="C499" s="3" t="s">
        <v>36</v>
      </c>
      <c r="D499" s="3" t="s">
        <v>30</v>
      </c>
      <c r="E499" s="3" t="s">
        <v>29</v>
      </c>
      <c r="F499" s="3">
        <v>478</v>
      </c>
      <c r="G499" s="3">
        <v>531</v>
      </c>
      <c r="H499" s="3">
        <v>528</v>
      </c>
      <c r="I499" s="3">
        <v>491</v>
      </c>
      <c r="J499" s="3">
        <v>118</v>
      </c>
      <c r="K499" s="3">
        <v>168</v>
      </c>
      <c r="L499" s="3">
        <v>1450</v>
      </c>
      <c r="M499" s="4">
        <f t="shared" si="42"/>
        <v>1.104602510460251</v>
      </c>
      <c r="N499" s="5">
        <f t="shared" si="43"/>
        <v>4.2175732217573216</v>
      </c>
      <c r="O499" s="3">
        <f t="shared" si="44"/>
        <v>-50</v>
      </c>
      <c r="P499" s="3" t="str">
        <f t="shared" si="45"/>
        <v>Healthy</v>
      </c>
      <c r="Q499" s="3" t="str">
        <f t="shared" si="46"/>
        <v>On Track</v>
      </c>
      <c r="R499" s="6">
        <f t="shared" si="47"/>
        <v>243600</v>
      </c>
    </row>
    <row r="500" spans="1:18" x14ac:dyDescent="0.25">
      <c r="A500" s="2">
        <v>45931</v>
      </c>
      <c r="B500" s="3" t="s">
        <v>51</v>
      </c>
      <c r="C500" s="3" t="s">
        <v>36</v>
      </c>
      <c r="D500" s="3" t="s">
        <v>32</v>
      </c>
      <c r="E500" s="3" t="s">
        <v>27</v>
      </c>
      <c r="F500" s="3">
        <v>417</v>
      </c>
      <c r="G500" s="3">
        <v>393</v>
      </c>
      <c r="H500" s="3">
        <v>359</v>
      </c>
      <c r="I500" s="3">
        <v>388</v>
      </c>
      <c r="J500" s="3">
        <v>80</v>
      </c>
      <c r="K500" s="3">
        <v>22</v>
      </c>
      <c r="L500" s="3">
        <v>1450</v>
      </c>
      <c r="M500" s="4">
        <f t="shared" si="42"/>
        <v>0.86091127098321341</v>
      </c>
      <c r="N500" s="5">
        <f t="shared" si="43"/>
        <v>0.63309352517985606</v>
      </c>
      <c r="O500" s="3">
        <f t="shared" si="44"/>
        <v>58</v>
      </c>
      <c r="P500" s="3" t="str">
        <f t="shared" si="45"/>
        <v>Low</v>
      </c>
      <c r="Q500" s="3" t="str">
        <f t="shared" si="46"/>
        <v>Short Supply</v>
      </c>
      <c r="R500" s="6">
        <f t="shared" si="47"/>
        <v>31900</v>
      </c>
    </row>
    <row r="501" spans="1:18" x14ac:dyDescent="0.25">
      <c r="A501" s="2">
        <v>45931</v>
      </c>
      <c r="B501" s="3" t="s">
        <v>51</v>
      </c>
      <c r="C501" s="3" t="s">
        <v>36</v>
      </c>
      <c r="D501" s="3" t="s">
        <v>33</v>
      </c>
      <c r="E501" s="3" t="s">
        <v>34</v>
      </c>
      <c r="F501" s="3">
        <v>502</v>
      </c>
      <c r="G501" s="3">
        <v>447</v>
      </c>
      <c r="H501" s="3">
        <v>420</v>
      </c>
      <c r="I501" s="3">
        <v>495</v>
      </c>
      <c r="J501" s="3">
        <v>73</v>
      </c>
      <c r="K501" s="3">
        <v>0</v>
      </c>
      <c r="L501" s="3">
        <v>1450</v>
      </c>
      <c r="M501" s="4">
        <f t="shared" si="42"/>
        <v>0.8366533864541833</v>
      </c>
      <c r="N501" s="5">
        <f t="shared" si="43"/>
        <v>0</v>
      </c>
      <c r="O501" s="3">
        <f t="shared" si="44"/>
        <v>82</v>
      </c>
      <c r="P501" s="3" t="str">
        <f t="shared" si="45"/>
        <v>Low</v>
      </c>
      <c r="Q501" s="3" t="str">
        <f t="shared" si="46"/>
        <v>Short Supply</v>
      </c>
      <c r="R501" s="6">
        <f t="shared" si="47"/>
        <v>0</v>
      </c>
    </row>
    <row r="502" spans="1:18" x14ac:dyDescent="0.25">
      <c r="A502" s="2">
        <v>45962</v>
      </c>
      <c r="B502" s="3" t="s">
        <v>24</v>
      </c>
      <c r="C502" s="3" t="s">
        <v>25</v>
      </c>
      <c r="D502" s="3" t="s">
        <v>26</v>
      </c>
      <c r="E502" s="3" t="s">
        <v>31</v>
      </c>
      <c r="F502" s="3">
        <v>965</v>
      </c>
      <c r="G502" s="3">
        <v>936</v>
      </c>
      <c r="H502" s="3">
        <v>895</v>
      </c>
      <c r="I502" s="3">
        <v>903</v>
      </c>
      <c r="J502" s="3">
        <v>98</v>
      </c>
      <c r="K502" s="3">
        <v>28</v>
      </c>
      <c r="L502" s="3">
        <v>1800</v>
      </c>
      <c r="M502" s="4">
        <f t="shared" si="42"/>
        <v>0.92746113989637302</v>
      </c>
      <c r="N502" s="5">
        <f t="shared" si="43"/>
        <v>0.34818652849740933</v>
      </c>
      <c r="O502" s="3">
        <f t="shared" si="44"/>
        <v>70</v>
      </c>
      <c r="P502" s="3" t="str">
        <f t="shared" si="45"/>
        <v>Low</v>
      </c>
      <c r="Q502" s="3" t="str">
        <f t="shared" si="46"/>
        <v>Short Supply</v>
      </c>
      <c r="R502" s="6">
        <f t="shared" si="47"/>
        <v>50400</v>
      </c>
    </row>
    <row r="503" spans="1:18" x14ac:dyDescent="0.25">
      <c r="A503" s="2">
        <v>45962</v>
      </c>
      <c r="B503" s="3" t="s">
        <v>24</v>
      </c>
      <c r="C503" s="3" t="s">
        <v>25</v>
      </c>
      <c r="D503" s="3" t="s">
        <v>28</v>
      </c>
      <c r="E503" s="3" t="s">
        <v>27</v>
      </c>
      <c r="F503" s="3">
        <v>676</v>
      </c>
      <c r="G503" s="3">
        <v>606</v>
      </c>
      <c r="H503" s="3">
        <v>605</v>
      </c>
      <c r="I503" s="3">
        <v>653</v>
      </c>
      <c r="J503" s="3">
        <v>85</v>
      </c>
      <c r="K503" s="3">
        <v>14</v>
      </c>
      <c r="L503" s="3">
        <v>1800</v>
      </c>
      <c r="M503" s="4">
        <f t="shared" si="42"/>
        <v>0.8949704142011834</v>
      </c>
      <c r="N503" s="5">
        <f t="shared" si="43"/>
        <v>0.24852071005917162</v>
      </c>
      <c r="O503" s="3">
        <f t="shared" si="44"/>
        <v>71</v>
      </c>
      <c r="P503" s="3" t="str">
        <f t="shared" si="45"/>
        <v>Low</v>
      </c>
      <c r="Q503" s="3" t="str">
        <f t="shared" si="46"/>
        <v>Short Supply</v>
      </c>
      <c r="R503" s="6">
        <f t="shared" si="47"/>
        <v>25200</v>
      </c>
    </row>
    <row r="504" spans="1:18" x14ac:dyDescent="0.25">
      <c r="A504" s="2">
        <v>45962</v>
      </c>
      <c r="B504" s="3" t="s">
        <v>24</v>
      </c>
      <c r="C504" s="3" t="s">
        <v>25</v>
      </c>
      <c r="D504" s="3" t="s">
        <v>30</v>
      </c>
      <c r="E504" s="3" t="s">
        <v>27</v>
      </c>
      <c r="F504" s="3">
        <v>487</v>
      </c>
      <c r="G504" s="3">
        <v>448</v>
      </c>
      <c r="H504" s="3">
        <v>417</v>
      </c>
      <c r="I504" s="3">
        <v>505</v>
      </c>
      <c r="J504" s="3">
        <v>103</v>
      </c>
      <c r="K504" s="3">
        <v>33</v>
      </c>
      <c r="L504" s="3">
        <v>1800</v>
      </c>
      <c r="M504" s="4">
        <f t="shared" si="42"/>
        <v>0.85626283367556466</v>
      </c>
      <c r="N504" s="5">
        <f t="shared" si="43"/>
        <v>0.81314168377823415</v>
      </c>
      <c r="O504" s="3">
        <f t="shared" si="44"/>
        <v>70</v>
      </c>
      <c r="P504" s="3" t="str">
        <f t="shared" si="45"/>
        <v>Low</v>
      </c>
      <c r="Q504" s="3" t="str">
        <f t="shared" si="46"/>
        <v>Short Supply</v>
      </c>
      <c r="R504" s="6">
        <f t="shared" si="47"/>
        <v>59400</v>
      </c>
    </row>
    <row r="505" spans="1:18" x14ac:dyDescent="0.25">
      <c r="A505" s="2">
        <v>45962</v>
      </c>
      <c r="B505" s="3" t="s">
        <v>24</v>
      </c>
      <c r="C505" s="3" t="s">
        <v>25</v>
      </c>
      <c r="D505" s="3" t="s">
        <v>32</v>
      </c>
      <c r="E505" s="3" t="s">
        <v>31</v>
      </c>
      <c r="F505" s="3">
        <v>491</v>
      </c>
      <c r="G505" s="3">
        <v>548</v>
      </c>
      <c r="H505" s="3">
        <v>550</v>
      </c>
      <c r="I505" s="3">
        <v>507</v>
      </c>
      <c r="J505" s="3">
        <v>94</v>
      </c>
      <c r="K505" s="3">
        <v>153</v>
      </c>
      <c r="L505" s="3">
        <v>1800</v>
      </c>
      <c r="M505" s="4">
        <f t="shared" si="42"/>
        <v>1.1201629327902241</v>
      </c>
      <c r="N505" s="5">
        <f t="shared" si="43"/>
        <v>3.7393075356415482</v>
      </c>
      <c r="O505" s="3">
        <f t="shared" si="44"/>
        <v>-59</v>
      </c>
      <c r="P505" s="3" t="str">
        <f t="shared" si="45"/>
        <v>Healthy</v>
      </c>
      <c r="Q505" s="3" t="str">
        <f t="shared" si="46"/>
        <v>On Track</v>
      </c>
      <c r="R505" s="6">
        <f t="shared" si="47"/>
        <v>275400</v>
      </c>
    </row>
    <row r="506" spans="1:18" x14ac:dyDescent="0.25">
      <c r="A506" s="2">
        <v>45962</v>
      </c>
      <c r="B506" s="3" t="s">
        <v>24</v>
      </c>
      <c r="C506" s="3" t="s">
        <v>25</v>
      </c>
      <c r="D506" s="3" t="s">
        <v>33</v>
      </c>
      <c r="E506" s="3" t="s">
        <v>34</v>
      </c>
      <c r="F506" s="3">
        <v>591</v>
      </c>
      <c r="G506" s="3">
        <v>581</v>
      </c>
      <c r="H506" s="3">
        <v>515</v>
      </c>
      <c r="I506" s="3">
        <v>575</v>
      </c>
      <c r="J506" s="3">
        <v>137</v>
      </c>
      <c r="K506" s="3">
        <v>61</v>
      </c>
      <c r="L506" s="3">
        <v>1800</v>
      </c>
      <c r="M506" s="4">
        <f t="shared" si="42"/>
        <v>0.87140439932318103</v>
      </c>
      <c r="N506" s="5">
        <f t="shared" si="43"/>
        <v>1.2385786802030456</v>
      </c>
      <c r="O506" s="3">
        <f t="shared" si="44"/>
        <v>76</v>
      </c>
      <c r="P506" s="3" t="str">
        <f t="shared" si="45"/>
        <v>Medium</v>
      </c>
      <c r="Q506" s="3" t="str">
        <f t="shared" si="46"/>
        <v>Short Supply</v>
      </c>
      <c r="R506" s="6">
        <f t="shared" si="47"/>
        <v>109800</v>
      </c>
    </row>
    <row r="507" spans="1:18" x14ac:dyDescent="0.25">
      <c r="A507" s="2">
        <v>45962</v>
      </c>
      <c r="B507" s="3" t="s">
        <v>35</v>
      </c>
      <c r="C507" s="3" t="s">
        <v>36</v>
      </c>
      <c r="D507" s="3" t="s">
        <v>26</v>
      </c>
      <c r="E507" s="3" t="s">
        <v>31</v>
      </c>
      <c r="F507" s="3">
        <v>832</v>
      </c>
      <c r="G507" s="3">
        <v>876</v>
      </c>
      <c r="H507" s="3">
        <v>860</v>
      </c>
      <c r="I507" s="3">
        <v>800</v>
      </c>
      <c r="J507" s="3">
        <v>82</v>
      </c>
      <c r="K507" s="3">
        <v>110</v>
      </c>
      <c r="L507" s="3">
        <v>1600</v>
      </c>
      <c r="M507" s="4">
        <f t="shared" si="42"/>
        <v>1.0336538461538463</v>
      </c>
      <c r="N507" s="5">
        <f t="shared" si="43"/>
        <v>1.5865384615384617</v>
      </c>
      <c r="O507" s="3">
        <f t="shared" si="44"/>
        <v>-28</v>
      </c>
      <c r="P507" s="3" t="str">
        <f t="shared" si="45"/>
        <v>Medium</v>
      </c>
      <c r="Q507" s="3" t="str">
        <f t="shared" si="46"/>
        <v>On Track</v>
      </c>
      <c r="R507" s="6">
        <f t="shared" si="47"/>
        <v>176000</v>
      </c>
    </row>
    <row r="508" spans="1:18" x14ac:dyDescent="0.25">
      <c r="A508" s="2">
        <v>45962</v>
      </c>
      <c r="B508" s="3" t="s">
        <v>35</v>
      </c>
      <c r="C508" s="3" t="s">
        <v>36</v>
      </c>
      <c r="D508" s="3" t="s">
        <v>28</v>
      </c>
      <c r="E508" s="3" t="s">
        <v>27</v>
      </c>
      <c r="F508" s="3">
        <v>537</v>
      </c>
      <c r="G508" s="3">
        <v>523</v>
      </c>
      <c r="H508" s="3">
        <v>500</v>
      </c>
      <c r="I508" s="3">
        <v>536</v>
      </c>
      <c r="J508" s="3">
        <v>64</v>
      </c>
      <c r="K508" s="3">
        <v>27</v>
      </c>
      <c r="L508" s="3">
        <v>1600</v>
      </c>
      <c r="M508" s="4">
        <f t="shared" si="42"/>
        <v>0.93109869646182497</v>
      </c>
      <c r="N508" s="5">
        <f t="shared" si="43"/>
        <v>0.6033519553072626</v>
      </c>
      <c r="O508" s="3">
        <f t="shared" si="44"/>
        <v>37</v>
      </c>
      <c r="P508" s="3" t="str">
        <f t="shared" si="45"/>
        <v>Low</v>
      </c>
      <c r="Q508" s="3" t="str">
        <f t="shared" si="46"/>
        <v>Short Supply</v>
      </c>
      <c r="R508" s="6">
        <f t="shared" si="47"/>
        <v>43200</v>
      </c>
    </row>
    <row r="509" spans="1:18" x14ac:dyDescent="0.25">
      <c r="A509" s="2">
        <v>45962</v>
      </c>
      <c r="B509" s="3" t="s">
        <v>35</v>
      </c>
      <c r="C509" s="3" t="s">
        <v>36</v>
      </c>
      <c r="D509" s="3" t="s">
        <v>30</v>
      </c>
      <c r="E509" s="3" t="s">
        <v>27</v>
      </c>
      <c r="F509" s="3">
        <v>444</v>
      </c>
      <c r="G509" s="3">
        <v>422</v>
      </c>
      <c r="H509" s="3">
        <v>410</v>
      </c>
      <c r="I509" s="3">
        <v>451</v>
      </c>
      <c r="J509" s="3">
        <v>75</v>
      </c>
      <c r="K509" s="3">
        <v>41</v>
      </c>
      <c r="L509" s="3">
        <v>1600</v>
      </c>
      <c r="M509" s="4">
        <f t="shared" si="42"/>
        <v>0.92342342342342343</v>
      </c>
      <c r="N509" s="5">
        <f t="shared" si="43"/>
        <v>1.1081081081081081</v>
      </c>
      <c r="O509" s="3">
        <f t="shared" si="44"/>
        <v>34</v>
      </c>
      <c r="P509" s="3" t="str">
        <f t="shared" si="45"/>
        <v>Medium</v>
      </c>
      <c r="Q509" s="3" t="str">
        <f t="shared" si="46"/>
        <v>Short Supply</v>
      </c>
      <c r="R509" s="6">
        <f t="shared" si="47"/>
        <v>65600</v>
      </c>
    </row>
    <row r="510" spans="1:18" x14ac:dyDescent="0.25">
      <c r="A510" s="2">
        <v>45962</v>
      </c>
      <c r="B510" s="3" t="s">
        <v>35</v>
      </c>
      <c r="C510" s="3" t="s">
        <v>36</v>
      </c>
      <c r="D510" s="3" t="s">
        <v>32</v>
      </c>
      <c r="E510" s="3" t="s">
        <v>34</v>
      </c>
      <c r="F510" s="3">
        <v>382</v>
      </c>
      <c r="G510" s="3">
        <v>394</v>
      </c>
      <c r="H510" s="3">
        <v>400</v>
      </c>
      <c r="I510" s="3">
        <v>380</v>
      </c>
      <c r="J510" s="3">
        <v>69</v>
      </c>
      <c r="K510" s="3">
        <v>87</v>
      </c>
      <c r="L510" s="3">
        <v>1600</v>
      </c>
      <c r="M510" s="4">
        <f t="shared" si="42"/>
        <v>1.0471204188481675</v>
      </c>
      <c r="N510" s="5">
        <f t="shared" si="43"/>
        <v>2.7329842931937174</v>
      </c>
      <c r="O510" s="3">
        <f t="shared" si="44"/>
        <v>-18</v>
      </c>
      <c r="P510" s="3" t="str">
        <f t="shared" si="45"/>
        <v>Healthy</v>
      </c>
      <c r="Q510" s="3" t="str">
        <f t="shared" si="46"/>
        <v>On Track</v>
      </c>
      <c r="R510" s="6">
        <f t="shared" si="47"/>
        <v>139200</v>
      </c>
    </row>
    <row r="511" spans="1:18" x14ac:dyDescent="0.25">
      <c r="A511" s="2">
        <v>45962</v>
      </c>
      <c r="B511" s="3" t="s">
        <v>35</v>
      </c>
      <c r="C511" s="3" t="s">
        <v>36</v>
      </c>
      <c r="D511" s="3" t="s">
        <v>33</v>
      </c>
      <c r="E511" s="3" t="s">
        <v>29</v>
      </c>
      <c r="F511" s="3">
        <v>461</v>
      </c>
      <c r="G511" s="3">
        <v>504</v>
      </c>
      <c r="H511" s="3">
        <v>462</v>
      </c>
      <c r="I511" s="3">
        <v>471</v>
      </c>
      <c r="J511" s="3">
        <v>91</v>
      </c>
      <c r="K511" s="3">
        <v>92</v>
      </c>
      <c r="L511" s="3">
        <v>1600</v>
      </c>
      <c r="M511" s="4">
        <f t="shared" si="42"/>
        <v>1.0021691973969631</v>
      </c>
      <c r="N511" s="5">
        <f t="shared" si="43"/>
        <v>2.3947939262472886</v>
      </c>
      <c r="O511" s="3">
        <f t="shared" si="44"/>
        <v>-1</v>
      </c>
      <c r="P511" s="3" t="str">
        <f t="shared" si="45"/>
        <v>Healthy</v>
      </c>
      <c r="Q511" s="3" t="str">
        <f t="shared" si="46"/>
        <v>On Track</v>
      </c>
      <c r="R511" s="6">
        <f t="shared" si="47"/>
        <v>147200</v>
      </c>
    </row>
    <row r="512" spans="1:18" x14ac:dyDescent="0.25">
      <c r="A512" s="2">
        <v>45962</v>
      </c>
      <c r="B512" s="3" t="s">
        <v>37</v>
      </c>
      <c r="C512" s="3" t="s">
        <v>38</v>
      </c>
      <c r="D512" s="3" t="s">
        <v>26</v>
      </c>
      <c r="E512" s="3" t="s">
        <v>31</v>
      </c>
      <c r="F512" s="3">
        <v>742</v>
      </c>
      <c r="G512" s="3">
        <v>718</v>
      </c>
      <c r="H512" s="3">
        <v>676</v>
      </c>
      <c r="I512" s="3">
        <v>713</v>
      </c>
      <c r="J512" s="3">
        <v>97</v>
      </c>
      <c r="K512" s="3">
        <v>31</v>
      </c>
      <c r="L512" s="3">
        <v>1300</v>
      </c>
      <c r="M512" s="4">
        <f t="shared" si="42"/>
        <v>0.91105121293800539</v>
      </c>
      <c r="N512" s="5">
        <f t="shared" si="43"/>
        <v>0.50134770889487867</v>
      </c>
      <c r="O512" s="3">
        <f t="shared" si="44"/>
        <v>66</v>
      </c>
      <c r="P512" s="3" t="str">
        <f t="shared" si="45"/>
        <v>Low</v>
      </c>
      <c r="Q512" s="3" t="str">
        <f t="shared" si="46"/>
        <v>Short Supply</v>
      </c>
      <c r="R512" s="6">
        <f t="shared" si="47"/>
        <v>40300</v>
      </c>
    </row>
    <row r="513" spans="1:18" x14ac:dyDescent="0.25">
      <c r="A513" s="2">
        <v>45962</v>
      </c>
      <c r="B513" s="3" t="s">
        <v>37</v>
      </c>
      <c r="C513" s="3" t="s">
        <v>38</v>
      </c>
      <c r="D513" s="3" t="s">
        <v>28</v>
      </c>
      <c r="E513" s="3" t="s">
        <v>29</v>
      </c>
      <c r="F513" s="3">
        <v>569</v>
      </c>
      <c r="G513" s="3">
        <v>577</v>
      </c>
      <c r="H513" s="3">
        <v>519</v>
      </c>
      <c r="I513" s="3">
        <v>586</v>
      </c>
      <c r="J513" s="3">
        <v>67</v>
      </c>
      <c r="K513" s="3">
        <v>17</v>
      </c>
      <c r="L513" s="3">
        <v>1300</v>
      </c>
      <c r="M513" s="4">
        <f t="shared" si="42"/>
        <v>0.91212653778558872</v>
      </c>
      <c r="N513" s="5">
        <f t="shared" si="43"/>
        <v>0.35852372583479786</v>
      </c>
      <c r="O513" s="3">
        <f t="shared" si="44"/>
        <v>50</v>
      </c>
      <c r="P513" s="3" t="str">
        <f t="shared" si="45"/>
        <v>Low</v>
      </c>
      <c r="Q513" s="3" t="str">
        <f t="shared" si="46"/>
        <v>Short Supply</v>
      </c>
      <c r="R513" s="6">
        <f t="shared" si="47"/>
        <v>22100</v>
      </c>
    </row>
    <row r="514" spans="1:18" x14ac:dyDescent="0.25">
      <c r="A514" s="2">
        <v>45962</v>
      </c>
      <c r="B514" s="3" t="s">
        <v>37</v>
      </c>
      <c r="C514" s="3" t="s">
        <v>38</v>
      </c>
      <c r="D514" s="3" t="s">
        <v>30</v>
      </c>
      <c r="E514" s="3" t="s">
        <v>34</v>
      </c>
      <c r="F514" s="3">
        <v>419</v>
      </c>
      <c r="G514" s="3">
        <v>410</v>
      </c>
      <c r="H514" s="3">
        <v>404</v>
      </c>
      <c r="I514" s="3">
        <v>400</v>
      </c>
      <c r="J514" s="3">
        <v>64</v>
      </c>
      <c r="K514" s="3">
        <v>49</v>
      </c>
      <c r="L514" s="3">
        <v>1300</v>
      </c>
      <c r="M514" s="4">
        <f t="shared" ref="M514:M577" si="48">IFERROR(H514/F514,0)</f>
        <v>0.96420047732696901</v>
      </c>
      <c r="N514" s="5">
        <f t="shared" ref="N514:N577" si="49">IFERROR(K514/F514*12,0)</f>
        <v>1.4033412887828163</v>
      </c>
      <c r="O514" s="3">
        <f t="shared" ref="O514:O577" si="50">F514-H514</f>
        <v>15</v>
      </c>
      <c r="P514" s="3" t="str">
        <f t="shared" ref="P514:P577" si="51">IF(N514&lt;1,"Low",IF(N514&lt;=2,"Medium","Healthy"))</f>
        <v>Medium</v>
      </c>
      <c r="Q514" s="3" t="str">
        <f t="shared" ref="Q514:Q577" si="52">IF(H514&lt;F514,"Short Supply","On Track")</f>
        <v>Short Supply</v>
      </c>
      <c r="R514" s="6">
        <f t="shared" ref="R514:R577" si="53">K514*L514</f>
        <v>63700</v>
      </c>
    </row>
    <row r="515" spans="1:18" x14ac:dyDescent="0.25">
      <c r="A515" s="2">
        <v>45962</v>
      </c>
      <c r="B515" s="3" t="s">
        <v>37</v>
      </c>
      <c r="C515" s="3" t="s">
        <v>38</v>
      </c>
      <c r="D515" s="3" t="s">
        <v>32</v>
      </c>
      <c r="E515" s="3" t="s">
        <v>31</v>
      </c>
      <c r="F515" s="3">
        <v>388</v>
      </c>
      <c r="G515" s="3">
        <v>380</v>
      </c>
      <c r="H515" s="3">
        <v>362</v>
      </c>
      <c r="I515" s="3">
        <v>410</v>
      </c>
      <c r="J515" s="3">
        <v>97</v>
      </c>
      <c r="K515" s="3">
        <v>71</v>
      </c>
      <c r="L515" s="3">
        <v>1300</v>
      </c>
      <c r="M515" s="4">
        <f t="shared" si="48"/>
        <v>0.9329896907216495</v>
      </c>
      <c r="N515" s="5">
        <f t="shared" si="49"/>
        <v>2.1958762886597936</v>
      </c>
      <c r="O515" s="3">
        <f t="shared" si="50"/>
        <v>26</v>
      </c>
      <c r="P515" s="3" t="str">
        <f t="shared" si="51"/>
        <v>Healthy</v>
      </c>
      <c r="Q515" s="3" t="str">
        <f t="shared" si="52"/>
        <v>Short Supply</v>
      </c>
      <c r="R515" s="6">
        <f t="shared" si="53"/>
        <v>92300</v>
      </c>
    </row>
    <row r="516" spans="1:18" x14ac:dyDescent="0.25">
      <c r="A516" s="2">
        <v>45962</v>
      </c>
      <c r="B516" s="3" t="s">
        <v>37</v>
      </c>
      <c r="C516" s="3" t="s">
        <v>38</v>
      </c>
      <c r="D516" s="3" t="s">
        <v>33</v>
      </c>
      <c r="E516" s="3" t="s">
        <v>31</v>
      </c>
      <c r="F516" s="3">
        <v>391</v>
      </c>
      <c r="G516" s="3">
        <v>351</v>
      </c>
      <c r="H516" s="3">
        <v>353</v>
      </c>
      <c r="I516" s="3">
        <v>404</v>
      </c>
      <c r="J516" s="3">
        <v>100</v>
      </c>
      <c r="K516" s="3">
        <v>62</v>
      </c>
      <c r="L516" s="3">
        <v>1300</v>
      </c>
      <c r="M516" s="4">
        <f t="shared" si="48"/>
        <v>0.90281329923273657</v>
      </c>
      <c r="N516" s="5">
        <f t="shared" si="49"/>
        <v>1.9028132992327367</v>
      </c>
      <c r="O516" s="3">
        <f t="shared" si="50"/>
        <v>38</v>
      </c>
      <c r="P516" s="3" t="str">
        <f t="shared" si="51"/>
        <v>Medium</v>
      </c>
      <c r="Q516" s="3" t="str">
        <f t="shared" si="52"/>
        <v>Short Supply</v>
      </c>
      <c r="R516" s="6">
        <f t="shared" si="53"/>
        <v>80600</v>
      </c>
    </row>
    <row r="517" spans="1:18" x14ac:dyDescent="0.25">
      <c r="A517" s="2">
        <v>45962</v>
      </c>
      <c r="B517" s="3" t="s">
        <v>39</v>
      </c>
      <c r="C517" s="3" t="s">
        <v>40</v>
      </c>
      <c r="D517" s="3" t="s">
        <v>26</v>
      </c>
      <c r="E517" s="3" t="s">
        <v>31</v>
      </c>
      <c r="F517" s="3">
        <v>777</v>
      </c>
      <c r="G517" s="3">
        <v>824</v>
      </c>
      <c r="H517" s="3">
        <v>745</v>
      </c>
      <c r="I517" s="3">
        <v>837</v>
      </c>
      <c r="J517" s="3">
        <v>137</v>
      </c>
      <c r="K517" s="3">
        <v>105</v>
      </c>
      <c r="L517" s="3">
        <v>1700</v>
      </c>
      <c r="M517" s="4">
        <f t="shared" si="48"/>
        <v>0.95881595881595882</v>
      </c>
      <c r="N517" s="5">
        <f t="shared" si="49"/>
        <v>1.6216216216216217</v>
      </c>
      <c r="O517" s="3">
        <f t="shared" si="50"/>
        <v>32</v>
      </c>
      <c r="P517" s="3" t="str">
        <f t="shared" si="51"/>
        <v>Medium</v>
      </c>
      <c r="Q517" s="3" t="str">
        <f t="shared" si="52"/>
        <v>Short Supply</v>
      </c>
      <c r="R517" s="6">
        <f t="shared" si="53"/>
        <v>178500</v>
      </c>
    </row>
    <row r="518" spans="1:18" x14ac:dyDescent="0.25">
      <c r="A518" s="2">
        <v>45962</v>
      </c>
      <c r="B518" s="3" t="s">
        <v>39</v>
      </c>
      <c r="C518" s="3" t="s">
        <v>40</v>
      </c>
      <c r="D518" s="3" t="s">
        <v>28</v>
      </c>
      <c r="E518" s="3" t="s">
        <v>31</v>
      </c>
      <c r="F518" s="3">
        <v>605</v>
      </c>
      <c r="G518" s="3">
        <v>593</v>
      </c>
      <c r="H518" s="3">
        <v>603</v>
      </c>
      <c r="I518" s="3">
        <v>598</v>
      </c>
      <c r="J518" s="3">
        <v>139</v>
      </c>
      <c r="K518" s="3">
        <v>137</v>
      </c>
      <c r="L518" s="3">
        <v>1700</v>
      </c>
      <c r="M518" s="4">
        <f t="shared" si="48"/>
        <v>0.99669421487603305</v>
      </c>
      <c r="N518" s="5">
        <f t="shared" si="49"/>
        <v>2.7173553719008261</v>
      </c>
      <c r="O518" s="3">
        <f t="shared" si="50"/>
        <v>2</v>
      </c>
      <c r="P518" s="3" t="str">
        <f t="shared" si="51"/>
        <v>Healthy</v>
      </c>
      <c r="Q518" s="3" t="str">
        <f t="shared" si="52"/>
        <v>Short Supply</v>
      </c>
      <c r="R518" s="6">
        <f t="shared" si="53"/>
        <v>232900</v>
      </c>
    </row>
    <row r="519" spans="1:18" x14ac:dyDescent="0.25">
      <c r="A519" s="2">
        <v>45962</v>
      </c>
      <c r="B519" s="3" t="s">
        <v>39</v>
      </c>
      <c r="C519" s="3" t="s">
        <v>40</v>
      </c>
      <c r="D519" s="3" t="s">
        <v>30</v>
      </c>
      <c r="E519" s="3" t="s">
        <v>34</v>
      </c>
      <c r="F519" s="3">
        <v>557</v>
      </c>
      <c r="G519" s="3">
        <v>524</v>
      </c>
      <c r="H519" s="3">
        <v>527</v>
      </c>
      <c r="I519" s="3">
        <v>593</v>
      </c>
      <c r="J519" s="3">
        <v>65</v>
      </c>
      <c r="K519" s="3">
        <v>35</v>
      </c>
      <c r="L519" s="3">
        <v>1700</v>
      </c>
      <c r="M519" s="4">
        <f t="shared" si="48"/>
        <v>0.94614003590664275</v>
      </c>
      <c r="N519" s="5">
        <f t="shared" si="49"/>
        <v>0.7540394973070017</v>
      </c>
      <c r="O519" s="3">
        <f t="shared" si="50"/>
        <v>30</v>
      </c>
      <c r="P519" s="3" t="str">
        <f t="shared" si="51"/>
        <v>Low</v>
      </c>
      <c r="Q519" s="3" t="str">
        <f t="shared" si="52"/>
        <v>Short Supply</v>
      </c>
      <c r="R519" s="6">
        <f t="shared" si="53"/>
        <v>59500</v>
      </c>
    </row>
    <row r="520" spans="1:18" x14ac:dyDescent="0.25">
      <c r="A520" s="2">
        <v>45962</v>
      </c>
      <c r="B520" s="3" t="s">
        <v>39</v>
      </c>
      <c r="C520" s="3" t="s">
        <v>40</v>
      </c>
      <c r="D520" s="3" t="s">
        <v>32</v>
      </c>
      <c r="E520" s="3" t="s">
        <v>27</v>
      </c>
      <c r="F520" s="3">
        <v>475</v>
      </c>
      <c r="G520" s="3">
        <v>480</v>
      </c>
      <c r="H520" s="3">
        <v>479</v>
      </c>
      <c r="I520" s="3">
        <v>476</v>
      </c>
      <c r="J520" s="3">
        <v>133</v>
      </c>
      <c r="K520" s="3">
        <v>137</v>
      </c>
      <c r="L520" s="3">
        <v>1700</v>
      </c>
      <c r="M520" s="4">
        <f t="shared" si="48"/>
        <v>1.0084210526315789</v>
      </c>
      <c r="N520" s="5">
        <f t="shared" si="49"/>
        <v>3.4610526315789478</v>
      </c>
      <c r="O520" s="3">
        <f t="shared" si="50"/>
        <v>-4</v>
      </c>
      <c r="P520" s="3" t="str">
        <f t="shared" si="51"/>
        <v>Healthy</v>
      </c>
      <c r="Q520" s="3" t="str">
        <f t="shared" si="52"/>
        <v>On Track</v>
      </c>
      <c r="R520" s="6">
        <f t="shared" si="53"/>
        <v>232900</v>
      </c>
    </row>
    <row r="521" spans="1:18" x14ac:dyDescent="0.25">
      <c r="A521" s="2">
        <v>45962</v>
      </c>
      <c r="B521" s="3" t="s">
        <v>39</v>
      </c>
      <c r="C521" s="3" t="s">
        <v>40</v>
      </c>
      <c r="D521" s="3" t="s">
        <v>33</v>
      </c>
      <c r="E521" s="3" t="s">
        <v>31</v>
      </c>
      <c r="F521" s="3">
        <v>564</v>
      </c>
      <c r="G521" s="3">
        <v>580</v>
      </c>
      <c r="H521" s="3">
        <v>552</v>
      </c>
      <c r="I521" s="3">
        <v>556</v>
      </c>
      <c r="J521" s="3">
        <v>93</v>
      </c>
      <c r="K521" s="3">
        <v>81</v>
      </c>
      <c r="L521" s="3">
        <v>1700</v>
      </c>
      <c r="M521" s="4">
        <f t="shared" si="48"/>
        <v>0.97872340425531912</v>
      </c>
      <c r="N521" s="5">
        <f t="shared" si="49"/>
        <v>1.7234042553191491</v>
      </c>
      <c r="O521" s="3">
        <f t="shared" si="50"/>
        <v>12</v>
      </c>
      <c r="P521" s="3" t="str">
        <f t="shared" si="51"/>
        <v>Medium</v>
      </c>
      <c r="Q521" s="3" t="str">
        <f t="shared" si="52"/>
        <v>Short Supply</v>
      </c>
      <c r="R521" s="6">
        <f t="shared" si="53"/>
        <v>137700</v>
      </c>
    </row>
    <row r="522" spans="1:18" x14ac:dyDescent="0.25">
      <c r="A522" s="2">
        <v>45962</v>
      </c>
      <c r="B522" s="3" t="s">
        <v>41</v>
      </c>
      <c r="C522" s="3" t="s">
        <v>42</v>
      </c>
      <c r="D522" s="3" t="s">
        <v>26</v>
      </c>
      <c r="E522" s="3" t="s">
        <v>27</v>
      </c>
      <c r="F522" s="3">
        <v>555</v>
      </c>
      <c r="G522" s="3">
        <v>566</v>
      </c>
      <c r="H522" s="3">
        <v>574</v>
      </c>
      <c r="I522" s="3">
        <v>519</v>
      </c>
      <c r="J522" s="3">
        <v>68</v>
      </c>
      <c r="K522" s="3">
        <v>87</v>
      </c>
      <c r="L522" s="3">
        <v>1200</v>
      </c>
      <c r="M522" s="4">
        <f t="shared" si="48"/>
        <v>1.0342342342342343</v>
      </c>
      <c r="N522" s="5">
        <f t="shared" si="49"/>
        <v>1.8810810810810812</v>
      </c>
      <c r="O522" s="3">
        <f t="shared" si="50"/>
        <v>-19</v>
      </c>
      <c r="P522" s="3" t="str">
        <f t="shared" si="51"/>
        <v>Medium</v>
      </c>
      <c r="Q522" s="3" t="str">
        <f t="shared" si="52"/>
        <v>On Track</v>
      </c>
      <c r="R522" s="6">
        <f t="shared" si="53"/>
        <v>104400</v>
      </c>
    </row>
    <row r="523" spans="1:18" x14ac:dyDescent="0.25">
      <c r="A523" s="2">
        <v>45962</v>
      </c>
      <c r="B523" s="3" t="s">
        <v>41</v>
      </c>
      <c r="C523" s="3" t="s">
        <v>42</v>
      </c>
      <c r="D523" s="3" t="s">
        <v>28</v>
      </c>
      <c r="E523" s="3" t="s">
        <v>34</v>
      </c>
      <c r="F523" s="3">
        <v>459</v>
      </c>
      <c r="G523" s="3">
        <v>499</v>
      </c>
      <c r="H523" s="3">
        <v>500</v>
      </c>
      <c r="I523" s="3">
        <v>486</v>
      </c>
      <c r="J523" s="3">
        <v>81</v>
      </c>
      <c r="K523" s="3">
        <v>122</v>
      </c>
      <c r="L523" s="3">
        <v>1200</v>
      </c>
      <c r="M523" s="4">
        <f t="shared" si="48"/>
        <v>1.0893246187363834</v>
      </c>
      <c r="N523" s="5">
        <f t="shared" si="49"/>
        <v>3.1895424836601309</v>
      </c>
      <c r="O523" s="3">
        <f t="shared" si="50"/>
        <v>-41</v>
      </c>
      <c r="P523" s="3" t="str">
        <f t="shared" si="51"/>
        <v>Healthy</v>
      </c>
      <c r="Q523" s="3" t="str">
        <f t="shared" si="52"/>
        <v>On Track</v>
      </c>
      <c r="R523" s="6">
        <f t="shared" si="53"/>
        <v>146400</v>
      </c>
    </row>
    <row r="524" spans="1:18" x14ac:dyDescent="0.25">
      <c r="A524" s="2">
        <v>45962</v>
      </c>
      <c r="B524" s="3" t="s">
        <v>41</v>
      </c>
      <c r="C524" s="3" t="s">
        <v>42</v>
      </c>
      <c r="D524" s="3" t="s">
        <v>30</v>
      </c>
      <c r="E524" s="3" t="s">
        <v>34</v>
      </c>
      <c r="F524" s="3">
        <v>321</v>
      </c>
      <c r="G524" s="3">
        <v>318</v>
      </c>
      <c r="H524" s="3">
        <v>287</v>
      </c>
      <c r="I524" s="3">
        <v>316</v>
      </c>
      <c r="J524" s="3">
        <v>109</v>
      </c>
      <c r="K524" s="3">
        <v>75</v>
      </c>
      <c r="L524" s="3">
        <v>1200</v>
      </c>
      <c r="M524" s="4">
        <f t="shared" si="48"/>
        <v>0.89408099688473519</v>
      </c>
      <c r="N524" s="5">
        <f t="shared" si="49"/>
        <v>2.8037383177570092</v>
      </c>
      <c r="O524" s="3">
        <f t="shared" si="50"/>
        <v>34</v>
      </c>
      <c r="P524" s="3" t="str">
        <f t="shared" si="51"/>
        <v>Healthy</v>
      </c>
      <c r="Q524" s="3" t="str">
        <f t="shared" si="52"/>
        <v>Short Supply</v>
      </c>
      <c r="R524" s="6">
        <f t="shared" si="53"/>
        <v>90000</v>
      </c>
    </row>
    <row r="525" spans="1:18" x14ac:dyDescent="0.25">
      <c r="A525" s="2">
        <v>45962</v>
      </c>
      <c r="B525" s="3" t="s">
        <v>41</v>
      </c>
      <c r="C525" s="3" t="s">
        <v>42</v>
      </c>
      <c r="D525" s="3" t="s">
        <v>32</v>
      </c>
      <c r="E525" s="3" t="s">
        <v>29</v>
      </c>
      <c r="F525" s="3">
        <v>250</v>
      </c>
      <c r="G525" s="3">
        <v>273</v>
      </c>
      <c r="H525" s="3">
        <v>252</v>
      </c>
      <c r="I525" s="3">
        <v>239</v>
      </c>
      <c r="J525" s="3">
        <v>119</v>
      </c>
      <c r="K525" s="3">
        <v>121</v>
      </c>
      <c r="L525" s="3">
        <v>1200</v>
      </c>
      <c r="M525" s="4">
        <f t="shared" si="48"/>
        <v>1.008</v>
      </c>
      <c r="N525" s="5">
        <f t="shared" si="49"/>
        <v>5.8079999999999998</v>
      </c>
      <c r="O525" s="3">
        <f t="shared" si="50"/>
        <v>-2</v>
      </c>
      <c r="P525" s="3" t="str">
        <f t="shared" si="51"/>
        <v>Healthy</v>
      </c>
      <c r="Q525" s="3" t="str">
        <f t="shared" si="52"/>
        <v>On Track</v>
      </c>
      <c r="R525" s="6">
        <f t="shared" si="53"/>
        <v>145200</v>
      </c>
    </row>
    <row r="526" spans="1:18" x14ac:dyDescent="0.25">
      <c r="A526" s="2">
        <v>45962</v>
      </c>
      <c r="B526" s="3" t="s">
        <v>41</v>
      </c>
      <c r="C526" s="3" t="s">
        <v>42</v>
      </c>
      <c r="D526" s="3" t="s">
        <v>33</v>
      </c>
      <c r="E526" s="3" t="s">
        <v>34</v>
      </c>
      <c r="F526" s="3">
        <v>360</v>
      </c>
      <c r="G526" s="3">
        <v>318</v>
      </c>
      <c r="H526" s="3">
        <v>316</v>
      </c>
      <c r="I526" s="3">
        <v>348</v>
      </c>
      <c r="J526" s="3">
        <v>82</v>
      </c>
      <c r="K526" s="3">
        <v>38</v>
      </c>
      <c r="L526" s="3">
        <v>1200</v>
      </c>
      <c r="M526" s="4">
        <f t="shared" si="48"/>
        <v>0.87777777777777777</v>
      </c>
      <c r="N526" s="5">
        <f t="shared" si="49"/>
        <v>1.2666666666666666</v>
      </c>
      <c r="O526" s="3">
        <f t="shared" si="50"/>
        <v>44</v>
      </c>
      <c r="P526" s="3" t="str">
        <f t="shared" si="51"/>
        <v>Medium</v>
      </c>
      <c r="Q526" s="3" t="str">
        <f t="shared" si="52"/>
        <v>Short Supply</v>
      </c>
      <c r="R526" s="6">
        <f t="shared" si="53"/>
        <v>45600</v>
      </c>
    </row>
    <row r="527" spans="1:18" x14ac:dyDescent="0.25">
      <c r="A527" s="2">
        <v>45962</v>
      </c>
      <c r="B527" s="3" t="s">
        <v>43</v>
      </c>
      <c r="C527" s="3" t="s">
        <v>44</v>
      </c>
      <c r="D527" s="3" t="s">
        <v>26</v>
      </c>
      <c r="E527" s="3" t="s">
        <v>34</v>
      </c>
      <c r="F527" s="3">
        <v>803</v>
      </c>
      <c r="G527" s="3">
        <v>838</v>
      </c>
      <c r="H527" s="3">
        <v>851</v>
      </c>
      <c r="I527" s="3">
        <v>768</v>
      </c>
      <c r="J527" s="3">
        <v>84</v>
      </c>
      <c r="K527" s="3">
        <v>132</v>
      </c>
      <c r="L527" s="3">
        <v>1400</v>
      </c>
      <c r="M527" s="4">
        <f t="shared" si="48"/>
        <v>1.0597758405977584</v>
      </c>
      <c r="N527" s="5">
        <f t="shared" si="49"/>
        <v>1.9726027397260273</v>
      </c>
      <c r="O527" s="3">
        <f t="shared" si="50"/>
        <v>-48</v>
      </c>
      <c r="P527" s="3" t="str">
        <f t="shared" si="51"/>
        <v>Medium</v>
      </c>
      <c r="Q527" s="3" t="str">
        <f t="shared" si="52"/>
        <v>On Track</v>
      </c>
      <c r="R527" s="6">
        <f t="shared" si="53"/>
        <v>184800</v>
      </c>
    </row>
    <row r="528" spans="1:18" x14ac:dyDescent="0.25">
      <c r="A528" s="2">
        <v>45962</v>
      </c>
      <c r="B528" s="3" t="s">
        <v>43</v>
      </c>
      <c r="C528" s="3" t="s">
        <v>44</v>
      </c>
      <c r="D528" s="3" t="s">
        <v>28</v>
      </c>
      <c r="E528" s="3" t="s">
        <v>34</v>
      </c>
      <c r="F528" s="3">
        <v>610</v>
      </c>
      <c r="G528" s="3">
        <v>583</v>
      </c>
      <c r="H528" s="3">
        <v>572</v>
      </c>
      <c r="I528" s="3">
        <v>620</v>
      </c>
      <c r="J528" s="3">
        <v>67</v>
      </c>
      <c r="K528" s="3">
        <v>29</v>
      </c>
      <c r="L528" s="3">
        <v>1400</v>
      </c>
      <c r="M528" s="4">
        <f t="shared" si="48"/>
        <v>0.93770491803278688</v>
      </c>
      <c r="N528" s="5">
        <f t="shared" si="49"/>
        <v>0.57049180327868854</v>
      </c>
      <c r="O528" s="3">
        <f t="shared" si="50"/>
        <v>38</v>
      </c>
      <c r="P528" s="3" t="str">
        <f t="shared" si="51"/>
        <v>Low</v>
      </c>
      <c r="Q528" s="3" t="str">
        <f t="shared" si="52"/>
        <v>Short Supply</v>
      </c>
      <c r="R528" s="6">
        <f t="shared" si="53"/>
        <v>40600</v>
      </c>
    </row>
    <row r="529" spans="1:18" x14ac:dyDescent="0.25">
      <c r="A529" s="2">
        <v>45962</v>
      </c>
      <c r="B529" s="3" t="s">
        <v>43</v>
      </c>
      <c r="C529" s="3" t="s">
        <v>44</v>
      </c>
      <c r="D529" s="3" t="s">
        <v>30</v>
      </c>
      <c r="E529" s="3" t="s">
        <v>27</v>
      </c>
      <c r="F529" s="3">
        <v>383</v>
      </c>
      <c r="G529" s="3">
        <v>412</v>
      </c>
      <c r="H529" s="3">
        <v>405</v>
      </c>
      <c r="I529" s="3">
        <v>398</v>
      </c>
      <c r="J529" s="3">
        <v>129</v>
      </c>
      <c r="K529" s="3">
        <v>151</v>
      </c>
      <c r="L529" s="3">
        <v>1400</v>
      </c>
      <c r="M529" s="4">
        <f t="shared" si="48"/>
        <v>1.0574412532637076</v>
      </c>
      <c r="N529" s="5">
        <f t="shared" si="49"/>
        <v>4.731070496083551</v>
      </c>
      <c r="O529" s="3">
        <f t="shared" si="50"/>
        <v>-22</v>
      </c>
      <c r="P529" s="3" t="str">
        <f t="shared" si="51"/>
        <v>Healthy</v>
      </c>
      <c r="Q529" s="3" t="str">
        <f t="shared" si="52"/>
        <v>On Track</v>
      </c>
      <c r="R529" s="6">
        <f t="shared" si="53"/>
        <v>211400</v>
      </c>
    </row>
    <row r="530" spans="1:18" x14ac:dyDescent="0.25">
      <c r="A530" s="2">
        <v>45962</v>
      </c>
      <c r="B530" s="3" t="s">
        <v>43</v>
      </c>
      <c r="C530" s="3" t="s">
        <v>44</v>
      </c>
      <c r="D530" s="3" t="s">
        <v>32</v>
      </c>
      <c r="E530" s="3" t="s">
        <v>27</v>
      </c>
      <c r="F530" s="3">
        <v>388</v>
      </c>
      <c r="G530" s="3">
        <v>356</v>
      </c>
      <c r="H530" s="3">
        <v>328</v>
      </c>
      <c r="I530" s="3">
        <v>388</v>
      </c>
      <c r="J530" s="3">
        <v>70</v>
      </c>
      <c r="K530" s="3">
        <v>10</v>
      </c>
      <c r="L530" s="3">
        <v>1400</v>
      </c>
      <c r="M530" s="4">
        <f t="shared" si="48"/>
        <v>0.84536082474226804</v>
      </c>
      <c r="N530" s="5">
        <f t="shared" si="49"/>
        <v>0.30927835051546393</v>
      </c>
      <c r="O530" s="3">
        <f t="shared" si="50"/>
        <v>60</v>
      </c>
      <c r="P530" s="3" t="str">
        <f t="shared" si="51"/>
        <v>Low</v>
      </c>
      <c r="Q530" s="3" t="str">
        <f t="shared" si="52"/>
        <v>Short Supply</v>
      </c>
      <c r="R530" s="6">
        <f t="shared" si="53"/>
        <v>14000</v>
      </c>
    </row>
    <row r="531" spans="1:18" x14ac:dyDescent="0.25">
      <c r="A531" s="2">
        <v>45962</v>
      </c>
      <c r="B531" s="3" t="s">
        <v>43</v>
      </c>
      <c r="C531" s="3" t="s">
        <v>44</v>
      </c>
      <c r="D531" s="3" t="s">
        <v>33</v>
      </c>
      <c r="E531" s="3" t="s">
        <v>27</v>
      </c>
      <c r="F531" s="3">
        <v>387</v>
      </c>
      <c r="G531" s="3">
        <v>421</v>
      </c>
      <c r="H531" s="3">
        <v>382</v>
      </c>
      <c r="I531" s="3">
        <v>359</v>
      </c>
      <c r="J531" s="3">
        <v>62</v>
      </c>
      <c r="K531" s="3">
        <v>57</v>
      </c>
      <c r="L531" s="3">
        <v>1400</v>
      </c>
      <c r="M531" s="4">
        <f t="shared" si="48"/>
        <v>0.98708010335917318</v>
      </c>
      <c r="N531" s="5">
        <f t="shared" si="49"/>
        <v>1.7674418604651163</v>
      </c>
      <c r="O531" s="3">
        <f t="shared" si="50"/>
        <v>5</v>
      </c>
      <c r="P531" s="3" t="str">
        <f t="shared" si="51"/>
        <v>Medium</v>
      </c>
      <c r="Q531" s="3" t="str">
        <f t="shared" si="52"/>
        <v>Short Supply</v>
      </c>
      <c r="R531" s="6">
        <f t="shared" si="53"/>
        <v>79800</v>
      </c>
    </row>
    <row r="532" spans="1:18" x14ac:dyDescent="0.25">
      <c r="A532" s="2">
        <v>45962</v>
      </c>
      <c r="B532" s="3" t="s">
        <v>45</v>
      </c>
      <c r="C532" s="3" t="s">
        <v>46</v>
      </c>
      <c r="D532" s="3" t="s">
        <v>26</v>
      </c>
      <c r="E532" s="3" t="s">
        <v>27</v>
      </c>
      <c r="F532" s="3">
        <v>680</v>
      </c>
      <c r="G532" s="3">
        <v>713</v>
      </c>
      <c r="H532" s="3">
        <v>654</v>
      </c>
      <c r="I532" s="3">
        <v>715</v>
      </c>
      <c r="J532" s="3">
        <v>100</v>
      </c>
      <c r="K532" s="3">
        <v>74</v>
      </c>
      <c r="L532" s="3">
        <v>1500</v>
      </c>
      <c r="M532" s="4">
        <f t="shared" si="48"/>
        <v>0.96176470588235297</v>
      </c>
      <c r="N532" s="5">
        <f t="shared" si="49"/>
        <v>1.3058823529411765</v>
      </c>
      <c r="O532" s="3">
        <f t="shared" si="50"/>
        <v>26</v>
      </c>
      <c r="P532" s="3" t="str">
        <f t="shared" si="51"/>
        <v>Medium</v>
      </c>
      <c r="Q532" s="3" t="str">
        <f t="shared" si="52"/>
        <v>Short Supply</v>
      </c>
      <c r="R532" s="6">
        <f t="shared" si="53"/>
        <v>111000</v>
      </c>
    </row>
    <row r="533" spans="1:18" x14ac:dyDescent="0.25">
      <c r="A533" s="2">
        <v>45962</v>
      </c>
      <c r="B533" s="3" t="s">
        <v>45</v>
      </c>
      <c r="C533" s="3" t="s">
        <v>46</v>
      </c>
      <c r="D533" s="3" t="s">
        <v>28</v>
      </c>
      <c r="E533" s="3" t="s">
        <v>34</v>
      </c>
      <c r="F533" s="3">
        <v>495</v>
      </c>
      <c r="G533" s="3">
        <v>464</v>
      </c>
      <c r="H533" s="3">
        <v>440</v>
      </c>
      <c r="I533" s="3">
        <v>490</v>
      </c>
      <c r="J533" s="3">
        <v>136</v>
      </c>
      <c r="K533" s="3">
        <v>81</v>
      </c>
      <c r="L533" s="3">
        <v>1500</v>
      </c>
      <c r="M533" s="4">
        <f t="shared" si="48"/>
        <v>0.88888888888888884</v>
      </c>
      <c r="N533" s="5">
        <f t="shared" si="49"/>
        <v>1.9636363636363636</v>
      </c>
      <c r="O533" s="3">
        <f t="shared" si="50"/>
        <v>55</v>
      </c>
      <c r="P533" s="3" t="str">
        <f t="shared" si="51"/>
        <v>Medium</v>
      </c>
      <c r="Q533" s="3" t="str">
        <f t="shared" si="52"/>
        <v>Short Supply</v>
      </c>
      <c r="R533" s="6">
        <f t="shared" si="53"/>
        <v>121500</v>
      </c>
    </row>
    <row r="534" spans="1:18" x14ac:dyDescent="0.25">
      <c r="A534" s="2">
        <v>45962</v>
      </c>
      <c r="B534" s="3" t="s">
        <v>45</v>
      </c>
      <c r="C534" s="3" t="s">
        <v>46</v>
      </c>
      <c r="D534" s="3" t="s">
        <v>30</v>
      </c>
      <c r="E534" s="3" t="s">
        <v>27</v>
      </c>
      <c r="F534" s="3">
        <v>358</v>
      </c>
      <c r="G534" s="3">
        <v>345</v>
      </c>
      <c r="H534" s="3">
        <v>311</v>
      </c>
      <c r="I534" s="3">
        <v>380</v>
      </c>
      <c r="J534" s="3">
        <v>119</v>
      </c>
      <c r="K534" s="3">
        <v>72</v>
      </c>
      <c r="L534" s="3">
        <v>1500</v>
      </c>
      <c r="M534" s="4">
        <f t="shared" si="48"/>
        <v>0.86871508379888274</v>
      </c>
      <c r="N534" s="5">
        <f t="shared" si="49"/>
        <v>2.4134078212290504</v>
      </c>
      <c r="O534" s="3">
        <f t="shared" si="50"/>
        <v>47</v>
      </c>
      <c r="P534" s="3" t="str">
        <f t="shared" si="51"/>
        <v>Healthy</v>
      </c>
      <c r="Q534" s="3" t="str">
        <f t="shared" si="52"/>
        <v>Short Supply</v>
      </c>
      <c r="R534" s="6">
        <f t="shared" si="53"/>
        <v>108000</v>
      </c>
    </row>
    <row r="535" spans="1:18" x14ac:dyDescent="0.25">
      <c r="A535" s="2">
        <v>45962</v>
      </c>
      <c r="B535" s="3" t="s">
        <v>45</v>
      </c>
      <c r="C535" s="3" t="s">
        <v>46</v>
      </c>
      <c r="D535" s="3" t="s">
        <v>32</v>
      </c>
      <c r="E535" s="3" t="s">
        <v>31</v>
      </c>
      <c r="F535" s="3">
        <v>301</v>
      </c>
      <c r="G535" s="3">
        <v>292</v>
      </c>
      <c r="H535" s="3">
        <v>263</v>
      </c>
      <c r="I535" s="3">
        <v>304</v>
      </c>
      <c r="J535" s="3">
        <v>137</v>
      </c>
      <c r="K535" s="3">
        <v>99</v>
      </c>
      <c r="L535" s="3">
        <v>1500</v>
      </c>
      <c r="M535" s="4">
        <f t="shared" si="48"/>
        <v>0.87375415282392022</v>
      </c>
      <c r="N535" s="5">
        <f t="shared" si="49"/>
        <v>3.9468438538205977</v>
      </c>
      <c r="O535" s="3">
        <f t="shared" si="50"/>
        <v>38</v>
      </c>
      <c r="P535" s="3" t="str">
        <f t="shared" si="51"/>
        <v>Healthy</v>
      </c>
      <c r="Q535" s="3" t="str">
        <f t="shared" si="52"/>
        <v>Short Supply</v>
      </c>
      <c r="R535" s="6">
        <f t="shared" si="53"/>
        <v>148500</v>
      </c>
    </row>
    <row r="536" spans="1:18" x14ac:dyDescent="0.25">
      <c r="A536" s="2">
        <v>45962</v>
      </c>
      <c r="B536" s="3" t="s">
        <v>45</v>
      </c>
      <c r="C536" s="3" t="s">
        <v>46</v>
      </c>
      <c r="D536" s="3" t="s">
        <v>33</v>
      </c>
      <c r="E536" s="3" t="s">
        <v>27</v>
      </c>
      <c r="F536" s="3">
        <v>374</v>
      </c>
      <c r="G536" s="3">
        <v>389</v>
      </c>
      <c r="H536" s="3">
        <v>356</v>
      </c>
      <c r="I536" s="3">
        <v>368</v>
      </c>
      <c r="J536" s="3">
        <v>61</v>
      </c>
      <c r="K536" s="3">
        <v>43</v>
      </c>
      <c r="L536" s="3">
        <v>1500</v>
      </c>
      <c r="M536" s="4">
        <f t="shared" si="48"/>
        <v>0.95187165775401072</v>
      </c>
      <c r="N536" s="5">
        <f t="shared" si="49"/>
        <v>1.3796791443850267</v>
      </c>
      <c r="O536" s="3">
        <f t="shared" si="50"/>
        <v>18</v>
      </c>
      <c r="P536" s="3" t="str">
        <f t="shared" si="51"/>
        <v>Medium</v>
      </c>
      <c r="Q536" s="3" t="str">
        <f t="shared" si="52"/>
        <v>Short Supply</v>
      </c>
      <c r="R536" s="6">
        <f t="shared" si="53"/>
        <v>64500</v>
      </c>
    </row>
    <row r="537" spans="1:18" x14ac:dyDescent="0.25">
      <c r="A537" s="2">
        <v>45962</v>
      </c>
      <c r="B537" s="3" t="s">
        <v>47</v>
      </c>
      <c r="C537" s="3" t="s">
        <v>48</v>
      </c>
      <c r="D537" s="3" t="s">
        <v>26</v>
      </c>
      <c r="E537" s="3" t="s">
        <v>29</v>
      </c>
      <c r="F537" s="3">
        <v>630</v>
      </c>
      <c r="G537" s="3">
        <v>574</v>
      </c>
      <c r="H537" s="3">
        <v>519</v>
      </c>
      <c r="I537" s="3">
        <v>660</v>
      </c>
      <c r="J537" s="3">
        <v>77</v>
      </c>
      <c r="K537" s="3">
        <v>0</v>
      </c>
      <c r="L537" s="3">
        <v>1250</v>
      </c>
      <c r="M537" s="4">
        <f t="shared" si="48"/>
        <v>0.82380952380952377</v>
      </c>
      <c r="N537" s="5">
        <f t="shared" si="49"/>
        <v>0</v>
      </c>
      <c r="O537" s="3">
        <f t="shared" si="50"/>
        <v>111</v>
      </c>
      <c r="P537" s="3" t="str">
        <f t="shared" si="51"/>
        <v>Low</v>
      </c>
      <c r="Q537" s="3" t="str">
        <f t="shared" si="52"/>
        <v>Short Supply</v>
      </c>
      <c r="R537" s="6">
        <f t="shared" si="53"/>
        <v>0</v>
      </c>
    </row>
    <row r="538" spans="1:18" x14ac:dyDescent="0.25">
      <c r="A538" s="2">
        <v>45962</v>
      </c>
      <c r="B538" s="3" t="s">
        <v>47</v>
      </c>
      <c r="C538" s="3" t="s">
        <v>48</v>
      </c>
      <c r="D538" s="3" t="s">
        <v>28</v>
      </c>
      <c r="E538" s="3" t="s">
        <v>34</v>
      </c>
      <c r="F538" s="3">
        <v>525</v>
      </c>
      <c r="G538" s="3">
        <v>551</v>
      </c>
      <c r="H538" s="3">
        <v>506</v>
      </c>
      <c r="I538" s="3">
        <v>558</v>
      </c>
      <c r="J538" s="3">
        <v>128</v>
      </c>
      <c r="K538" s="3">
        <v>109</v>
      </c>
      <c r="L538" s="3">
        <v>1250</v>
      </c>
      <c r="M538" s="4">
        <f t="shared" si="48"/>
        <v>0.96380952380952378</v>
      </c>
      <c r="N538" s="5">
        <f t="shared" si="49"/>
        <v>2.4914285714285715</v>
      </c>
      <c r="O538" s="3">
        <f t="shared" si="50"/>
        <v>19</v>
      </c>
      <c r="P538" s="3" t="str">
        <f t="shared" si="51"/>
        <v>Healthy</v>
      </c>
      <c r="Q538" s="3" t="str">
        <f t="shared" si="52"/>
        <v>Short Supply</v>
      </c>
      <c r="R538" s="6">
        <f t="shared" si="53"/>
        <v>136250</v>
      </c>
    </row>
    <row r="539" spans="1:18" x14ac:dyDescent="0.25">
      <c r="A539" s="2">
        <v>45962</v>
      </c>
      <c r="B539" s="3" t="s">
        <v>47</v>
      </c>
      <c r="C539" s="3" t="s">
        <v>48</v>
      </c>
      <c r="D539" s="3" t="s">
        <v>30</v>
      </c>
      <c r="E539" s="3" t="s">
        <v>27</v>
      </c>
      <c r="F539" s="3">
        <v>339</v>
      </c>
      <c r="G539" s="3">
        <v>336</v>
      </c>
      <c r="H539" s="3">
        <v>327</v>
      </c>
      <c r="I539" s="3">
        <v>356</v>
      </c>
      <c r="J539" s="3">
        <v>91</v>
      </c>
      <c r="K539" s="3">
        <v>79</v>
      </c>
      <c r="L539" s="3">
        <v>1250</v>
      </c>
      <c r="M539" s="4">
        <f t="shared" si="48"/>
        <v>0.96460176991150437</v>
      </c>
      <c r="N539" s="5">
        <f t="shared" si="49"/>
        <v>2.7964601769911503</v>
      </c>
      <c r="O539" s="3">
        <f t="shared" si="50"/>
        <v>12</v>
      </c>
      <c r="P539" s="3" t="str">
        <f t="shared" si="51"/>
        <v>Healthy</v>
      </c>
      <c r="Q539" s="3" t="str">
        <f t="shared" si="52"/>
        <v>Short Supply</v>
      </c>
      <c r="R539" s="6">
        <f t="shared" si="53"/>
        <v>98750</v>
      </c>
    </row>
    <row r="540" spans="1:18" x14ac:dyDescent="0.25">
      <c r="A540" s="2">
        <v>45962</v>
      </c>
      <c r="B540" s="3" t="s">
        <v>47</v>
      </c>
      <c r="C540" s="3" t="s">
        <v>48</v>
      </c>
      <c r="D540" s="3" t="s">
        <v>32</v>
      </c>
      <c r="E540" s="3" t="s">
        <v>29</v>
      </c>
      <c r="F540" s="3">
        <v>288</v>
      </c>
      <c r="G540" s="3">
        <v>322</v>
      </c>
      <c r="H540" s="3">
        <v>326</v>
      </c>
      <c r="I540" s="3">
        <v>303</v>
      </c>
      <c r="J540" s="3">
        <v>104</v>
      </c>
      <c r="K540" s="3">
        <v>142</v>
      </c>
      <c r="L540" s="3">
        <v>1250</v>
      </c>
      <c r="M540" s="4">
        <f t="shared" si="48"/>
        <v>1.1319444444444444</v>
      </c>
      <c r="N540" s="5">
        <f t="shared" si="49"/>
        <v>5.916666666666667</v>
      </c>
      <c r="O540" s="3">
        <f t="shared" si="50"/>
        <v>-38</v>
      </c>
      <c r="P540" s="3" t="str">
        <f t="shared" si="51"/>
        <v>Healthy</v>
      </c>
      <c r="Q540" s="3" t="str">
        <f t="shared" si="52"/>
        <v>On Track</v>
      </c>
      <c r="R540" s="6">
        <f t="shared" si="53"/>
        <v>177500</v>
      </c>
    </row>
    <row r="541" spans="1:18" x14ac:dyDescent="0.25">
      <c r="A541" s="2">
        <v>45962</v>
      </c>
      <c r="B541" s="3" t="s">
        <v>47</v>
      </c>
      <c r="C541" s="3" t="s">
        <v>48</v>
      </c>
      <c r="D541" s="3" t="s">
        <v>33</v>
      </c>
      <c r="E541" s="3" t="s">
        <v>29</v>
      </c>
      <c r="F541" s="3">
        <v>353</v>
      </c>
      <c r="G541" s="3">
        <v>319</v>
      </c>
      <c r="H541" s="3">
        <v>283</v>
      </c>
      <c r="I541" s="3">
        <v>380</v>
      </c>
      <c r="J541" s="3">
        <v>111</v>
      </c>
      <c r="K541" s="3">
        <v>41</v>
      </c>
      <c r="L541" s="3">
        <v>1250</v>
      </c>
      <c r="M541" s="4">
        <f t="shared" si="48"/>
        <v>0.80169971671388107</v>
      </c>
      <c r="N541" s="5">
        <f t="shared" si="49"/>
        <v>1.3937677053824362</v>
      </c>
      <c r="O541" s="3">
        <f t="shared" si="50"/>
        <v>70</v>
      </c>
      <c r="P541" s="3" t="str">
        <f t="shared" si="51"/>
        <v>Medium</v>
      </c>
      <c r="Q541" s="3" t="str">
        <f t="shared" si="52"/>
        <v>Short Supply</v>
      </c>
      <c r="R541" s="6">
        <f t="shared" si="53"/>
        <v>51250</v>
      </c>
    </row>
    <row r="542" spans="1:18" x14ac:dyDescent="0.25">
      <c r="A542" s="2">
        <v>45962</v>
      </c>
      <c r="B542" s="3" t="s">
        <v>49</v>
      </c>
      <c r="C542" s="3" t="s">
        <v>50</v>
      </c>
      <c r="D542" s="3" t="s">
        <v>26</v>
      </c>
      <c r="E542" s="3" t="s">
        <v>31</v>
      </c>
      <c r="F542" s="3">
        <v>842</v>
      </c>
      <c r="G542" s="3">
        <v>884</v>
      </c>
      <c r="H542" s="3">
        <v>888</v>
      </c>
      <c r="I542" s="3">
        <v>814</v>
      </c>
      <c r="J542" s="3">
        <v>71</v>
      </c>
      <c r="K542" s="3">
        <v>117</v>
      </c>
      <c r="L542" s="3">
        <v>1750</v>
      </c>
      <c r="M542" s="4">
        <f t="shared" si="48"/>
        <v>1.0546318289786223</v>
      </c>
      <c r="N542" s="5">
        <f t="shared" si="49"/>
        <v>1.6674584323040378</v>
      </c>
      <c r="O542" s="3">
        <f t="shared" si="50"/>
        <v>-46</v>
      </c>
      <c r="P542" s="3" t="str">
        <f t="shared" si="51"/>
        <v>Medium</v>
      </c>
      <c r="Q542" s="3" t="str">
        <f t="shared" si="52"/>
        <v>On Track</v>
      </c>
      <c r="R542" s="6">
        <f t="shared" si="53"/>
        <v>204750</v>
      </c>
    </row>
    <row r="543" spans="1:18" x14ac:dyDescent="0.25">
      <c r="A543" s="2">
        <v>45962</v>
      </c>
      <c r="B543" s="3" t="s">
        <v>49</v>
      </c>
      <c r="C543" s="3" t="s">
        <v>50</v>
      </c>
      <c r="D543" s="3" t="s">
        <v>28</v>
      </c>
      <c r="E543" s="3" t="s">
        <v>31</v>
      </c>
      <c r="F543" s="3">
        <v>790</v>
      </c>
      <c r="G543" s="3">
        <v>847</v>
      </c>
      <c r="H543" s="3">
        <v>840</v>
      </c>
      <c r="I543" s="3">
        <v>802</v>
      </c>
      <c r="J543" s="3">
        <v>112</v>
      </c>
      <c r="K543" s="3">
        <v>162</v>
      </c>
      <c r="L543" s="3">
        <v>1750</v>
      </c>
      <c r="M543" s="4">
        <f t="shared" si="48"/>
        <v>1.0632911392405062</v>
      </c>
      <c r="N543" s="5">
        <f t="shared" si="49"/>
        <v>2.4607594936708863</v>
      </c>
      <c r="O543" s="3">
        <f t="shared" si="50"/>
        <v>-50</v>
      </c>
      <c r="P543" s="3" t="str">
        <f t="shared" si="51"/>
        <v>Healthy</v>
      </c>
      <c r="Q543" s="3" t="str">
        <f t="shared" si="52"/>
        <v>On Track</v>
      </c>
      <c r="R543" s="6">
        <f t="shared" si="53"/>
        <v>283500</v>
      </c>
    </row>
    <row r="544" spans="1:18" x14ac:dyDescent="0.25">
      <c r="A544" s="2">
        <v>45962</v>
      </c>
      <c r="B544" s="3" t="s">
        <v>49</v>
      </c>
      <c r="C544" s="3" t="s">
        <v>50</v>
      </c>
      <c r="D544" s="3" t="s">
        <v>30</v>
      </c>
      <c r="E544" s="3" t="s">
        <v>34</v>
      </c>
      <c r="F544" s="3">
        <v>558</v>
      </c>
      <c r="G544" s="3">
        <v>578</v>
      </c>
      <c r="H544" s="3">
        <v>589</v>
      </c>
      <c r="I544" s="3">
        <v>536</v>
      </c>
      <c r="J544" s="3">
        <v>93</v>
      </c>
      <c r="K544" s="3">
        <v>124</v>
      </c>
      <c r="L544" s="3">
        <v>1750</v>
      </c>
      <c r="M544" s="4">
        <f t="shared" si="48"/>
        <v>1.0555555555555556</v>
      </c>
      <c r="N544" s="5">
        <f t="shared" si="49"/>
        <v>2.6666666666666665</v>
      </c>
      <c r="O544" s="3">
        <f t="shared" si="50"/>
        <v>-31</v>
      </c>
      <c r="P544" s="3" t="str">
        <f t="shared" si="51"/>
        <v>Healthy</v>
      </c>
      <c r="Q544" s="3" t="str">
        <f t="shared" si="52"/>
        <v>On Track</v>
      </c>
      <c r="R544" s="6">
        <f t="shared" si="53"/>
        <v>217000</v>
      </c>
    </row>
    <row r="545" spans="1:18" x14ac:dyDescent="0.25">
      <c r="A545" s="2">
        <v>45962</v>
      </c>
      <c r="B545" s="3" t="s">
        <v>49</v>
      </c>
      <c r="C545" s="3" t="s">
        <v>50</v>
      </c>
      <c r="D545" s="3" t="s">
        <v>32</v>
      </c>
      <c r="E545" s="3" t="s">
        <v>31</v>
      </c>
      <c r="F545" s="3">
        <v>518</v>
      </c>
      <c r="G545" s="3">
        <v>528</v>
      </c>
      <c r="H545" s="3">
        <v>538</v>
      </c>
      <c r="I545" s="3">
        <v>544</v>
      </c>
      <c r="J545" s="3">
        <v>87</v>
      </c>
      <c r="K545" s="3">
        <v>107</v>
      </c>
      <c r="L545" s="3">
        <v>1750</v>
      </c>
      <c r="M545" s="4">
        <f t="shared" si="48"/>
        <v>1.0386100386100385</v>
      </c>
      <c r="N545" s="5">
        <f t="shared" si="49"/>
        <v>2.4787644787644787</v>
      </c>
      <c r="O545" s="3">
        <f t="shared" si="50"/>
        <v>-20</v>
      </c>
      <c r="P545" s="3" t="str">
        <f t="shared" si="51"/>
        <v>Healthy</v>
      </c>
      <c r="Q545" s="3" t="str">
        <f t="shared" si="52"/>
        <v>On Track</v>
      </c>
      <c r="R545" s="6">
        <f t="shared" si="53"/>
        <v>187250</v>
      </c>
    </row>
    <row r="546" spans="1:18" x14ac:dyDescent="0.25">
      <c r="A546" s="2">
        <v>45962</v>
      </c>
      <c r="B546" s="3" t="s">
        <v>49</v>
      </c>
      <c r="C546" s="3" t="s">
        <v>50</v>
      </c>
      <c r="D546" s="3" t="s">
        <v>33</v>
      </c>
      <c r="E546" s="3" t="s">
        <v>29</v>
      </c>
      <c r="F546" s="3">
        <v>567</v>
      </c>
      <c r="G546" s="3">
        <v>585</v>
      </c>
      <c r="H546" s="3">
        <v>553</v>
      </c>
      <c r="I546" s="3">
        <v>606</v>
      </c>
      <c r="J546" s="3">
        <v>88</v>
      </c>
      <c r="K546" s="3">
        <v>74</v>
      </c>
      <c r="L546" s="3">
        <v>1750</v>
      </c>
      <c r="M546" s="4">
        <f t="shared" si="48"/>
        <v>0.97530864197530864</v>
      </c>
      <c r="N546" s="5">
        <f t="shared" si="49"/>
        <v>1.5661375661375661</v>
      </c>
      <c r="O546" s="3">
        <f t="shared" si="50"/>
        <v>14</v>
      </c>
      <c r="P546" s="3" t="str">
        <f t="shared" si="51"/>
        <v>Medium</v>
      </c>
      <c r="Q546" s="3" t="str">
        <f t="shared" si="52"/>
        <v>Short Supply</v>
      </c>
      <c r="R546" s="6">
        <f t="shared" si="53"/>
        <v>129500</v>
      </c>
    </row>
    <row r="547" spans="1:18" x14ac:dyDescent="0.25">
      <c r="A547" s="2">
        <v>45962</v>
      </c>
      <c r="B547" s="3" t="s">
        <v>51</v>
      </c>
      <c r="C547" s="3" t="s">
        <v>36</v>
      </c>
      <c r="D547" s="3" t="s">
        <v>26</v>
      </c>
      <c r="E547" s="3" t="s">
        <v>31</v>
      </c>
      <c r="F547" s="3">
        <v>767</v>
      </c>
      <c r="G547" s="3">
        <v>829</v>
      </c>
      <c r="H547" s="3">
        <v>831</v>
      </c>
      <c r="I547" s="3">
        <v>727</v>
      </c>
      <c r="J547" s="3">
        <v>67</v>
      </c>
      <c r="K547" s="3">
        <v>131</v>
      </c>
      <c r="L547" s="3">
        <v>1450</v>
      </c>
      <c r="M547" s="4">
        <f t="shared" si="48"/>
        <v>1.0834419817470664</v>
      </c>
      <c r="N547" s="5">
        <f t="shared" si="49"/>
        <v>2.0495436766623207</v>
      </c>
      <c r="O547" s="3">
        <f t="shared" si="50"/>
        <v>-64</v>
      </c>
      <c r="P547" s="3" t="str">
        <f t="shared" si="51"/>
        <v>Healthy</v>
      </c>
      <c r="Q547" s="3" t="str">
        <f t="shared" si="52"/>
        <v>On Track</v>
      </c>
      <c r="R547" s="6">
        <f t="shared" si="53"/>
        <v>189950</v>
      </c>
    </row>
    <row r="548" spans="1:18" x14ac:dyDescent="0.25">
      <c r="A548" s="2">
        <v>45962</v>
      </c>
      <c r="B548" s="3" t="s">
        <v>51</v>
      </c>
      <c r="C548" s="3" t="s">
        <v>36</v>
      </c>
      <c r="D548" s="3" t="s">
        <v>28</v>
      </c>
      <c r="E548" s="3" t="s">
        <v>29</v>
      </c>
      <c r="F548" s="3">
        <v>580</v>
      </c>
      <c r="G548" s="3">
        <v>611</v>
      </c>
      <c r="H548" s="3">
        <v>585</v>
      </c>
      <c r="I548" s="3">
        <v>618</v>
      </c>
      <c r="J548" s="3">
        <v>135</v>
      </c>
      <c r="K548" s="3">
        <v>140</v>
      </c>
      <c r="L548" s="3">
        <v>1450</v>
      </c>
      <c r="M548" s="4">
        <f t="shared" si="48"/>
        <v>1.0086206896551724</v>
      </c>
      <c r="N548" s="5">
        <f t="shared" si="49"/>
        <v>2.896551724137931</v>
      </c>
      <c r="O548" s="3">
        <f t="shared" si="50"/>
        <v>-5</v>
      </c>
      <c r="P548" s="3" t="str">
        <f t="shared" si="51"/>
        <v>Healthy</v>
      </c>
      <c r="Q548" s="3" t="str">
        <f t="shared" si="52"/>
        <v>On Track</v>
      </c>
      <c r="R548" s="6">
        <f t="shared" si="53"/>
        <v>203000</v>
      </c>
    </row>
    <row r="549" spans="1:18" x14ac:dyDescent="0.25">
      <c r="A549" s="2">
        <v>45962</v>
      </c>
      <c r="B549" s="3" t="s">
        <v>51</v>
      </c>
      <c r="C549" s="3" t="s">
        <v>36</v>
      </c>
      <c r="D549" s="3" t="s">
        <v>30</v>
      </c>
      <c r="E549" s="3" t="s">
        <v>29</v>
      </c>
      <c r="F549" s="3">
        <v>420</v>
      </c>
      <c r="G549" s="3">
        <v>392</v>
      </c>
      <c r="H549" s="3">
        <v>357</v>
      </c>
      <c r="I549" s="3">
        <v>444</v>
      </c>
      <c r="J549" s="3">
        <v>93</v>
      </c>
      <c r="K549" s="3">
        <v>30</v>
      </c>
      <c r="L549" s="3">
        <v>1450</v>
      </c>
      <c r="M549" s="4">
        <f t="shared" si="48"/>
        <v>0.85</v>
      </c>
      <c r="N549" s="5">
        <f t="shared" si="49"/>
        <v>0.8571428571428571</v>
      </c>
      <c r="O549" s="3">
        <f t="shared" si="50"/>
        <v>63</v>
      </c>
      <c r="P549" s="3" t="str">
        <f t="shared" si="51"/>
        <v>Low</v>
      </c>
      <c r="Q549" s="3" t="str">
        <f t="shared" si="52"/>
        <v>Short Supply</v>
      </c>
      <c r="R549" s="6">
        <f t="shared" si="53"/>
        <v>43500</v>
      </c>
    </row>
    <row r="550" spans="1:18" x14ac:dyDescent="0.25">
      <c r="A550" s="2">
        <v>45962</v>
      </c>
      <c r="B550" s="3" t="s">
        <v>51</v>
      </c>
      <c r="C550" s="3" t="s">
        <v>36</v>
      </c>
      <c r="D550" s="3" t="s">
        <v>32</v>
      </c>
      <c r="E550" s="3" t="s">
        <v>27</v>
      </c>
      <c r="F550" s="3">
        <v>356</v>
      </c>
      <c r="G550" s="3">
        <v>363</v>
      </c>
      <c r="H550" s="3">
        <v>343</v>
      </c>
      <c r="I550" s="3">
        <v>334</v>
      </c>
      <c r="J550" s="3">
        <v>64</v>
      </c>
      <c r="K550" s="3">
        <v>51</v>
      </c>
      <c r="L550" s="3">
        <v>1450</v>
      </c>
      <c r="M550" s="4">
        <f t="shared" si="48"/>
        <v>0.9634831460674157</v>
      </c>
      <c r="N550" s="5">
        <f t="shared" si="49"/>
        <v>1.7191011235955056</v>
      </c>
      <c r="O550" s="3">
        <f t="shared" si="50"/>
        <v>13</v>
      </c>
      <c r="P550" s="3" t="str">
        <f t="shared" si="51"/>
        <v>Medium</v>
      </c>
      <c r="Q550" s="3" t="str">
        <f t="shared" si="52"/>
        <v>Short Supply</v>
      </c>
      <c r="R550" s="6">
        <f t="shared" si="53"/>
        <v>73950</v>
      </c>
    </row>
    <row r="551" spans="1:18" x14ac:dyDescent="0.25">
      <c r="A551" s="2">
        <v>45962</v>
      </c>
      <c r="B551" s="3" t="s">
        <v>51</v>
      </c>
      <c r="C551" s="3" t="s">
        <v>36</v>
      </c>
      <c r="D551" s="3" t="s">
        <v>33</v>
      </c>
      <c r="E551" s="3" t="s">
        <v>34</v>
      </c>
      <c r="F551" s="3">
        <v>408</v>
      </c>
      <c r="G551" s="3">
        <v>378</v>
      </c>
      <c r="H551" s="3">
        <v>338</v>
      </c>
      <c r="I551" s="3">
        <v>419</v>
      </c>
      <c r="J551" s="3">
        <v>102</v>
      </c>
      <c r="K551" s="3">
        <v>32</v>
      </c>
      <c r="L551" s="3">
        <v>1450</v>
      </c>
      <c r="M551" s="4">
        <f t="shared" si="48"/>
        <v>0.82843137254901966</v>
      </c>
      <c r="N551" s="5">
        <f t="shared" si="49"/>
        <v>0.94117647058823528</v>
      </c>
      <c r="O551" s="3">
        <f t="shared" si="50"/>
        <v>70</v>
      </c>
      <c r="P551" s="3" t="str">
        <f t="shared" si="51"/>
        <v>Low</v>
      </c>
      <c r="Q551" s="3" t="str">
        <f t="shared" si="52"/>
        <v>Short Supply</v>
      </c>
      <c r="R551" s="6">
        <f t="shared" si="53"/>
        <v>46400</v>
      </c>
    </row>
    <row r="552" spans="1:18" x14ac:dyDescent="0.25">
      <c r="A552" s="2">
        <v>45992</v>
      </c>
      <c r="B552" s="3" t="s">
        <v>24</v>
      </c>
      <c r="C552" s="3" t="s">
        <v>25</v>
      </c>
      <c r="D552" s="3" t="s">
        <v>26</v>
      </c>
      <c r="E552" s="3" t="s">
        <v>34</v>
      </c>
      <c r="F552" s="3">
        <v>898</v>
      </c>
      <c r="G552" s="3">
        <v>974</v>
      </c>
      <c r="H552" s="3">
        <v>875</v>
      </c>
      <c r="I552" s="3">
        <v>854</v>
      </c>
      <c r="J552" s="3">
        <v>92</v>
      </c>
      <c r="K552" s="3">
        <v>69</v>
      </c>
      <c r="L552" s="3">
        <v>1800</v>
      </c>
      <c r="M552" s="4">
        <f t="shared" si="48"/>
        <v>0.97438752783964366</v>
      </c>
      <c r="N552" s="5">
        <f t="shared" si="49"/>
        <v>0.92204899777282845</v>
      </c>
      <c r="O552" s="3">
        <f t="shared" si="50"/>
        <v>23</v>
      </c>
      <c r="P552" s="3" t="str">
        <f t="shared" si="51"/>
        <v>Low</v>
      </c>
      <c r="Q552" s="3" t="str">
        <f t="shared" si="52"/>
        <v>Short Supply</v>
      </c>
      <c r="R552" s="6">
        <f t="shared" si="53"/>
        <v>124200</v>
      </c>
    </row>
    <row r="553" spans="1:18" x14ac:dyDescent="0.25">
      <c r="A553" s="2">
        <v>45992</v>
      </c>
      <c r="B553" s="3" t="s">
        <v>24</v>
      </c>
      <c r="C553" s="3" t="s">
        <v>25</v>
      </c>
      <c r="D553" s="3" t="s">
        <v>28</v>
      </c>
      <c r="E553" s="3" t="s">
        <v>31</v>
      </c>
      <c r="F553" s="3">
        <v>720</v>
      </c>
      <c r="G553" s="3">
        <v>782</v>
      </c>
      <c r="H553" s="3">
        <v>707</v>
      </c>
      <c r="I553" s="3">
        <v>671</v>
      </c>
      <c r="J553" s="3">
        <v>86</v>
      </c>
      <c r="K553" s="3">
        <v>73</v>
      </c>
      <c r="L553" s="3">
        <v>1800</v>
      </c>
      <c r="M553" s="4">
        <f t="shared" si="48"/>
        <v>0.9819444444444444</v>
      </c>
      <c r="N553" s="5">
        <f t="shared" si="49"/>
        <v>1.2166666666666668</v>
      </c>
      <c r="O553" s="3">
        <f t="shared" si="50"/>
        <v>13</v>
      </c>
      <c r="P553" s="3" t="str">
        <f t="shared" si="51"/>
        <v>Medium</v>
      </c>
      <c r="Q553" s="3" t="str">
        <f t="shared" si="52"/>
        <v>Short Supply</v>
      </c>
      <c r="R553" s="6">
        <f t="shared" si="53"/>
        <v>131400</v>
      </c>
    </row>
    <row r="554" spans="1:18" x14ac:dyDescent="0.25">
      <c r="A554" s="2">
        <v>45992</v>
      </c>
      <c r="B554" s="3" t="s">
        <v>24</v>
      </c>
      <c r="C554" s="3" t="s">
        <v>25</v>
      </c>
      <c r="D554" s="3" t="s">
        <v>30</v>
      </c>
      <c r="E554" s="3" t="s">
        <v>31</v>
      </c>
      <c r="F554" s="3">
        <v>565</v>
      </c>
      <c r="G554" s="3">
        <v>505</v>
      </c>
      <c r="H554" s="3">
        <v>476</v>
      </c>
      <c r="I554" s="3">
        <v>538</v>
      </c>
      <c r="J554" s="3">
        <v>121</v>
      </c>
      <c r="K554" s="3">
        <v>32</v>
      </c>
      <c r="L554" s="3">
        <v>1800</v>
      </c>
      <c r="M554" s="4">
        <f t="shared" si="48"/>
        <v>0.84247787610619473</v>
      </c>
      <c r="N554" s="5">
        <f t="shared" si="49"/>
        <v>0.67964601769911503</v>
      </c>
      <c r="O554" s="3">
        <f t="shared" si="50"/>
        <v>89</v>
      </c>
      <c r="P554" s="3" t="str">
        <f t="shared" si="51"/>
        <v>Low</v>
      </c>
      <c r="Q554" s="3" t="str">
        <f t="shared" si="52"/>
        <v>Short Supply</v>
      </c>
      <c r="R554" s="6">
        <f t="shared" si="53"/>
        <v>57600</v>
      </c>
    </row>
    <row r="555" spans="1:18" x14ac:dyDescent="0.25">
      <c r="A555" s="2">
        <v>45992</v>
      </c>
      <c r="B555" s="3" t="s">
        <v>24</v>
      </c>
      <c r="C555" s="3" t="s">
        <v>25</v>
      </c>
      <c r="D555" s="3" t="s">
        <v>32</v>
      </c>
      <c r="E555" s="3" t="s">
        <v>34</v>
      </c>
      <c r="F555" s="3">
        <v>551</v>
      </c>
      <c r="G555" s="3">
        <v>585</v>
      </c>
      <c r="H555" s="3">
        <v>522</v>
      </c>
      <c r="I555" s="3">
        <v>561</v>
      </c>
      <c r="J555" s="3">
        <v>110</v>
      </c>
      <c r="K555" s="3">
        <v>81</v>
      </c>
      <c r="L555" s="3">
        <v>1800</v>
      </c>
      <c r="M555" s="4">
        <f t="shared" si="48"/>
        <v>0.94736842105263153</v>
      </c>
      <c r="N555" s="5">
        <f t="shared" si="49"/>
        <v>1.7640653357531759</v>
      </c>
      <c r="O555" s="3">
        <f t="shared" si="50"/>
        <v>29</v>
      </c>
      <c r="P555" s="3" t="str">
        <f t="shared" si="51"/>
        <v>Medium</v>
      </c>
      <c r="Q555" s="3" t="str">
        <f t="shared" si="52"/>
        <v>Short Supply</v>
      </c>
      <c r="R555" s="6">
        <f t="shared" si="53"/>
        <v>145800</v>
      </c>
    </row>
    <row r="556" spans="1:18" x14ac:dyDescent="0.25">
      <c r="A556" s="2">
        <v>45992</v>
      </c>
      <c r="B556" s="3" t="s">
        <v>24</v>
      </c>
      <c r="C556" s="3" t="s">
        <v>25</v>
      </c>
      <c r="D556" s="3" t="s">
        <v>33</v>
      </c>
      <c r="E556" s="3" t="s">
        <v>27</v>
      </c>
      <c r="F556" s="3">
        <v>601</v>
      </c>
      <c r="G556" s="3">
        <v>597</v>
      </c>
      <c r="H556" s="3">
        <v>525</v>
      </c>
      <c r="I556" s="3">
        <v>604</v>
      </c>
      <c r="J556" s="3">
        <v>118</v>
      </c>
      <c r="K556" s="3">
        <v>42</v>
      </c>
      <c r="L556" s="3">
        <v>1800</v>
      </c>
      <c r="M556" s="4">
        <f t="shared" si="48"/>
        <v>0.87354409317803661</v>
      </c>
      <c r="N556" s="5">
        <f t="shared" si="49"/>
        <v>0.83860232945091506</v>
      </c>
      <c r="O556" s="3">
        <f t="shared" si="50"/>
        <v>76</v>
      </c>
      <c r="P556" s="3" t="str">
        <f t="shared" si="51"/>
        <v>Low</v>
      </c>
      <c r="Q556" s="3" t="str">
        <f t="shared" si="52"/>
        <v>Short Supply</v>
      </c>
      <c r="R556" s="6">
        <f t="shared" si="53"/>
        <v>75600</v>
      </c>
    </row>
    <row r="557" spans="1:18" x14ac:dyDescent="0.25">
      <c r="A557" s="2">
        <v>45992</v>
      </c>
      <c r="B557" s="3" t="s">
        <v>35</v>
      </c>
      <c r="C557" s="3" t="s">
        <v>36</v>
      </c>
      <c r="D557" s="3" t="s">
        <v>26</v>
      </c>
      <c r="E557" s="3" t="s">
        <v>31</v>
      </c>
      <c r="F557" s="3">
        <v>941</v>
      </c>
      <c r="G557" s="3">
        <v>999</v>
      </c>
      <c r="H557" s="3">
        <v>953</v>
      </c>
      <c r="I557" s="3">
        <v>868</v>
      </c>
      <c r="J557" s="3">
        <v>60</v>
      </c>
      <c r="K557" s="3">
        <v>72</v>
      </c>
      <c r="L557" s="3">
        <v>1600</v>
      </c>
      <c r="M557" s="4">
        <f t="shared" si="48"/>
        <v>1.0127523910733263</v>
      </c>
      <c r="N557" s="5">
        <f t="shared" si="49"/>
        <v>0.91817215727948998</v>
      </c>
      <c r="O557" s="3">
        <f t="shared" si="50"/>
        <v>-12</v>
      </c>
      <c r="P557" s="3" t="str">
        <f t="shared" si="51"/>
        <v>Low</v>
      </c>
      <c r="Q557" s="3" t="str">
        <f t="shared" si="52"/>
        <v>On Track</v>
      </c>
      <c r="R557" s="6">
        <f t="shared" si="53"/>
        <v>115200</v>
      </c>
    </row>
    <row r="558" spans="1:18" x14ac:dyDescent="0.25">
      <c r="A558" s="2">
        <v>45992</v>
      </c>
      <c r="B558" s="3" t="s">
        <v>35</v>
      </c>
      <c r="C558" s="3" t="s">
        <v>36</v>
      </c>
      <c r="D558" s="3" t="s">
        <v>28</v>
      </c>
      <c r="E558" s="3" t="s">
        <v>29</v>
      </c>
      <c r="F558" s="3">
        <v>601</v>
      </c>
      <c r="G558" s="3">
        <v>655</v>
      </c>
      <c r="H558" s="3">
        <v>605</v>
      </c>
      <c r="I558" s="3">
        <v>562</v>
      </c>
      <c r="J558" s="3">
        <v>100</v>
      </c>
      <c r="K558" s="3">
        <v>104</v>
      </c>
      <c r="L558" s="3">
        <v>1600</v>
      </c>
      <c r="M558" s="4">
        <f t="shared" si="48"/>
        <v>1.0066555740432612</v>
      </c>
      <c r="N558" s="5">
        <f t="shared" si="49"/>
        <v>2.0765391014975041</v>
      </c>
      <c r="O558" s="3">
        <f t="shared" si="50"/>
        <v>-4</v>
      </c>
      <c r="P558" s="3" t="str">
        <f t="shared" si="51"/>
        <v>Healthy</v>
      </c>
      <c r="Q558" s="3" t="str">
        <f t="shared" si="52"/>
        <v>On Track</v>
      </c>
      <c r="R558" s="6">
        <f t="shared" si="53"/>
        <v>166400</v>
      </c>
    </row>
    <row r="559" spans="1:18" x14ac:dyDescent="0.25">
      <c r="A559" s="2">
        <v>45992</v>
      </c>
      <c r="B559" s="3" t="s">
        <v>35</v>
      </c>
      <c r="C559" s="3" t="s">
        <v>36</v>
      </c>
      <c r="D559" s="3" t="s">
        <v>30</v>
      </c>
      <c r="E559" s="3" t="s">
        <v>29</v>
      </c>
      <c r="F559" s="3">
        <v>438</v>
      </c>
      <c r="G559" s="3">
        <v>472</v>
      </c>
      <c r="H559" s="3">
        <v>435</v>
      </c>
      <c r="I559" s="3">
        <v>423</v>
      </c>
      <c r="J559" s="3">
        <v>118</v>
      </c>
      <c r="K559" s="3">
        <v>115</v>
      </c>
      <c r="L559" s="3">
        <v>1600</v>
      </c>
      <c r="M559" s="4">
        <f t="shared" si="48"/>
        <v>0.99315068493150682</v>
      </c>
      <c r="N559" s="5">
        <f t="shared" si="49"/>
        <v>3.1506849315068495</v>
      </c>
      <c r="O559" s="3">
        <f t="shared" si="50"/>
        <v>3</v>
      </c>
      <c r="P559" s="3" t="str">
        <f t="shared" si="51"/>
        <v>Healthy</v>
      </c>
      <c r="Q559" s="3" t="str">
        <f t="shared" si="52"/>
        <v>Short Supply</v>
      </c>
      <c r="R559" s="6">
        <f t="shared" si="53"/>
        <v>184000</v>
      </c>
    </row>
    <row r="560" spans="1:18" x14ac:dyDescent="0.25">
      <c r="A560" s="2">
        <v>45992</v>
      </c>
      <c r="B560" s="3" t="s">
        <v>35</v>
      </c>
      <c r="C560" s="3" t="s">
        <v>36</v>
      </c>
      <c r="D560" s="3" t="s">
        <v>32</v>
      </c>
      <c r="E560" s="3" t="s">
        <v>31</v>
      </c>
      <c r="F560" s="3">
        <v>440</v>
      </c>
      <c r="G560" s="3">
        <v>459</v>
      </c>
      <c r="H560" s="3">
        <v>412</v>
      </c>
      <c r="I560" s="3">
        <v>474</v>
      </c>
      <c r="J560" s="3">
        <v>99</v>
      </c>
      <c r="K560" s="3">
        <v>71</v>
      </c>
      <c r="L560" s="3">
        <v>1600</v>
      </c>
      <c r="M560" s="4">
        <f t="shared" si="48"/>
        <v>0.9363636363636364</v>
      </c>
      <c r="N560" s="5">
        <f t="shared" si="49"/>
        <v>1.9363636363636365</v>
      </c>
      <c r="O560" s="3">
        <f t="shared" si="50"/>
        <v>28</v>
      </c>
      <c r="P560" s="3" t="str">
        <f t="shared" si="51"/>
        <v>Medium</v>
      </c>
      <c r="Q560" s="3" t="str">
        <f t="shared" si="52"/>
        <v>Short Supply</v>
      </c>
      <c r="R560" s="6">
        <f t="shared" si="53"/>
        <v>113600</v>
      </c>
    </row>
    <row r="561" spans="1:18" x14ac:dyDescent="0.25">
      <c r="A561" s="2">
        <v>45992</v>
      </c>
      <c r="B561" s="3" t="s">
        <v>35</v>
      </c>
      <c r="C561" s="3" t="s">
        <v>36</v>
      </c>
      <c r="D561" s="3" t="s">
        <v>33</v>
      </c>
      <c r="E561" s="3" t="s">
        <v>31</v>
      </c>
      <c r="F561" s="3">
        <v>449</v>
      </c>
      <c r="G561" s="3">
        <v>492</v>
      </c>
      <c r="H561" s="3">
        <v>488</v>
      </c>
      <c r="I561" s="3">
        <v>414</v>
      </c>
      <c r="J561" s="3">
        <v>77</v>
      </c>
      <c r="K561" s="3">
        <v>116</v>
      </c>
      <c r="L561" s="3">
        <v>1600</v>
      </c>
      <c r="M561" s="4">
        <f t="shared" si="48"/>
        <v>1.0868596881959911</v>
      </c>
      <c r="N561" s="5">
        <f t="shared" si="49"/>
        <v>3.1002227171492205</v>
      </c>
      <c r="O561" s="3">
        <f t="shared" si="50"/>
        <v>-39</v>
      </c>
      <c r="P561" s="3" t="str">
        <f t="shared" si="51"/>
        <v>Healthy</v>
      </c>
      <c r="Q561" s="3" t="str">
        <f t="shared" si="52"/>
        <v>On Track</v>
      </c>
      <c r="R561" s="6">
        <f t="shared" si="53"/>
        <v>185600</v>
      </c>
    </row>
    <row r="562" spans="1:18" x14ac:dyDescent="0.25">
      <c r="A562" s="2">
        <v>45992</v>
      </c>
      <c r="B562" s="3" t="s">
        <v>37</v>
      </c>
      <c r="C562" s="3" t="s">
        <v>38</v>
      </c>
      <c r="D562" s="3" t="s">
        <v>26</v>
      </c>
      <c r="E562" s="3" t="s">
        <v>27</v>
      </c>
      <c r="F562" s="3">
        <v>651</v>
      </c>
      <c r="G562" s="3">
        <v>576</v>
      </c>
      <c r="H562" s="3">
        <v>547</v>
      </c>
      <c r="I562" s="3">
        <v>611</v>
      </c>
      <c r="J562" s="3">
        <v>116</v>
      </c>
      <c r="K562" s="3">
        <v>12</v>
      </c>
      <c r="L562" s="3">
        <v>1300</v>
      </c>
      <c r="M562" s="4">
        <f t="shared" si="48"/>
        <v>0.84024577572964665</v>
      </c>
      <c r="N562" s="5">
        <f t="shared" si="49"/>
        <v>0.22119815668202764</v>
      </c>
      <c r="O562" s="3">
        <f t="shared" si="50"/>
        <v>104</v>
      </c>
      <c r="P562" s="3" t="str">
        <f t="shared" si="51"/>
        <v>Low</v>
      </c>
      <c r="Q562" s="3" t="str">
        <f t="shared" si="52"/>
        <v>Short Supply</v>
      </c>
      <c r="R562" s="6">
        <f t="shared" si="53"/>
        <v>15600</v>
      </c>
    </row>
    <row r="563" spans="1:18" x14ac:dyDescent="0.25">
      <c r="A563" s="2">
        <v>45992</v>
      </c>
      <c r="B563" s="3" t="s">
        <v>37</v>
      </c>
      <c r="C563" s="3" t="s">
        <v>38</v>
      </c>
      <c r="D563" s="3" t="s">
        <v>28</v>
      </c>
      <c r="E563" s="3" t="s">
        <v>27</v>
      </c>
      <c r="F563" s="3">
        <v>533</v>
      </c>
      <c r="G563" s="3">
        <v>550</v>
      </c>
      <c r="H563" s="3">
        <v>543</v>
      </c>
      <c r="I563" s="3">
        <v>543</v>
      </c>
      <c r="J563" s="3">
        <v>107</v>
      </c>
      <c r="K563" s="3">
        <v>117</v>
      </c>
      <c r="L563" s="3">
        <v>1300</v>
      </c>
      <c r="M563" s="4">
        <f t="shared" si="48"/>
        <v>1.0187617260787993</v>
      </c>
      <c r="N563" s="5">
        <f t="shared" si="49"/>
        <v>2.6341463414634148</v>
      </c>
      <c r="O563" s="3">
        <f t="shared" si="50"/>
        <v>-10</v>
      </c>
      <c r="P563" s="3" t="str">
        <f t="shared" si="51"/>
        <v>Healthy</v>
      </c>
      <c r="Q563" s="3" t="str">
        <f t="shared" si="52"/>
        <v>On Track</v>
      </c>
      <c r="R563" s="6">
        <f t="shared" si="53"/>
        <v>152100</v>
      </c>
    </row>
    <row r="564" spans="1:18" x14ac:dyDescent="0.25">
      <c r="A564" s="2">
        <v>45992</v>
      </c>
      <c r="B564" s="3" t="s">
        <v>37</v>
      </c>
      <c r="C564" s="3" t="s">
        <v>38</v>
      </c>
      <c r="D564" s="3" t="s">
        <v>30</v>
      </c>
      <c r="E564" s="3" t="s">
        <v>34</v>
      </c>
      <c r="F564" s="3">
        <v>431</v>
      </c>
      <c r="G564" s="3">
        <v>446</v>
      </c>
      <c r="H564" s="3">
        <v>393</v>
      </c>
      <c r="I564" s="3">
        <v>444</v>
      </c>
      <c r="J564" s="3">
        <v>93</v>
      </c>
      <c r="K564" s="3">
        <v>55</v>
      </c>
      <c r="L564" s="3">
        <v>1300</v>
      </c>
      <c r="M564" s="4">
        <f t="shared" si="48"/>
        <v>0.91183294663573089</v>
      </c>
      <c r="N564" s="5">
        <f t="shared" si="49"/>
        <v>1.531322505800464</v>
      </c>
      <c r="O564" s="3">
        <f t="shared" si="50"/>
        <v>38</v>
      </c>
      <c r="P564" s="3" t="str">
        <f t="shared" si="51"/>
        <v>Medium</v>
      </c>
      <c r="Q564" s="3" t="str">
        <f t="shared" si="52"/>
        <v>Short Supply</v>
      </c>
      <c r="R564" s="6">
        <f t="shared" si="53"/>
        <v>71500</v>
      </c>
    </row>
    <row r="565" spans="1:18" x14ac:dyDescent="0.25">
      <c r="A565" s="2">
        <v>45992</v>
      </c>
      <c r="B565" s="3" t="s">
        <v>37</v>
      </c>
      <c r="C565" s="3" t="s">
        <v>38</v>
      </c>
      <c r="D565" s="3" t="s">
        <v>32</v>
      </c>
      <c r="E565" s="3" t="s">
        <v>27</v>
      </c>
      <c r="F565" s="3">
        <v>337</v>
      </c>
      <c r="G565" s="3">
        <v>317</v>
      </c>
      <c r="H565" s="3">
        <v>310</v>
      </c>
      <c r="I565" s="3">
        <v>321</v>
      </c>
      <c r="J565" s="3">
        <v>114</v>
      </c>
      <c r="K565" s="3">
        <v>87</v>
      </c>
      <c r="L565" s="3">
        <v>1300</v>
      </c>
      <c r="M565" s="4">
        <f t="shared" si="48"/>
        <v>0.91988130563798221</v>
      </c>
      <c r="N565" s="5">
        <f t="shared" si="49"/>
        <v>3.0979228486646884</v>
      </c>
      <c r="O565" s="3">
        <f t="shared" si="50"/>
        <v>27</v>
      </c>
      <c r="P565" s="3" t="str">
        <f t="shared" si="51"/>
        <v>Healthy</v>
      </c>
      <c r="Q565" s="3" t="str">
        <f t="shared" si="52"/>
        <v>Short Supply</v>
      </c>
      <c r="R565" s="6">
        <f t="shared" si="53"/>
        <v>113100</v>
      </c>
    </row>
    <row r="566" spans="1:18" x14ac:dyDescent="0.25">
      <c r="A566" s="2">
        <v>45992</v>
      </c>
      <c r="B566" s="3" t="s">
        <v>37</v>
      </c>
      <c r="C566" s="3" t="s">
        <v>38</v>
      </c>
      <c r="D566" s="3" t="s">
        <v>33</v>
      </c>
      <c r="E566" s="3" t="s">
        <v>31</v>
      </c>
      <c r="F566" s="3">
        <v>397</v>
      </c>
      <c r="G566" s="3">
        <v>412</v>
      </c>
      <c r="H566" s="3">
        <v>400</v>
      </c>
      <c r="I566" s="3">
        <v>382</v>
      </c>
      <c r="J566" s="3">
        <v>108</v>
      </c>
      <c r="K566" s="3">
        <v>111</v>
      </c>
      <c r="L566" s="3">
        <v>1300</v>
      </c>
      <c r="M566" s="4">
        <f t="shared" si="48"/>
        <v>1.0075566750629723</v>
      </c>
      <c r="N566" s="5">
        <f t="shared" si="49"/>
        <v>3.3551637279596975</v>
      </c>
      <c r="O566" s="3">
        <f t="shared" si="50"/>
        <v>-3</v>
      </c>
      <c r="P566" s="3" t="str">
        <f t="shared" si="51"/>
        <v>Healthy</v>
      </c>
      <c r="Q566" s="3" t="str">
        <f t="shared" si="52"/>
        <v>On Track</v>
      </c>
      <c r="R566" s="6">
        <f t="shared" si="53"/>
        <v>144300</v>
      </c>
    </row>
    <row r="567" spans="1:18" x14ac:dyDescent="0.25">
      <c r="A567" s="2">
        <v>45992</v>
      </c>
      <c r="B567" s="3" t="s">
        <v>39</v>
      </c>
      <c r="C567" s="3" t="s">
        <v>40</v>
      </c>
      <c r="D567" s="3" t="s">
        <v>26</v>
      </c>
      <c r="E567" s="3" t="s">
        <v>27</v>
      </c>
      <c r="F567" s="3">
        <v>916</v>
      </c>
      <c r="G567" s="3">
        <v>1003</v>
      </c>
      <c r="H567" s="3">
        <v>954</v>
      </c>
      <c r="I567" s="3">
        <v>933</v>
      </c>
      <c r="J567" s="3">
        <v>82</v>
      </c>
      <c r="K567" s="3">
        <v>120</v>
      </c>
      <c r="L567" s="3">
        <v>1700</v>
      </c>
      <c r="M567" s="4">
        <f t="shared" si="48"/>
        <v>1.0414847161572052</v>
      </c>
      <c r="N567" s="5">
        <f t="shared" si="49"/>
        <v>1.572052401746725</v>
      </c>
      <c r="O567" s="3">
        <f t="shared" si="50"/>
        <v>-38</v>
      </c>
      <c r="P567" s="3" t="str">
        <f t="shared" si="51"/>
        <v>Medium</v>
      </c>
      <c r="Q567" s="3" t="str">
        <f t="shared" si="52"/>
        <v>On Track</v>
      </c>
      <c r="R567" s="6">
        <f t="shared" si="53"/>
        <v>204000</v>
      </c>
    </row>
    <row r="568" spans="1:18" x14ac:dyDescent="0.25">
      <c r="A568" s="2">
        <v>45992</v>
      </c>
      <c r="B568" s="3" t="s">
        <v>39</v>
      </c>
      <c r="C568" s="3" t="s">
        <v>40</v>
      </c>
      <c r="D568" s="3" t="s">
        <v>28</v>
      </c>
      <c r="E568" s="3" t="s">
        <v>29</v>
      </c>
      <c r="F568" s="3">
        <v>730</v>
      </c>
      <c r="G568" s="3">
        <v>749</v>
      </c>
      <c r="H568" s="3">
        <v>740</v>
      </c>
      <c r="I568" s="3">
        <v>768</v>
      </c>
      <c r="J568" s="3">
        <v>137</v>
      </c>
      <c r="K568" s="3">
        <v>147</v>
      </c>
      <c r="L568" s="3">
        <v>1700</v>
      </c>
      <c r="M568" s="4">
        <f t="shared" si="48"/>
        <v>1.0136986301369864</v>
      </c>
      <c r="N568" s="5">
        <f t="shared" si="49"/>
        <v>2.4164383561643836</v>
      </c>
      <c r="O568" s="3">
        <f t="shared" si="50"/>
        <v>-10</v>
      </c>
      <c r="P568" s="3" t="str">
        <f t="shared" si="51"/>
        <v>Healthy</v>
      </c>
      <c r="Q568" s="3" t="str">
        <f t="shared" si="52"/>
        <v>On Track</v>
      </c>
      <c r="R568" s="6">
        <f t="shared" si="53"/>
        <v>249900</v>
      </c>
    </row>
    <row r="569" spans="1:18" x14ac:dyDescent="0.25">
      <c r="A569" s="2">
        <v>45992</v>
      </c>
      <c r="B569" s="3" t="s">
        <v>39</v>
      </c>
      <c r="C569" s="3" t="s">
        <v>40</v>
      </c>
      <c r="D569" s="3" t="s">
        <v>30</v>
      </c>
      <c r="E569" s="3" t="s">
        <v>34</v>
      </c>
      <c r="F569" s="3">
        <v>576</v>
      </c>
      <c r="G569" s="3">
        <v>547</v>
      </c>
      <c r="H569" s="3">
        <v>484</v>
      </c>
      <c r="I569" s="3">
        <v>575</v>
      </c>
      <c r="J569" s="3">
        <v>76</v>
      </c>
      <c r="K569" s="3">
        <v>0</v>
      </c>
      <c r="L569" s="3">
        <v>1700</v>
      </c>
      <c r="M569" s="4">
        <f t="shared" si="48"/>
        <v>0.84027777777777779</v>
      </c>
      <c r="N569" s="5">
        <f t="shared" si="49"/>
        <v>0</v>
      </c>
      <c r="O569" s="3">
        <f t="shared" si="50"/>
        <v>92</v>
      </c>
      <c r="P569" s="3" t="str">
        <f t="shared" si="51"/>
        <v>Low</v>
      </c>
      <c r="Q569" s="3" t="str">
        <f t="shared" si="52"/>
        <v>Short Supply</v>
      </c>
      <c r="R569" s="6">
        <f t="shared" si="53"/>
        <v>0</v>
      </c>
    </row>
    <row r="570" spans="1:18" x14ac:dyDescent="0.25">
      <c r="A570" s="2">
        <v>45992</v>
      </c>
      <c r="B570" s="3" t="s">
        <v>39</v>
      </c>
      <c r="C570" s="3" t="s">
        <v>40</v>
      </c>
      <c r="D570" s="3" t="s">
        <v>32</v>
      </c>
      <c r="E570" s="3" t="s">
        <v>34</v>
      </c>
      <c r="F570" s="3">
        <v>475</v>
      </c>
      <c r="G570" s="3">
        <v>418</v>
      </c>
      <c r="H570" s="3">
        <v>407</v>
      </c>
      <c r="I570" s="3">
        <v>505</v>
      </c>
      <c r="J570" s="3">
        <v>126</v>
      </c>
      <c r="K570" s="3">
        <v>58</v>
      </c>
      <c r="L570" s="3">
        <v>1700</v>
      </c>
      <c r="M570" s="4">
        <f t="shared" si="48"/>
        <v>0.85684210526315785</v>
      </c>
      <c r="N570" s="5">
        <f t="shared" si="49"/>
        <v>1.4652631578947368</v>
      </c>
      <c r="O570" s="3">
        <f t="shared" si="50"/>
        <v>68</v>
      </c>
      <c r="P570" s="3" t="str">
        <f t="shared" si="51"/>
        <v>Medium</v>
      </c>
      <c r="Q570" s="3" t="str">
        <f t="shared" si="52"/>
        <v>Short Supply</v>
      </c>
      <c r="R570" s="6">
        <f t="shared" si="53"/>
        <v>98600</v>
      </c>
    </row>
    <row r="571" spans="1:18" x14ac:dyDescent="0.25">
      <c r="A571" s="2">
        <v>45992</v>
      </c>
      <c r="B571" s="3" t="s">
        <v>39</v>
      </c>
      <c r="C571" s="3" t="s">
        <v>40</v>
      </c>
      <c r="D571" s="3" t="s">
        <v>33</v>
      </c>
      <c r="E571" s="3" t="s">
        <v>29</v>
      </c>
      <c r="F571" s="3">
        <v>498</v>
      </c>
      <c r="G571" s="3">
        <v>449</v>
      </c>
      <c r="H571" s="3">
        <v>427</v>
      </c>
      <c r="I571" s="3">
        <v>515</v>
      </c>
      <c r="J571" s="3">
        <v>68</v>
      </c>
      <c r="K571" s="3">
        <v>0</v>
      </c>
      <c r="L571" s="3">
        <v>1700</v>
      </c>
      <c r="M571" s="4">
        <f t="shared" si="48"/>
        <v>0.85742971887550201</v>
      </c>
      <c r="N571" s="5">
        <f t="shared" si="49"/>
        <v>0</v>
      </c>
      <c r="O571" s="3">
        <f t="shared" si="50"/>
        <v>71</v>
      </c>
      <c r="P571" s="3" t="str">
        <f t="shared" si="51"/>
        <v>Low</v>
      </c>
      <c r="Q571" s="3" t="str">
        <f t="shared" si="52"/>
        <v>Short Supply</v>
      </c>
      <c r="R571" s="6">
        <f t="shared" si="53"/>
        <v>0</v>
      </c>
    </row>
    <row r="572" spans="1:18" x14ac:dyDescent="0.25">
      <c r="A572" s="2">
        <v>45992</v>
      </c>
      <c r="B572" s="3" t="s">
        <v>41</v>
      </c>
      <c r="C572" s="3" t="s">
        <v>42</v>
      </c>
      <c r="D572" s="3" t="s">
        <v>26</v>
      </c>
      <c r="E572" s="3" t="s">
        <v>31</v>
      </c>
      <c r="F572" s="3">
        <v>608</v>
      </c>
      <c r="G572" s="3">
        <v>601</v>
      </c>
      <c r="H572" s="3">
        <v>611</v>
      </c>
      <c r="I572" s="3">
        <v>585</v>
      </c>
      <c r="J572" s="3">
        <v>64</v>
      </c>
      <c r="K572" s="3">
        <v>67</v>
      </c>
      <c r="L572" s="3">
        <v>1200</v>
      </c>
      <c r="M572" s="4">
        <f t="shared" si="48"/>
        <v>1.0049342105263157</v>
      </c>
      <c r="N572" s="5">
        <f t="shared" si="49"/>
        <v>1.3223684210526314</v>
      </c>
      <c r="O572" s="3">
        <f t="shared" si="50"/>
        <v>-3</v>
      </c>
      <c r="P572" s="3" t="str">
        <f t="shared" si="51"/>
        <v>Medium</v>
      </c>
      <c r="Q572" s="3" t="str">
        <f t="shared" si="52"/>
        <v>On Track</v>
      </c>
      <c r="R572" s="6">
        <f t="shared" si="53"/>
        <v>80400</v>
      </c>
    </row>
    <row r="573" spans="1:18" x14ac:dyDescent="0.25">
      <c r="A573" s="2">
        <v>45992</v>
      </c>
      <c r="B573" s="3" t="s">
        <v>41</v>
      </c>
      <c r="C573" s="3" t="s">
        <v>42</v>
      </c>
      <c r="D573" s="3" t="s">
        <v>28</v>
      </c>
      <c r="E573" s="3" t="s">
        <v>27</v>
      </c>
      <c r="F573" s="3">
        <v>504</v>
      </c>
      <c r="G573" s="3">
        <v>546</v>
      </c>
      <c r="H573" s="3">
        <v>508</v>
      </c>
      <c r="I573" s="3">
        <v>518</v>
      </c>
      <c r="J573" s="3">
        <v>94</v>
      </c>
      <c r="K573" s="3">
        <v>98</v>
      </c>
      <c r="L573" s="3">
        <v>1200</v>
      </c>
      <c r="M573" s="4">
        <f t="shared" si="48"/>
        <v>1.0079365079365079</v>
      </c>
      <c r="N573" s="5">
        <f t="shared" si="49"/>
        <v>2.3333333333333335</v>
      </c>
      <c r="O573" s="3">
        <f t="shared" si="50"/>
        <v>-4</v>
      </c>
      <c r="P573" s="3" t="str">
        <f t="shared" si="51"/>
        <v>Healthy</v>
      </c>
      <c r="Q573" s="3" t="str">
        <f t="shared" si="52"/>
        <v>On Track</v>
      </c>
      <c r="R573" s="6">
        <f t="shared" si="53"/>
        <v>117600</v>
      </c>
    </row>
    <row r="574" spans="1:18" x14ac:dyDescent="0.25">
      <c r="A574" s="2">
        <v>45992</v>
      </c>
      <c r="B574" s="3" t="s">
        <v>41</v>
      </c>
      <c r="C574" s="3" t="s">
        <v>42</v>
      </c>
      <c r="D574" s="3" t="s">
        <v>30</v>
      </c>
      <c r="E574" s="3" t="s">
        <v>31</v>
      </c>
      <c r="F574" s="3">
        <v>296</v>
      </c>
      <c r="G574" s="3">
        <v>314</v>
      </c>
      <c r="H574" s="3">
        <v>278</v>
      </c>
      <c r="I574" s="3">
        <v>312</v>
      </c>
      <c r="J574" s="3">
        <v>113</v>
      </c>
      <c r="K574" s="3">
        <v>95</v>
      </c>
      <c r="L574" s="3">
        <v>1200</v>
      </c>
      <c r="M574" s="4">
        <f t="shared" si="48"/>
        <v>0.93918918918918914</v>
      </c>
      <c r="N574" s="5">
        <f t="shared" si="49"/>
        <v>3.8513513513513513</v>
      </c>
      <c r="O574" s="3">
        <f t="shared" si="50"/>
        <v>18</v>
      </c>
      <c r="P574" s="3" t="str">
        <f t="shared" si="51"/>
        <v>Healthy</v>
      </c>
      <c r="Q574" s="3" t="str">
        <f t="shared" si="52"/>
        <v>Short Supply</v>
      </c>
      <c r="R574" s="6">
        <f t="shared" si="53"/>
        <v>114000</v>
      </c>
    </row>
    <row r="575" spans="1:18" x14ac:dyDescent="0.25">
      <c r="A575" s="2">
        <v>45992</v>
      </c>
      <c r="B575" s="3" t="s">
        <v>41</v>
      </c>
      <c r="C575" s="3" t="s">
        <v>42</v>
      </c>
      <c r="D575" s="3" t="s">
        <v>32</v>
      </c>
      <c r="E575" s="3" t="s">
        <v>29</v>
      </c>
      <c r="F575" s="3">
        <v>295</v>
      </c>
      <c r="G575" s="3">
        <v>322</v>
      </c>
      <c r="H575" s="3">
        <v>326</v>
      </c>
      <c r="I575" s="3">
        <v>284</v>
      </c>
      <c r="J575" s="3">
        <v>118</v>
      </c>
      <c r="K575" s="3">
        <v>149</v>
      </c>
      <c r="L575" s="3">
        <v>1200</v>
      </c>
      <c r="M575" s="4">
        <f t="shared" si="48"/>
        <v>1.1050847457627118</v>
      </c>
      <c r="N575" s="5">
        <f t="shared" si="49"/>
        <v>6.0610169491525427</v>
      </c>
      <c r="O575" s="3">
        <f t="shared" si="50"/>
        <v>-31</v>
      </c>
      <c r="P575" s="3" t="str">
        <f t="shared" si="51"/>
        <v>Healthy</v>
      </c>
      <c r="Q575" s="3" t="str">
        <f t="shared" si="52"/>
        <v>On Track</v>
      </c>
      <c r="R575" s="6">
        <f t="shared" si="53"/>
        <v>178800</v>
      </c>
    </row>
    <row r="576" spans="1:18" x14ac:dyDescent="0.25">
      <c r="A576" s="2">
        <v>45992</v>
      </c>
      <c r="B576" s="3" t="s">
        <v>41</v>
      </c>
      <c r="C576" s="3" t="s">
        <v>42</v>
      </c>
      <c r="D576" s="3" t="s">
        <v>33</v>
      </c>
      <c r="E576" s="3" t="s">
        <v>34</v>
      </c>
      <c r="F576" s="3">
        <v>378</v>
      </c>
      <c r="G576" s="3">
        <v>349</v>
      </c>
      <c r="H576" s="3">
        <v>326</v>
      </c>
      <c r="I576" s="3">
        <v>405</v>
      </c>
      <c r="J576" s="3">
        <v>81</v>
      </c>
      <c r="K576" s="3">
        <v>29</v>
      </c>
      <c r="L576" s="3">
        <v>1200</v>
      </c>
      <c r="M576" s="4">
        <f t="shared" si="48"/>
        <v>0.86243386243386244</v>
      </c>
      <c r="N576" s="5">
        <f t="shared" si="49"/>
        <v>0.92063492063492058</v>
      </c>
      <c r="O576" s="3">
        <f t="shared" si="50"/>
        <v>52</v>
      </c>
      <c r="P576" s="3" t="str">
        <f t="shared" si="51"/>
        <v>Low</v>
      </c>
      <c r="Q576" s="3" t="str">
        <f t="shared" si="52"/>
        <v>Short Supply</v>
      </c>
      <c r="R576" s="6">
        <f t="shared" si="53"/>
        <v>34800</v>
      </c>
    </row>
    <row r="577" spans="1:18" x14ac:dyDescent="0.25">
      <c r="A577" s="2">
        <v>45992</v>
      </c>
      <c r="B577" s="3" t="s">
        <v>43</v>
      </c>
      <c r="C577" s="3" t="s">
        <v>44</v>
      </c>
      <c r="D577" s="3" t="s">
        <v>26</v>
      </c>
      <c r="E577" s="3" t="s">
        <v>31</v>
      </c>
      <c r="F577" s="3">
        <v>821</v>
      </c>
      <c r="G577" s="3">
        <v>816</v>
      </c>
      <c r="H577" s="3">
        <v>766</v>
      </c>
      <c r="I577" s="3">
        <v>871</v>
      </c>
      <c r="J577" s="3">
        <v>73</v>
      </c>
      <c r="K577" s="3">
        <v>18</v>
      </c>
      <c r="L577" s="3">
        <v>1400</v>
      </c>
      <c r="M577" s="4">
        <f t="shared" si="48"/>
        <v>0.93300852618757613</v>
      </c>
      <c r="N577" s="5">
        <f t="shared" si="49"/>
        <v>0.26309378806333739</v>
      </c>
      <c r="O577" s="3">
        <f t="shared" si="50"/>
        <v>55</v>
      </c>
      <c r="P577" s="3" t="str">
        <f t="shared" si="51"/>
        <v>Low</v>
      </c>
      <c r="Q577" s="3" t="str">
        <f t="shared" si="52"/>
        <v>Short Supply</v>
      </c>
      <c r="R577" s="6">
        <f t="shared" si="53"/>
        <v>25200</v>
      </c>
    </row>
    <row r="578" spans="1:18" x14ac:dyDescent="0.25">
      <c r="A578" s="2">
        <v>45992</v>
      </c>
      <c r="B578" s="3" t="s">
        <v>43</v>
      </c>
      <c r="C578" s="3" t="s">
        <v>44</v>
      </c>
      <c r="D578" s="3" t="s">
        <v>28</v>
      </c>
      <c r="E578" s="3" t="s">
        <v>34</v>
      </c>
      <c r="F578" s="3">
        <v>640</v>
      </c>
      <c r="G578" s="3">
        <v>572</v>
      </c>
      <c r="H578" s="3">
        <v>578</v>
      </c>
      <c r="I578" s="3">
        <v>605</v>
      </c>
      <c r="J578" s="3">
        <v>93</v>
      </c>
      <c r="K578" s="3">
        <v>31</v>
      </c>
      <c r="L578" s="3">
        <v>1400</v>
      </c>
      <c r="M578" s="4">
        <f t="shared" ref="M578:M601" si="54">IFERROR(H578/F578,0)</f>
        <v>0.90312499999999996</v>
      </c>
      <c r="N578" s="5">
        <f t="shared" ref="N578:N601" si="55">IFERROR(K578/F578*12,0)</f>
        <v>0.58125000000000004</v>
      </c>
      <c r="O578" s="3">
        <f t="shared" ref="O578:O601" si="56">F578-H578</f>
        <v>62</v>
      </c>
      <c r="P578" s="3" t="str">
        <f t="shared" ref="P578:P601" si="57">IF(N578&lt;1,"Low",IF(N578&lt;=2,"Medium","Healthy"))</f>
        <v>Low</v>
      </c>
      <c r="Q578" s="3" t="str">
        <f t="shared" ref="Q578:Q601" si="58">IF(H578&lt;F578,"Short Supply","On Track")</f>
        <v>Short Supply</v>
      </c>
      <c r="R578" s="6">
        <f t="shared" ref="R578:R601" si="59">K578*L578</f>
        <v>43400</v>
      </c>
    </row>
    <row r="579" spans="1:18" x14ac:dyDescent="0.25">
      <c r="A579" s="2">
        <v>45992</v>
      </c>
      <c r="B579" s="3" t="s">
        <v>43</v>
      </c>
      <c r="C579" s="3" t="s">
        <v>44</v>
      </c>
      <c r="D579" s="3" t="s">
        <v>30</v>
      </c>
      <c r="E579" s="3" t="s">
        <v>27</v>
      </c>
      <c r="F579" s="3">
        <v>490</v>
      </c>
      <c r="G579" s="3">
        <v>510</v>
      </c>
      <c r="H579" s="3">
        <v>461</v>
      </c>
      <c r="I579" s="3">
        <v>480</v>
      </c>
      <c r="J579" s="3">
        <v>88</v>
      </c>
      <c r="K579" s="3">
        <v>59</v>
      </c>
      <c r="L579" s="3">
        <v>1400</v>
      </c>
      <c r="M579" s="4">
        <f t="shared" si="54"/>
        <v>0.9408163265306122</v>
      </c>
      <c r="N579" s="5">
        <f t="shared" si="55"/>
        <v>1.4448979591836735</v>
      </c>
      <c r="O579" s="3">
        <f t="shared" si="56"/>
        <v>29</v>
      </c>
      <c r="P579" s="3" t="str">
        <f t="shared" si="57"/>
        <v>Medium</v>
      </c>
      <c r="Q579" s="3" t="str">
        <f t="shared" si="58"/>
        <v>Short Supply</v>
      </c>
      <c r="R579" s="6">
        <f t="shared" si="59"/>
        <v>82600</v>
      </c>
    </row>
    <row r="580" spans="1:18" x14ac:dyDescent="0.25">
      <c r="A580" s="2">
        <v>45992</v>
      </c>
      <c r="B580" s="3" t="s">
        <v>43</v>
      </c>
      <c r="C580" s="3" t="s">
        <v>44</v>
      </c>
      <c r="D580" s="3" t="s">
        <v>32</v>
      </c>
      <c r="E580" s="3" t="s">
        <v>34</v>
      </c>
      <c r="F580" s="3">
        <v>459</v>
      </c>
      <c r="G580" s="3">
        <v>500</v>
      </c>
      <c r="H580" s="3">
        <v>490</v>
      </c>
      <c r="I580" s="3">
        <v>487</v>
      </c>
      <c r="J580" s="3">
        <v>98</v>
      </c>
      <c r="K580" s="3">
        <v>129</v>
      </c>
      <c r="L580" s="3">
        <v>1400</v>
      </c>
      <c r="M580" s="4">
        <f t="shared" si="54"/>
        <v>1.0675381263616557</v>
      </c>
      <c r="N580" s="5">
        <f t="shared" si="55"/>
        <v>3.3725490196078431</v>
      </c>
      <c r="O580" s="3">
        <f t="shared" si="56"/>
        <v>-31</v>
      </c>
      <c r="P580" s="3" t="str">
        <f t="shared" si="57"/>
        <v>Healthy</v>
      </c>
      <c r="Q580" s="3" t="str">
        <f t="shared" si="58"/>
        <v>On Track</v>
      </c>
      <c r="R580" s="6">
        <f t="shared" si="59"/>
        <v>180600</v>
      </c>
    </row>
    <row r="581" spans="1:18" x14ac:dyDescent="0.25">
      <c r="A581" s="2">
        <v>45992</v>
      </c>
      <c r="B581" s="3" t="s">
        <v>43</v>
      </c>
      <c r="C581" s="3" t="s">
        <v>44</v>
      </c>
      <c r="D581" s="3" t="s">
        <v>33</v>
      </c>
      <c r="E581" s="3" t="s">
        <v>31</v>
      </c>
      <c r="F581" s="3">
        <v>407</v>
      </c>
      <c r="G581" s="3">
        <v>398</v>
      </c>
      <c r="H581" s="3">
        <v>352</v>
      </c>
      <c r="I581" s="3">
        <v>391</v>
      </c>
      <c r="J581" s="3">
        <v>85</v>
      </c>
      <c r="K581" s="3">
        <v>30</v>
      </c>
      <c r="L581" s="3">
        <v>1400</v>
      </c>
      <c r="M581" s="4">
        <f t="shared" si="54"/>
        <v>0.86486486486486491</v>
      </c>
      <c r="N581" s="5">
        <f t="shared" si="55"/>
        <v>0.88452088452088451</v>
      </c>
      <c r="O581" s="3">
        <f t="shared" si="56"/>
        <v>55</v>
      </c>
      <c r="P581" s="3" t="str">
        <f t="shared" si="57"/>
        <v>Low</v>
      </c>
      <c r="Q581" s="3" t="str">
        <f t="shared" si="58"/>
        <v>Short Supply</v>
      </c>
      <c r="R581" s="6">
        <f t="shared" si="59"/>
        <v>42000</v>
      </c>
    </row>
    <row r="582" spans="1:18" x14ac:dyDescent="0.25">
      <c r="A582" s="2">
        <v>45992</v>
      </c>
      <c r="B582" s="3" t="s">
        <v>45</v>
      </c>
      <c r="C582" s="3" t="s">
        <v>46</v>
      </c>
      <c r="D582" s="3" t="s">
        <v>26</v>
      </c>
      <c r="E582" s="3" t="s">
        <v>27</v>
      </c>
      <c r="F582" s="3">
        <v>740</v>
      </c>
      <c r="G582" s="3">
        <v>770</v>
      </c>
      <c r="H582" s="3">
        <v>714</v>
      </c>
      <c r="I582" s="3">
        <v>742</v>
      </c>
      <c r="J582" s="3">
        <v>116</v>
      </c>
      <c r="K582" s="3">
        <v>90</v>
      </c>
      <c r="L582" s="3">
        <v>1500</v>
      </c>
      <c r="M582" s="4">
        <f t="shared" si="54"/>
        <v>0.96486486486486489</v>
      </c>
      <c r="N582" s="5">
        <f t="shared" si="55"/>
        <v>1.4594594594594597</v>
      </c>
      <c r="O582" s="3">
        <f t="shared" si="56"/>
        <v>26</v>
      </c>
      <c r="P582" s="3" t="str">
        <f t="shared" si="57"/>
        <v>Medium</v>
      </c>
      <c r="Q582" s="3" t="str">
        <f t="shared" si="58"/>
        <v>Short Supply</v>
      </c>
      <c r="R582" s="6">
        <f t="shared" si="59"/>
        <v>135000</v>
      </c>
    </row>
    <row r="583" spans="1:18" x14ac:dyDescent="0.25">
      <c r="A583" s="2">
        <v>45992</v>
      </c>
      <c r="B583" s="3" t="s">
        <v>45</v>
      </c>
      <c r="C583" s="3" t="s">
        <v>46</v>
      </c>
      <c r="D583" s="3" t="s">
        <v>28</v>
      </c>
      <c r="E583" s="3" t="s">
        <v>31</v>
      </c>
      <c r="F583" s="3">
        <v>493</v>
      </c>
      <c r="G583" s="3">
        <v>519</v>
      </c>
      <c r="H583" s="3">
        <v>491</v>
      </c>
      <c r="I583" s="3">
        <v>505</v>
      </c>
      <c r="J583" s="3">
        <v>111</v>
      </c>
      <c r="K583" s="3">
        <v>109</v>
      </c>
      <c r="L583" s="3">
        <v>1500</v>
      </c>
      <c r="M583" s="4">
        <f t="shared" si="54"/>
        <v>0.99594320486815413</v>
      </c>
      <c r="N583" s="5">
        <f t="shared" si="55"/>
        <v>2.6531440162271807</v>
      </c>
      <c r="O583" s="3">
        <f t="shared" si="56"/>
        <v>2</v>
      </c>
      <c r="P583" s="3" t="str">
        <f t="shared" si="57"/>
        <v>Healthy</v>
      </c>
      <c r="Q583" s="3" t="str">
        <f t="shared" si="58"/>
        <v>Short Supply</v>
      </c>
      <c r="R583" s="6">
        <f t="shared" si="59"/>
        <v>163500</v>
      </c>
    </row>
    <row r="584" spans="1:18" x14ac:dyDescent="0.25">
      <c r="A584" s="2">
        <v>45992</v>
      </c>
      <c r="B584" s="3" t="s">
        <v>45</v>
      </c>
      <c r="C584" s="3" t="s">
        <v>46</v>
      </c>
      <c r="D584" s="3" t="s">
        <v>30</v>
      </c>
      <c r="E584" s="3" t="s">
        <v>31</v>
      </c>
      <c r="F584" s="3">
        <v>412</v>
      </c>
      <c r="G584" s="3">
        <v>417</v>
      </c>
      <c r="H584" s="3">
        <v>424</v>
      </c>
      <c r="I584" s="3">
        <v>382</v>
      </c>
      <c r="J584" s="3">
        <v>111</v>
      </c>
      <c r="K584" s="3">
        <v>123</v>
      </c>
      <c r="L584" s="3">
        <v>1500</v>
      </c>
      <c r="M584" s="4">
        <f t="shared" si="54"/>
        <v>1.029126213592233</v>
      </c>
      <c r="N584" s="5">
        <f t="shared" si="55"/>
        <v>3.5825242718446599</v>
      </c>
      <c r="O584" s="3">
        <f t="shared" si="56"/>
        <v>-12</v>
      </c>
      <c r="P584" s="3" t="str">
        <f t="shared" si="57"/>
        <v>Healthy</v>
      </c>
      <c r="Q584" s="3" t="str">
        <f t="shared" si="58"/>
        <v>On Track</v>
      </c>
      <c r="R584" s="6">
        <f t="shared" si="59"/>
        <v>184500</v>
      </c>
    </row>
    <row r="585" spans="1:18" x14ac:dyDescent="0.25">
      <c r="A585" s="2">
        <v>45992</v>
      </c>
      <c r="B585" s="3" t="s">
        <v>45</v>
      </c>
      <c r="C585" s="3" t="s">
        <v>46</v>
      </c>
      <c r="D585" s="3" t="s">
        <v>32</v>
      </c>
      <c r="E585" s="3" t="s">
        <v>29</v>
      </c>
      <c r="F585" s="3">
        <v>346</v>
      </c>
      <c r="G585" s="3">
        <v>343</v>
      </c>
      <c r="H585" s="3">
        <v>325</v>
      </c>
      <c r="I585" s="3">
        <v>327</v>
      </c>
      <c r="J585" s="3">
        <v>120</v>
      </c>
      <c r="K585" s="3">
        <v>99</v>
      </c>
      <c r="L585" s="3">
        <v>1500</v>
      </c>
      <c r="M585" s="4">
        <f t="shared" si="54"/>
        <v>0.93930635838150289</v>
      </c>
      <c r="N585" s="5">
        <f t="shared" si="55"/>
        <v>3.4335260115606934</v>
      </c>
      <c r="O585" s="3">
        <f t="shared" si="56"/>
        <v>21</v>
      </c>
      <c r="P585" s="3" t="str">
        <f t="shared" si="57"/>
        <v>Healthy</v>
      </c>
      <c r="Q585" s="3" t="str">
        <f t="shared" si="58"/>
        <v>Short Supply</v>
      </c>
      <c r="R585" s="6">
        <f t="shared" si="59"/>
        <v>148500</v>
      </c>
    </row>
    <row r="586" spans="1:18" x14ac:dyDescent="0.25">
      <c r="A586" s="2">
        <v>45992</v>
      </c>
      <c r="B586" s="3" t="s">
        <v>45</v>
      </c>
      <c r="C586" s="3" t="s">
        <v>46</v>
      </c>
      <c r="D586" s="3" t="s">
        <v>33</v>
      </c>
      <c r="E586" s="3" t="s">
        <v>34</v>
      </c>
      <c r="F586" s="3">
        <v>354</v>
      </c>
      <c r="G586" s="3">
        <v>393</v>
      </c>
      <c r="H586" s="3">
        <v>348</v>
      </c>
      <c r="I586" s="3">
        <v>338</v>
      </c>
      <c r="J586" s="3">
        <v>111</v>
      </c>
      <c r="K586" s="3">
        <v>105</v>
      </c>
      <c r="L586" s="3">
        <v>1500</v>
      </c>
      <c r="M586" s="4">
        <f t="shared" si="54"/>
        <v>0.98305084745762716</v>
      </c>
      <c r="N586" s="5">
        <f t="shared" si="55"/>
        <v>3.5593220338983049</v>
      </c>
      <c r="O586" s="3">
        <f t="shared" si="56"/>
        <v>6</v>
      </c>
      <c r="P586" s="3" t="str">
        <f t="shared" si="57"/>
        <v>Healthy</v>
      </c>
      <c r="Q586" s="3" t="str">
        <f t="shared" si="58"/>
        <v>Short Supply</v>
      </c>
      <c r="R586" s="6">
        <f t="shared" si="59"/>
        <v>157500</v>
      </c>
    </row>
    <row r="587" spans="1:18" x14ac:dyDescent="0.25">
      <c r="A587" s="2">
        <v>45992</v>
      </c>
      <c r="B587" s="3" t="s">
        <v>47</v>
      </c>
      <c r="C587" s="3" t="s">
        <v>48</v>
      </c>
      <c r="D587" s="3" t="s">
        <v>26</v>
      </c>
      <c r="E587" s="3" t="s">
        <v>34</v>
      </c>
      <c r="F587" s="3">
        <v>745</v>
      </c>
      <c r="G587" s="3">
        <v>669</v>
      </c>
      <c r="H587" s="3">
        <v>630</v>
      </c>
      <c r="I587" s="3">
        <v>753</v>
      </c>
      <c r="J587" s="3">
        <v>67</v>
      </c>
      <c r="K587" s="3">
        <v>0</v>
      </c>
      <c r="L587" s="3">
        <v>1250</v>
      </c>
      <c r="M587" s="4">
        <f t="shared" si="54"/>
        <v>0.84563758389261745</v>
      </c>
      <c r="N587" s="5">
        <f t="shared" si="55"/>
        <v>0</v>
      </c>
      <c r="O587" s="3">
        <f t="shared" si="56"/>
        <v>115</v>
      </c>
      <c r="P587" s="3" t="str">
        <f t="shared" si="57"/>
        <v>Low</v>
      </c>
      <c r="Q587" s="3" t="str">
        <f t="shared" si="58"/>
        <v>Short Supply</v>
      </c>
      <c r="R587" s="6">
        <f t="shared" si="59"/>
        <v>0</v>
      </c>
    </row>
    <row r="588" spans="1:18" x14ac:dyDescent="0.25">
      <c r="A588" s="2">
        <v>45992</v>
      </c>
      <c r="B588" s="3" t="s">
        <v>47</v>
      </c>
      <c r="C588" s="3" t="s">
        <v>48</v>
      </c>
      <c r="D588" s="3" t="s">
        <v>28</v>
      </c>
      <c r="E588" s="3" t="s">
        <v>34</v>
      </c>
      <c r="F588" s="3">
        <v>520</v>
      </c>
      <c r="G588" s="3">
        <v>472</v>
      </c>
      <c r="H588" s="3">
        <v>448</v>
      </c>
      <c r="I588" s="3">
        <v>532</v>
      </c>
      <c r="J588" s="3">
        <v>68</v>
      </c>
      <c r="K588" s="3">
        <v>0</v>
      </c>
      <c r="L588" s="3">
        <v>1250</v>
      </c>
      <c r="M588" s="4">
        <f t="shared" si="54"/>
        <v>0.86153846153846159</v>
      </c>
      <c r="N588" s="5">
        <f t="shared" si="55"/>
        <v>0</v>
      </c>
      <c r="O588" s="3">
        <f t="shared" si="56"/>
        <v>72</v>
      </c>
      <c r="P588" s="3" t="str">
        <f t="shared" si="57"/>
        <v>Low</v>
      </c>
      <c r="Q588" s="3" t="str">
        <f t="shared" si="58"/>
        <v>Short Supply</v>
      </c>
      <c r="R588" s="6">
        <f t="shared" si="59"/>
        <v>0</v>
      </c>
    </row>
    <row r="589" spans="1:18" x14ac:dyDescent="0.25">
      <c r="A589" s="2">
        <v>45992</v>
      </c>
      <c r="B589" s="3" t="s">
        <v>47</v>
      </c>
      <c r="C589" s="3" t="s">
        <v>48</v>
      </c>
      <c r="D589" s="3" t="s">
        <v>30</v>
      </c>
      <c r="E589" s="3" t="s">
        <v>29</v>
      </c>
      <c r="F589" s="3">
        <v>338</v>
      </c>
      <c r="G589" s="3">
        <v>341</v>
      </c>
      <c r="H589" s="3">
        <v>339</v>
      </c>
      <c r="I589" s="3">
        <v>353</v>
      </c>
      <c r="J589" s="3">
        <v>137</v>
      </c>
      <c r="K589" s="3">
        <v>138</v>
      </c>
      <c r="L589" s="3">
        <v>1250</v>
      </c>
      <c r="M589" s="4">
        <f t="shared" si="54"/>
        <v>1.0029585798816567</v>
      </c>
      <c r="N589" s="5">
        <f t="shared" si="55"/>
        <v>4.8994082840236679</v>
      </c>
      <c r="O589" s="3">
        <f t="shared" si="56"/>
        <v>-1</v>
      </c>
      <c r="P589" s="3" t="str">
        <f t="shared" si="57"/>
        <v>Healthy</v>
      </c>
      <c r="Q589" s="3" t="str">
        <f t="shared" si="58"/>
        <v>On Track</v>
      </c>
      <c r="R589" s="6">
        <f t="shared" si="59"/>
        <v>172500</v>
      </c>
    </row>
    <row r="590" spans="1:18" x14ac:dyDescent="0.25">
      <c r="A590" s="2">
        <v>45992</v>
      </c>
      <c r="B590" s="3" t="s">
        <v>47</v>
      </c>
      <c r="C590" s="3" t="s">
        <v>48</v>
      </c>
      <c r="D590" s="3" t="s">
        <v>32</v>
      </c>
      <c r="E590" s="3" t="s">
        <v>27</v>
      </c>
      <c r="F590" s="3">
        <v>405</v>
      </c>
      <c r="G590" s="3">
        <v>411</v>
      </c>
      <c r="H590" s="3">
        <v>399</v>
      </c>
      <c r="I590" s="3">
        <v>402</v>
      </c>
      <c r="J590" s="3">
        <v>87</v>
      </c>
      <c r="K590" s="3">
        <v>81</v>
      </c>
      <c r="L590" s="3">
        <v>1250</v>
      </c>
      <c r="M590" s="4">
        <f t="shared" si="54"/>
        <v>0.98518518518518516</v>
      </c>
      <c r="N590" s="5">
        <f t="shared" si="55"/>
        <v>2.4000000000000004</v>
      </c>
      <c r="O590" s="3">
        <f t="shared" si="56"/>
        <v>6</v>
      </c>
      <c r="P590" s="3" t="str">
        <f t="shared" si="57"/>
        <v>Healthy</v>
      </c>
      <c r="Q590" s="3" t="str">
        <f t="shared" si="58"/>
        <v>Short Supply</v>
      </c>
      <c r="R590" s="6">
        <f t="shared" si="59"/>
        <v>101250</v>
      </c>
    </row>
    <row r="591" spans="1:18" x14ac:dyDescent="0.25">
      <c r="A591" s="2">
        <v>45992</v>
      </c>
      <c r="B591" s="3" t="s">
        <v>47</v>
      </c>
      <c r="C591" s="3" t="s">
        <v>48</v>
      </c>
      <c r="D591" s="3" t="s">
        <v>33</v>
      </c>
      <c r="E591" s="3" t="s">
        <v>29</v>
      </c>
      <c r="F591" s="3">
        <v>441</v>
      </c>
      <c r="G591" s="3">
        <v>477</v>
      </c>
      <c r="H591" s="3">
        <v>441</v>
      </c>
      <c r="I591" s="3">
        <v>459</v>
      </c>
      <c r="J591" s="3">
        <v>107</v>
      </c>
      <c r="K591" s="3">
        <v>107</v>
      </c>
      <c r="L591" s="3">
        <v>1250</v>
      </c>
      <c r="M591" s="4">
        <f t="shared" si="54"/>
        <v>1</v>
      </c>
      <c r="N591" s="5">
        <f t="shared" si="55"/>
        <v>2.9115646258503403</v>
      </c>
      <c r="O591" s="3">
        <f t="shared" si="56"/>
        <v>0</v>
      </c>
      <c r="P591" s="3" t="str">
        <f t="shared" si="57"/>
        <v>Healthy</v>
      </c>
      <c r="Q591" s="3" t="str">
        <f t="shared" si="58"/>
        <v>On Track</v>
      </c>
      <c r="R591" s="6">
        <f t="shared" si="59"/>
        <v>133750</v>
      </c>
    </row>
    <row r="592" spans="1:18" x14ac:dyDescent="0.25">
      <c r="A592" s="2">
        <v>45992</v>
      </c>
      <c r="B592" s="3" t="s">
        <v>49</v>
      </c>
      <c r="C592" s="3" t="s">
        <v>50</v>
      </c>
      <c r="D592" s="3" t="s">
        <v>26</v>
      </c>
      <c r="E592" s="3" t="s">
        <v>29</v>
      </c>
      <c r="F592" s="3">
        <v>1034</v>
      </c>
      <c r="G592" s="3">
        <v>938</v>
      </c>
      <c r="H592" s="3">
        <v>925</v>
      </c>
      <c r="I592" s="3">
        <v>987</v>
      </c>
      <c r="J592" s="3">
        <v>87</v>
      </c>
      <c r="K592" s="3">
        <v>0</v>
      </c>
      <c r="L592" s="3">
        <v>1750</v>
      </c>
      <c r="M592" s="4">
        <f t="shared" si="54"/>
        <v>0.89458413926499036</v>
      </c>
      <c r="N592" s="5">
        <f t="shared" si="55"/>
        <v>0</v>
      </c>
      <c r="O592" s="3">
        <f t="shared" si="56"/>
        <v>109</v>
      </c>
      <c r="P592" s="3" t="str">
        <f t="shared" si="57"/>
        <v>Low</v>
      </c>
      <c r="Q592" s="3" t="str">
        <f t="shared" si="58"/>
        <v>Short Supply</v>
      </c>
      <c r="R592" s="6">
        <f t="shared" si="59"/>
        <v>0</v>
      </c>
    </row>
    <row r="593" spans="1:18" x14ac:dyDescent="0.25">
      <c r="A593" s="2">
        <v>45992</v>
      </c>
      <c r="B593" s="3" t="s">
        <v>49</v>
      </c>
      <c r="C593" s="3" t="s">
        <v>50</v>
      </c>
      <c r="D593" s="3" t="s">
        <v>28</v>
      </c>
      <c r="E593" s="3" t="s">
        <v>34</v>
      </c>
      <c r="F593" s="3">
        <v>766</v>
      </c>
      <c r="G593" s="3">
        <v>742</v>
      </c>
      <c r="H593" s="3">
        <v>664</v>
      </c>
      <c r="I593" s="3">
        <v>814</v>
      </c>
      <c r="J593" s="3">
        <v>99</v>
      </c>
      <c r="K593" s="3">
        <v>0</v>
      </c>
      <c r="L593" s="3">
        <v>1750</v>
      </c>
      <c r="M593" s="4">
        <f t="shared" si="54"/>
        <v>0.86684073107049608</v>
      </c>
      <c r="N593" s="5">
        <f t="shared" si="55"/>
        <v>0</v>
      </c>
      <c r="O593" s="3">
        <f t="shared" si="56"/>
        <v>102</v>
      </c>
      <c r="P593" s="3" t="str">
        <f t="shared" si="57"/>
        <v>Low</v>
      </c>
      <c r="Q593" s="3" t="str">
        <f t="shared" si="58"/>
        <v>Short Supply</v>
      </c>
      <c r="R593" s="6">
        <f t="shared" si="59"/>
        <v>0</v>
      </c>
    </row>
    <row r="594" spans="1:18" x14ac:dyDescent="0.25">
      <c r="A594" s="2">
        <v>45992</v>
      </c>
      <c r="B594" s="3" t="s">
        <v>49</v>
      </c>
      <c r="C594" s="3" t="s">
        <v>50</v>
      </c>
      <c r="D594" s="3" t="s">
        <v>30</v>
      </c>
      <c r="E594" s="3" t="s">
        <v>34</v>
      </c>
      <c r="F594" s="3">
        <v>495</v>
      </c>
      <c r="G594" s="3">
        <v>508</v>
      </c>
      <c r="H594" s="3">
        <v>460</v>
      </c>
      <c r="I594" s="3">
        <v>529</v>
      </c>
      <c r="J594" s="3">
        <v>91</v>
      </c>
      <c r="K594" s="3">
        <v>56</v>
      </c>
      <c r="L594" s="3">
        <v>1750</v>
      </c>
      <c r="M594" s="4">
        <f t="shared" si="54"/>
        <v>0.92929292929292928</v>
      </c>
      <c r="N594" s="5">
        <f t="shared" si="55"/>
        <v>1.3575757575757577</v>
      </c>
      <c r="O594" s="3">
        <f t="shared" si="56"/>
        <v>35</v>
      </c>
      <c r="P594" s="3" t="str">
        <f t="shared" si="57"/>
        <v>Medium</v>
      </c>
      <c r="Q594" s="3" t="str">
        <f t="shared" si="58"/>
        <v>Short Supply</v>
      </c>
      <c r="R594" s="6">
        <f t="shared" si="59"/>
        <v>98000</v>
      </c>
    </row>
    <row r="595" spans="1:18" x14ac:dyDescent="0.25">
      <c r="A595" s="2">
        <v>45992</v>
      </c>
      <c r="B595" s="3" t="s">
        <v>49</v>
      </c>
      <c r="C595" s="3" t="s">
        <v>50</v>
      </c>
      <c r="D595" s="3" t="s">
        <v>32</v>
      </c>
      <c r="E595" s="3" t="s">
        <v>27</v>
      </c>
      <c r="F595" s="3">
        <v>568</v>
      </c>
      <c r="G595" s="3">
        <v>525</v>
      </c>
      <c r="H595" s="3">
        <v>486</v>
      </c>
      <c r="I595" s="3">
        <v>591</v>
      </c>
      <c r="J595" s="3">
        <v>63</v>
      </c>
      <c r="K595" s="3">
        <v>0</v>
      </c>
      <c r="L595" s="3">
        <v>1750</v>
      </c>
      <c r="M595" s="4">
        <f t="shared" si="54"/>
        <v>0.85563380281690138</v>
      </c>
      <c r="N595" s="5">
        <f t="shared" si="55"/>
        <v>0</v>
      </c>
      <c r="O595" s="3">
        <f t="shared" si="56"/>
        <v>82</v>
      </c>
      <c r="P595" s="3" t="str">
        <f t="shared" si="57"/>
        <v>Low</v>
      </c>
      <c r="Q595" s="3" t="str">
        <f t="shared" si="58"/>
        <v>Short Supply</v>
      </c>
      <c r="R595" s="6">
        <f t="shared" si="59"/>
        <v>0</v>
      </c>
    </row>
    <row r="596" spans="1:18" x14ac:dyDescent="0.25">
      <c r="A596" s="2">
        <v>45992</v>
      </c>
      <c r="B596" s="3" t="s">
        <v>49</v>
      </c>
      <c r="C596" s="3" t="s">
        <v>50</v>
      </c>
      <c r="D596" s="3" t="s">
        <v>33</v>
      </c>
      <c r="E596" s="3" t="s">
        <v>34</v>
      </c>
      <c r="F596" s="3">
        <v>623</v>
      </c>
      <c r="G596" s="3">
        <v>615</v>
      </c>
      <c r="H596" s="3">
        <v>597</v>
      </c>
      <c r="I596" s="3">
        <v>668</v>
      </c>
      <c r="J596" s="3">
        <v>70</v>
      </c>
      <c r="K596" s="3">
        <v>44</v>
      </c>
      <c r="L596" s="3">
        <v>1750</v>
      </c>
      <c r="M596" s="4">
        <f t="shared" si="54"/>
        <v>0.9582664526484751</v>
      </c>
      <c r="N596" s="5">
        <f t="shared" si="55"/>
        <v>0.8475120385232745</v>
      </c>
      <c r="O596" s="3">
        <f t="shared" si="56"/>
        <v>26</v>
      </c>
      <c r="P596" s="3" t="str">
        <f t="shared" si="57"/>
        <v>Low</v>
      </c>
      <c r="Q596" s="3" t="str">
        <f t="shared" si="58"/>
        <v>Short Supply</v>
      </c>
      <c r="R596" s="6">
        <f t="shared" si="59"/>
        <v>77000</v>
      </c>
    </row>
    <row r="597" spans="1:18" x14ac:dyDescent="0.25">
      <c r="A597" s="2">
        <v>45992</v>
      </c>
      <c r="B597" s="3" t="s">
        <v>51</v>
      </c>
      <c r="C597" s="3" t="s">
        <v>36</v>
      </c>
      <c r="D597" s="3" t="s">
        <v>26</v>
      </c>
      <c r="E597" s="3" t="s">
        <v>31</v>
      </c>
      <c r="F597" s="3">
        <v>634</v>
      </c>
      <c r="G597" s="3">
        <v>669</v>
      </c>
      <c r="H597" s="3">
        <v>640</v>
      </c>
      <c r="I597" s="3">
        <v>627</v>
      </c>
      <c r="J597" s="3">
        <v>106</v>
      </c>
      <c r="K597" s="3">
        <v>112</v>
      </c>
      <c r="L597" s="3">
        <v>1450</v>
      </c>
      <c r="M597" s="4">
        <f t="shared" si="54"/>
        <v>1.0094637223974763</v>
      </c>
      <c r="N597" s="5">
        <f t="shared" si="55"/>
        <v>2.1198738170347005</v>
      </c>
      <c r="O597" s="3">
        <f t="shared" si="56"/>
        <v>-6</v>
      </c>
      <c r="P597" s="3" t="str">
        <f t="shared" si="57"/>
        <v>Healthy</v>
      </c>
      <c r="Q597" s="3" t="str">
        <f t="shared" si="58"/>
        <v>On Track</v>
      </c>
      <c r="R597" s="6">
        <f t="shared" si="59"/>
        <v>162400</v>
      </c>
    </row>
    <row r="598" spans="1:18" x14ac:dyDescent="0.25">
      <c r="A598" s="2">
        <v>45992</v>
      </c>
      <c r="B598" s="3" t="s">
        <v>51</v>
      </c>
      <c r="C598" s="3" t="s">
        <v>36</v>
      </c>
      <c r="D598" s="3" t="s">
        <v>28</v>
      </c>
      <c r="E598" s="3" t="s">
        <v>29</v>
      </c>
      <c r="F598" s="3">
        <v>612</v>
      </c>
      <c r="G598" s="3">
        <v>564</v>
      </c>
      <c r="H598" s="3">
        <v>560</v>
      </c>
      <c r="I598" s="3">
        <v>573</v>
      </c>
      <c r="J598" s="3">
        <v>112</v>
      </c>
      <c r="K598" s="3">
        <v>60</v>
      </c>
      <c r="L598" s="3">
        <v>1450</v>
      </c>
      <c r="M598" s="4">
        <f t="shared" si="54"/>
        <v>0.91503267973856206</v>
      </c>
      <c r="N598" s="5">
        <f t="shared" si="55"/>
        <v>1.1764705882352942</v>
      </c>
      <c r="O598" s="3">
        <f t="shared" si="56"/>
        <v>52</v>
      </c>
      <c r="P598" s="3" t="str">
        <f t="shared" si="57"/>
        <v>Medium</v>
      </c>
      <c r="Q598" s="3" t="str">
        <f t="shared" si="58"/>
        <v>Short Supply</v>
      </c>
      <c r="R598" s="6">
        <f t="shared" si="59"/>
        <v>87000</v>
      </c>
    </row>
    <row r="599" spans="1:18" x14ac:dyDescent="0.25">
      <c r="A599" s="2">
        <v>45992</v>
      </c>
      <c r="B599" s="3" t="s">
        <v>51</v>
      </c>
      <c r="C599" s="3" t="s">
        <v>36</v>
      </c>
      <c r="D599" s="3" t="s">
        <v>30</v>
      </c>
      <c r="E599" s="3" t="s">
        <v>29</v>
      </c>
      <c r="F599" s="3">
        <v>431</v>
      </c>
      <c r="G599" s="3">
        <v>419</v>
      </c>
      <c r="H599" s="3">
        <v>426</v>
      </c>
      <c r="I599" s="3">
        <v>459</v>
      </c>
      <c r="J599" s="3">
        <v>120</v>
      </c>
      <c r="K599" s="3">
        <v>115</v>
      </c>
      <c r="L599" s="3">
        <v>1450</v>
      </c>
      <c r="M599" s="4">
        <f t="shared" si="54"/>
        <v>0.98839907192575405</v>
      </c>
      <c r="N599" s="5">
        <f t="shared" si="55"/>
        <v>3.2018561484918791</v>
      </c>
      <c r="O599" s="3">
        <f t="shared" si="56"/>
        <v>5</v>
      </c>
      <c r="P599" s="3" t="str">
        <f t="shared" si="57"/>
        <v>Healthy</v>
      </c>
      <c r="Q599" s="3" t="str">
        <f t="shared" si="58"/>
        <v>Short Supply</v>
      </c>
      <c r="R599" s="6">
        <f t="shared" si="59"/>
        <v>166750</v>
      </c>
    </row>
    <row r="600" spans="1:18" x14ac:dyDescent="0.25">
      <c r="A600" s="2">
        <v>45992</v>
      </c>
      <c r="B600" s="3" t="s">
        <v>51</v>
      </c>
      <c r="C600" s="3" t="s">
        <v>36</v>
      </c>
      <c r="D600" s="3" t="s">
        <v>32</v>
      </c>
      <c r="E600" s="3" t="s">
        <v>29</v>
      </c>
      <c r="F600" s="3">
        <v>385</v>
      </c>
      <c r="G600" s="3">
        <v>370</v>
      </c>
      <c r="H600" s="3">
        <v>340</v>
      </c>
      <c r="I600" s="3">
        <v>403</v>
      </c>
      <c r="J600" s="3">
        <v>71</v>
      </c>
      <c r="K600" s="3">
        <v>26</v>
      </c>
      <c r="L600" s="3">
        <v>1450</v>
      </c>
      <c r="M600" s="4">
        <f t="shared" si="54"/>
        <v>0.88311688311688308</v>
      </c>
      <c r="N600" s="5">
        <f t="shared" si="55"/>
        <v>0.81038961038961033</v>
      </c>
      <c r="O600" s="3">
        <f t="shared" si="56"/>
        <v>45</v>
      </c>
      <c r="P600" s="3" t="str">
        <f t="shared" si="57"/>
        <v>Low</v>
      </c>
      <c r="Q600" s="3" t="str">
        <f t="shared" si="58"/>
        <v>Short Supply</v>
      </c>
      <c r="R600" s="6">
        <f t="shared" si="59"/>
        <v>37700</v>
      </c>
    </row>
    <row r="601" spans="1:18" x14ac:dyDescent="0.25">
      <c r="A601" s="2">
        <v>45992</v>
      </c>
      <c r="B601" s="3" t="s">
        <v>51</v>
      </c>
      <c r="C601" s="3" t="s">
        <v>36</v>
      </c>
      <c r="D601" s="3" t="s">
        <v>33</v>
      </c>
      <c r="E601" s="3" t="s">
        <v>31</v>
      </c>
      <c r="F601" s="3">
        <v>487</v>
      </c>
      <c r="G601" s="3">
        <v>492</v>
      </c>
      <c r="H601" s="3">
        <v>454</v>
      </c>
      <c r="I601" s="3">
        <v>505</v>
      </c>
      <c r="J601" s="3">
        <v>104</v>
      </c>
      <c r="K601" s="3">
        <v>71</v>
      </c>
      <c r="L601" s="3">
        <v>1450</v>
      </c>
      <c r="M601" s="4">
        <f t="shared" si="54"/>
        <v>0.93223819301848054</v>
      </c>
      <c r="N601" s="5">
        <f t="shared" si="55"/>
        <v>1.7494866529774127</v>
      </c>
      <c r="O601" s="3">
        <f t="shared" si="56"/>
        <v>33</v>
      </c>
      <c r="P601" s="3" t="str">
        <f t="shared" si="57"/>
        <v>Medium</v>
      </c>
      <c r="Q601" s="3" t="str">
        <f t="shared" si="58"/>
        <v>Short Supply</v>
      </c>
      <c r="R601" s="6">
        <f t="shared" si="59"/>
        <v>102950</v>
      </c>
    </row>
  </sheetData>
  <autoFilter ref="A1:R601" xr:uid="{00000000-0009-0000-0000-000001000000}"/>
  <conditionalFormatting sqref="M2:M601">
    <cfRule type="cellIs" dxfId="1" priority="1" operator="lessThan">
      <formula>0.95</formula>
    </cfRule>
  </conditionalFormatting>
  <conditionalFormatting sqref="N2:N601">
    <cfRule type="cellIs" dxfId="0" priority="2" operator="lessThan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13" workbookViewId="0">
      <selection activeCell="F15" sqref="F15"/>
    </sheetView>
  </sheetViews>
  <sheetFormatPr defaultRowHeight="15" x14ac:dyDescent="0.25"/>
  <cols>
    <col min="1" max="6" width="22" customWidth="1"/>
  </cols>
  <sheetData>
    <row r="1" spans="1:8" x14ac:dyDescent="0.25">
      <c r="A1" s="17" t="s">
        <v>52</v>
      </c>
      <c r="B1" s="12"/>
      <c r="C1" s="12"/>
      <c r="D1" s="12"/>
      <c r="E1" s="12"/>
      <c r="F1" s="12"/>
      <c r="G1" s="12"/>
      <c r="H1" s="12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4" spans="1:8" ht="18.75" x14ac:dyDescent="0.3">
      <c r="A4" s="7" t="s">
        <v>53</v>
      </c>
      <c r="B4" s="19">
        <f>SUM('Raw Data'!F2:F601)</f>
        <v>298289</v>
      </c>
    </row>
    <row r="5" spans="1:8" ht="18.75" x14ac:dyDescent="0.3">
      <c r="A5" s="7" t="s">
        <v>54</v>
      </c>
      <c r="B5" s="19">
        <f>SUM('Raw Data'!H2:H601)</f>
        <v>283585</v>
      </c>
    </row>
    <row r="6" spans="1:8" ht="18.75" x14ac:dyDescent="0.3">
      <c r="A6" s="7" t="s">
        <v>4</v>
      </c>
      <c r="B6" s="8">
        <f>IFERROR(B5/B4,0)</f>
        <v>0.95070552383762053</v>
      </c>
    </row>
    <row r="7" spans="1:8" ht="18.75" x14ac:dyDescent="0.3">
      <c r="A7" s="7" t="s">
        <v>55</v>
      </c>
      <c r="B7" s="19">
        <f>SUM('Raw Data'!I2:I601)</f>
        <v>298732</v>
      </c>
    </row>
    <row r="8" spans="1:8" ht="18.75" x14ac:dyDescent="0.3">
      <c r="A8" s="7" t="s">
        <v>17</v>
      </c>
      <c r="B8" s="19">
        <f>SUM('Raw Data'!K2:K601)</f>
        <v>49211</v>
      </c>
    </row>
    <row r="9" spans="1:8" ht="18.75" x14ac:dyDescent="0.3">
      <c r="A9" s="7" t="s">
        <v>23</v>
      </c>
      <c r="B9" s="19">
        <f>SUM('Raw Data'!R2:R601)</f>
        <v>73787650</v>
      </c>
    </row>
    <row r="12" spans="1:8" ht="19.5" x14ac:dyDescent="0.3">
      <c r="A12" s="9" t="s">
        <v>56</v>
      </c>
    </row>
    <row r="13" spans="1:8" x14ac:dyDescent="0.25">
      <c r="A13" s="10" t="s">
        <v>7</v>
      </c>
      <c r="B13" s="10" t="s">
        <v>12</v>
      </c>
      <c r="C13" s="10" t="s">
        <v>13</v>
      </c>
      <c r="D13" s="10" t="s">
        <v>14</v>
      </c>
      <c r="E13" s="10" t="s">
        <v>57</v>
      </c>
      <c r="F13" s="10" t="s">
        <v>17</v>
      </c>
    </row>
    <row r="14" spans="1:8" x14ac:dyDescent="0.25">
      <c r="A14" s="2">
        <v>45658</v>
      </c>
      <c r="B14" s="3">
        <f>SUMIFS('Raw Data'!$F$2:$F$601,'Raw Data'!$A$2:$A$601,A14)</f>
        <v>21012</v>
      </c>
      <c r="C14" s="3">
        <f>SUMIFS('Raw Data'!$G$2:$G$601,'Raw Data'!$A$2:$A$601,A14)</f>
        <v>20852</v>
      </c>
      <c r="D14" s="3">
        <f>SUMIFS('Raw Data'!$H$2:$H$601,'Raw Data'!$A$2:$A$601,A14)</f>
        <v>19962</v>
      </c>
      <c r="E14" s="3">
        <f>SUMIFS('Raw Data'!$I$2:$I$601,'Raw Data'!$A$2:$A$601,A14)</f>
        <v>20721</v>
      </c>
      <c r="F14" s="3">
        <f>SUMIFS('Raw Data'!$K$2:$K$601,'Raw Data'!$A$2:$A$601,A14)</f>
        <v>7419</v>
      </c>
    </row>
    <row r="15" spans="1:8" x14ac:dyDescent="0.25">
      <c r="A15" s="2">
        <v>45689</v>
      </c>
      <c r="B15" s="3">
        <f>SUMIFS('Raw Data'!$F$2:$F$601,'Raw Data'!$A$2:$A$601,A15)</f>
        <v>20789</v>
      </c>
      <c r="C15" s="3">
        <f>SUMIFS('Raw Data'!$G$2:$G$601,'Raw Data'!$A$2:$A$601,A15)</f>
        <v>20594</v>
      </c>
      <c r="D15" s="3">
        <f>SUMIFS('Raw Data'!$H$2:$H$601,'Raw Data'!$A$2:$A$601,A15)</f>
        <v>19574</v>
      </c>
      <c r="E15" s="3">
        <f>SUMIFS('Raw Data'!$I$2:$I$601,'Raw Data'!$A$2:$A$601,A15)</f>
        <v>20965</v>
      </c>
      <c r="F15" s="3">
        <f>SUMIFS('Raw Data'!$K$2:$K$601,'Raw Data'!$A$2:$A$601,A15)</f>
        <v>4105</v>
      </c>
    </row>
    <row r="16" spans="1:8" x14ac:dyDescent="0.25">
      <c r="A16" s="2">
        <v>45717</v>
      </c>
      <c r="B16" s="3">
        <f>SUMIFS('Raw Data'!$F$2:$F$601,'Raw Data'!$A$2:$A$601,A16)</f>
        <v>23220</v>
      </c>
      <c r="C16" s="3">
        <f>SUMIFS('Raw Data'!$G$2:$G$601,'Raw Data'!$A$2:$A$601,A16)</f>
        <v>23453</v>
      </c>
      <c r="D16" s="3">
        <f>SUMIFS('Raw Data'!$H$2:$H$601,'Raw Data'!$A$2:$A$601,A16)</f>
        <v>21956</v>
      </c>
      <c r="E16" s="3">
        <f>SUMIFS('Raw Data'!$I$2:$I$601,'Raw Data'!$A$2:$A$601,A16)</f>
        <v>23165</v>
      </c>
      <c r="F16" s="3">
        <f>SUMIFS('Raw Data'!$K$2:$K$601,'Raw Data'!$A$2:$A$601,A16)</f>
        <v>3808</v>
      </c>
    </row>
    <row r="17" spans="1:6" x14ac:dyDescent="0.25">
      <c r="A17" s="2">
        <v>45748</v>
      </c>
      <c r="B17" s="3">
        <f>SUMIFS('Raw Data'!$F$2:$F$601,'Raw Data'!$A$2:$A$601,A17)</f>
        <v>24183</v>
      </c>
      <c r="C17" s="3">
        <f>SUMIFS('Raw Data'!$G$2:$G$601,'Raw Data'!$A$2:$A$601,A17)</f>
        <v>24309</v>
      </c>
      <c r="D17" s="3">
        <f>SUMIFS('Raw Data'!$H$2:$H$601,'Raw Data'!$A$2:$A$601,A17)</f>
        <v>23098</v>
      </c>
      <c r="E17" s="3">
        <f>SUMIFS('Raw Data'!$I$2:$I$601,'Raw Data'!$A$2:$A$601,A17)</f>
        <v>24167</v>
      </c>
      <c r="F17" s="3">
        <f>SUMIFS('Raw Data'!$K$2:$K$601,'Raw Data'!$A$2:$A$601,A17)</f>
        <v>3855</v>
      </c>
    </row>
    <row r="18" spans="1:6" x14ac:dyDescent="0.25">
      <c r="A18" s="2">
        <v>45778</v>
      </c>
      <c r="B18" s="3">
        <f>SUMIFS('Raw Data'!$F$2:$F$601,'Raw Data'!$A$2:$A$601,A18)</f>
        <v>24656</v>
      </c>
      <c r="C18" s="3">
        <f>SUMIFS('Raw Data'!$G$2:$G$601,'Raw Data'!$A$2:$A$601,A18)</f>
        <v>24606</v>
      </c>
      <c r="D18" s="3">
        <f>SUMIFS('Raw Data'!$H$2:$H$601,'Raw Data'!$A$2:$A$601,A18)</f>
        <v>23512</v>
      </c>
      <c r="E18" s="3">
        <f>SUMIFS('Raw Data'!$I$2:$I$601,'Raw Data'!$A$2:$A$601,A18)</f>
        <v>24759</v>
      </c>
      <c r="F18" s="3">
        <f>SUMIFS('Raw Data'!$K$2:$K$601,'Raw Data'!$A$2:$A$601,A18)</f>
        <v>3871</v>
      </c>
    </row>
    <row r="19" spans="1:6" x14ac:dyDescent="0.25">
      <c r="A19" s="2">
        <v>45809</v>
      </c>
      <c r="B19" s="3">
        <f>SUMIFS('Raw Data'!$F$2:$F$601,'Raw Data'!$A$2:$A$601,A19)</f>
        <v>26956</v>
      </c>
      <c r="C19" s="3">
        <f>SUMIFS('Raw Data'!$G$2:$G$601,'Raw Data'!$A$2:$A$601,A19)</f>
        <v>27458</v>
      </c>
      <c r="D19" s="3">
        <f>SUMIFS('Raw Data'!$H$2:$H$601,'Raw Data'!$A$2:$A$601,A19)</f>
        <v>25937</v>
      </c>
      <c r="E19" s="3">
        <f>SUMIFS('Raw Data'!$I$2:$I$601,'Raw Data'!$A$2:$A$601,A19)</f>
        <v>27138</v>
      </c>
      <c r="F19" s="3">
        <f>SUMIFS('Raw Data'!$K$2:$K$601,'Raw Data'!$A$2:$A$601,A19)</f>
        <v>3979</v>
      </c>
    </row>
    <row r="20" spans="1:6" x14ac:dyDescent="0.25">
      <c r="A20" s="2">
        <v>45839</v>
      </c>
      <c r="B20" s="3">
        <f>SUMIFS('Raw Data'!$F$2:$F$601,'Raw Data'!$A$2:$A$601,A20)</f>
        <v>23175</v>
      </c>
      <c r="C20" s="3">
        <f>SUMIFS('Raw Data'!$G$2:$G$601,'Raw Data'!$A$2:$A$601,A20)</f>
        <v>22910</v>
      </c>
      <c r="D20" s="3">
        <f>SUMIFS('Raw Data'!$H$2:$H$601,'Raw Data'!$A$2:$A$601,A20)</f>
        <v>21711</v>
      </c>
      <c r="E20" s="3">
        <f>SUMIFS('Raw Data'!$I$2:$I$601,'Raw Data'!$A$2:$A$601,A20)</f>
        <v>23279</v>
      </c>
      <c r="F20" s="3">
        <f>SUMIFS('Raw Data'!$K$2:$K$601,'Raw Data'!$A$2:$A$601,A20)</f>
        <v>3582</v>
      </c>
    </row>
    <row r="21" spans="1:6" x14ac:dyDescent="0.25">
      <c r="A21" s="2">
        <v>45870</v>
      </c>
      <c r="B21" s="3">
        <f>SUMIFS('Raw Data'!$F$2:$F$601,'Raw Data'!$A$2:$A$601,A21)</f>
        <v>24659</v>
      </c>
      <c r="C21" s="3">
        <f>SUMIFS('Raw Data'!$G$2:$G$601,'Raw Data'!$A$2:$A$601,A21)</f>
        <v>24815</v>
      </c>
      <c r="D21" s="3">
        <f>SUMIFS('Raw Data'!$H$2:$H$601,'Raw Data'!$A$2:$A$601,A21)</f>
        <v>23584</v>
      </c>
      <c r="E21" s="3">
        <f>SUMIFS('Raw Data'!$I$2:$I$601,'Raw Data'!$A$2:$A$601,A21)</f>
        <v>24446</v>
      </c>
      <c r="F21" s="3">
        <f>SUMIFS('Raw Data'!$K$2:$K$601,'Raw Data'!$A$2:$A$601,A21)</f>
        <v>3852</v>
      </c>
    </row>
    <row r="22" spans="1:6" x14ac:dyDescent="0.25">
      <c r="A22" s="2">
        <v>45901</v>
      </c>
      <c r="B22" s="3">
        <f>SUMIFS('Raw Data'!$F$2:$F$601,'Raw Data'!$A$2:$A$601,A22)</f>
        <v>27403</v>
      </c>
      <c r="C22" s="3">
        <f>SUMIFS('Raw Data'!$G$2:$G$601,'Raw Data'!$A$2:$A$601,A22)</f>
        <v>27549</v>
      </c>
      <c r="D22" s="3">
        <f>SUMIFS('Raw Data'!$H$2:$H$601,'Raw Data'!$A$2:$A$601,A22)</f>
        <v>25884</v>
      </c>
      <c r="E22" s="3">
        <f>SUMIFS('Raw Data'!$I$2:$I$601,'Raw Data'!$A$2:$A$601,A22)</f>
        <v>27647</v>
      </c>
      <c r="F22" s="3">
        <f>SUMIFS('Raw Data'!$K$2:$K$601,'Raw Data'!$A$2:$A$601,A22)</f>
        <v>3324</v>
      </c>
    </row>
    <row r="23" spans="1:6" x14ac:dyDescent="0.25">
      <c r="A23" s="2">
        <v>45931</v>
      </c>
      <c r="B23" s="3">
        <f>SUMIFS('Raw Data'!$F$2:$F$601,'Raw Data'!$A$2:$A$601,A23)</f>
        <v>28743</v>
      </c>
      <c r="C23" s="3">
        <f>SUMIFS('Raw Data'!$G$2:$G$601,'Raw Data'!$A$2:$A$601,A23)</f>
        <v>28730</v>
      </c>
      <c r="D23" s="3">
        <f>SUMIFS('Raw Data'!$H$2:$H$601,'Raw Data'!$A$2:$A$601,A23)</f>
        <v>27209</v>
      </c>
      <c r="E23" s="3">
        <f>SUMIFS('Raw Data'!$I$2:$I$601,'Raw Data'!$A$2:$A$601,A23)</f>
        <v>28839</v>
      </c>
      <c r="F23" s="3">
        <f>SUMIFS('Raw Data'!$K$2:$K$601,'Raw Data'!$A$2:$A$601,A23)</f>
        <v>3992</v>
      </c>
    </row>
    <row r="24" spans="1:6" x14ac:dyDescent="0.25">
      <c r="A24" s="2">
        <v>45962</v>
      </c>
      <c r="B24" s="3">
        <f>SUMIFS('Raw Data'!$F$2:$F$601,'Raw Data'!$A$2:$A$601,A24)</f>
        <v>26018</v>
      </c>
      <c r="C24" s="3">
        <f>SUMIFS('Raw Data'!$G$2:$G$601,'Raw Data'!$A$2:$A$601,A24)</f>
        <v>26159</v>
      </c>
      <c r="D24" s="3">
        <f>SUMIFS('Raw Data'!$H$2:$H$601,'Raw Data'!$A$2:$A$601,A24)</f>
        <v>25148</v>
      </c>
      <c r="E24" s="3">
        <f>SUMIFS('Raw Data'!$I$2:$I$601,'Raw Data'!$A$2:$A$601,A24)</f>
        <v>26153</v>
      </c>
      <c r="F24" s="3">
        <f>SUMIFS('Raw Data'!$K$2:$K$601,'Raw Data'!$A$2:$A$601,A24)</f>
        <v>3901</v>
      </c>
    </row>
    <row r="25" spans="1:6" x14ac:dyDescent="0.25">
      <c r="A25" s="2">
        <v>45992</v>
      </c>
      <c r="B25" s="3">
        <f>SUMIFS('Raw Data'!$F$2:$F$601,'Raw Data'!$A$2:$A$601,A25)</f>
        <v>27475</v>
      </c>
      <c r="C25" s="3">
        <f>SUMIFS('Raw Data'!$G$2:$G$601,'Raw Data'!$A$2:$A$601,A25)</f>
        <v>27569</v>
      </c>
      <c r="D25" s="3">
        <f>SUMIFS('Raw Data'!$H$2:$H$601,'Raw Data'!$A$2:$A$601,A25)</f>
        <v>26010</v>
      </c>
      <c r="E25" s="3">
        <f>SUMIFS('Raw Data'!$I$2:$I$601,'Raw Data'!$A$2:$A$601,A25)</f>
        <v>27453</v>
      </c>
      <c r="F25" s="3">
        <f>SUMIFS('Raw Data'!$K$2:$K$601,'Raw Data'!$A$2:$A$601,A25)</f>
        <v>3523</v>
      </c>
    </row>
    <row r="28" spans="1:6" ht="19.5" x14ac:dyDescent="0.3">
      <c r="A28" s="9" t="s">
        <v>58</v>
      </c>
    </row>
    <row r="29" spans="1:6" x14ac:dyDescent="0.25">
      <c r="A29" s="10" t="s">
        <v>9</v>
      </c>
      <c r="B29" s="10" t="s">
        <v>12</v>
      </c>
      <c r="C29" s="10" t="s">
        <v>14</v>
      </c>
      <c r="D29" s="10" t="s">
        <v>4</v>
      </c>
      <c r="E29" s="10" t="s">
        <v>17</v>
      </c>
    </row>
    <row r="30" spans="1:6" x14ac:dyDescent="0.25">
      <c r="A30" s="3" t="s">
        <v>36</v>
      </c>
      <c r="B30" s="3">
        <f>SUMIFS('Raw Data'!$F$2:$F$601,'Raw Data'!$C$2:$C$601,A30)</f>
        <v>59754</v>
      </c>
      <c r="C30" s="3">
        <f>SUMIFS('Raw Data'!$H$2:$H$601,'Raw Data'!$C$2:$C$601,A30)</f>
        <v>56649</v>
      </c>
      <c r="D30" s="4">
        <f t="shared" ref="D30:D38" si="0">IFERROR(C30/B30,0)</f>
        <v>0.94803695150115475</v>
      </c>
      <c r="E30" s="3">
        <f>SUMIFS('Raw Data'!$K$2:$K$601,'Raw Data'!$C$2:$C$601,A30)</f>
        <v>9559</v>
      </c>
    </row>
    <row r="31" spans="1:6" x14ac:dyDescent="0.25">
      <c r="A31" s="3" t="s">
        <v>38</v>
      </c>
      <c r="B31" s="3">
        <f>SUMIFS('Raw Data'!$F$2:$F$601,'Raw Data'!$C$2:$C$601,A31)</f>
        <v>27332</v>
      </c>
      <c r="C31" s="3">
        <f>SUMIFS('Raw Data'!$H$2:$H$601,'Raw Data'!$C$2:$C$601,A31)</f>
        <v>25977</v>
      </c>
      <c r="D31" s="4">
        <f t="shared" si="0"/>
        <v>0.95042441094687546</v>
      </c>
      <c r="E31" s="3">
        <f>SUMIFS('Raw Data'!$K$2:$K$601,'Raw Data'!$C$2:$C$601,A31)</f>
        <v>4599</v>
      </c>
    </row>
    <row r="32" spans="1:6" x14ac:dyDescent="0.25">
      <c r="A32" s="3" t="s">
        <v>48</v>
      </c>
      <c r="B32" s="3">
        <f>SUMIFS('Raw Data'!$F$2:$F$601,'Raw Data'!$C$2:$C$601,A32)</f>
        <v>25922</v>
      </c>
      <c r="C32" s="3">
        <f>SUMIFS('Raw Data'!$H$2:$H$601,'Raw Data'!$C$2:$C$601,A32)</f>
        <v>23934</v>
      </c>
      <c r="D32" s="4">
        <f t="shared" si="0"/>
        <v>0.92330838669855719</v>
      </c>
      <c r="E32" s="3">
        <f>SUMIFS('Raw Data'!$K$2:$K$601,'Raw Data'!$C$2:$C$601,A32)</f>
        <v>4261</v>
      </c>
    </row>
    <row r="33" spans="1:5" x14ac:dyDescent="0.25">
      <c r="A33" s="3" t="s">
        <v>44</v>
      </c>
      <c r="B33" s="3">
        <f>SUMIFS('Raw Data'!$F$2:$F$601,'Raw Data'!$C$2:$C$601,A33)</f>
        <v>29026</v>
      </c>
      <c r="C33" s="3">
        <f>SUMIFS('Raw Data'!$H$2:$H$601,'Raw Data'!$C$2:$C$601,A33)</f>
        <v>27287</v>
      </c>
      <c r="D33" s="4">
        <f t="shared" si="0"/>
        <v>0.94008819678908562</v>
      </c>
      <c r="E33" s="3">
        <f>SUMIFS('Raw Data'!$K$2:$K$601,'Raw Data'!$C$2:$C$601,A33)</f>
        <v>4389</v>
      </c>
    </row>
    <row r="34" spans="1:5" x14ac:dyDescent="0.25">
      <c r="A34" s="3" t="s">
        <v>25</v>
      </c>
      <c r="B34" s="3">
        <f>SUMIFS('Raw Data'!$F$2:$F$601,'Raw Data'!$C$2:$C$601,A34)</f>
        <v>38076</v>
      </c>
      <c r="C34" s="3">
        <f>SUMIFS('Raw Data'!$H$2:$H$601,'Raw Data'!$C$2:$C$601,A34)</f>
        <v>36347</v>
      </c>
      <c r="D34" s="4">
        <f t="shared" si="0"/>
        <v>0.95459081836327342</v>
      </c>
      <c r="E34" s="3">
        <f>SUMIFS('Raw Data'!$K$2:$K$601,'Raw Data'!$C$2:$C$601,A34)</f>
        <v>5120</v>
      </c>
    </row>
    <row r="35" spans="1:5" x14ac:dyDescent="0.25">
      <c r="A35" s="3" t="s">
        <v>42</v>
      </c>
      <c r="B35" s="3">
        <f>SUMIFS('Raw Data'!$F$2:$F$601,'Raw Data'!$C$2:$C$601,A35)</f>
        <v>21897</v>
      </c>
      <c r="C35" s="3">
        <f>SUMIFS('Raw Data'!$H$2:$H$601,'Raw Data'!$C$2:$C$601,A35)</f>
        <v>21164</v>
      </c>
      <c r="D35" s="4">
        <f t="shared" si="0"/>
        <v>0.96652509476183956</v>
      </c>
      <c r="E35" s="3">
        <f>SUMIFS('Raw Data'!$K$2:$K$601,'Raw Data'!$C$2:$C$601,A35)</f>
        <v>5633</v>
      </c>
    </row>
    <row r="36" spans="1:5" x14ac:dyDescent="0.25">
      <c r="A36" s="3" t="s">
        <v>46</v>
      </c>
      <c r="B36" s="3">
        <f>SUMIFS('Raw Data'!$F$2:$F$601,'Raw Data'!$C$2:$C$601,A36)</f>
        <v>24316</v>
      </c>
      <c r="C36" s="3">
        <f>SUMIFS('Raw Data'!$H$2:$H$601,'Raw Data'!$C$2:$C$601,A36)</f>
        <v>23116</v>
      </c>
      <c r="D36" s="4">
        <f t="shared" si="0"/>
        <v>0.95064977792400063</v>
      </c>
      <c r="E36" s="3">
        <f>SUMIFS('Raw Data'!$K$2:$K$601,'Raw Data'!$C$2:$C$601,A36)</f>
        <v>5147</v>
      </c>
    </row>
    <row r="37" spans="1:5" x14ac:dyDescent="0.25">
      <c r="A37" s="3" t="s">
        <v>40</v>
      </c>
      <c r="B37" s="3">
        <f>SUMIFS('Raw Data'!$F$2:$F$601,'Raw Data'!$C$2:$C$601,A37)</f>
        <v>35569</v>
      </c>
      <c r="C37" s="3">
        <f>SUMIFS('Raw Data'!$H$2:$H$601,'Raw Data'!$C$2:$C$601,A37)</f>
        <v>34442</v>
      </c>
      <c r="D37" s="4">
        <f t="shared" si="0"/>
        <v>0.96831510585060021</v>
      </c>
      <c r="E37" s="3">
        <f>SUMIFS('Raw Data'!$K$2:$K$601,'Raw Data'!$C$2:$C$601,A37)</f>
        <v>5053</v>
      </c>
    </row>
    <row r="38" spans="1:5" x14ac:dyDescent="0.25">
      <c r="A38" s="3" t="s">
        <v>50</v>
      </c>
      <c r="B38" s="3">
        <f>SUMIFS('Raw Data'!$F$2:$F$601,'Raw Data'!$C$2:$C$601,A38)</f>
        <v>36397</v>
      </c>
      <c r="C38" s="3">
        <f>SUMIFS('Raw Data'!$H$2:$H$601,'Raw Data'!$C$2:$C$601,A38)</f>
        <v>34669</v>
      </c>
      <c r="D38" s="4">
        <f t="shared" si="0"/>
        <v>0.95252355963403579</v>
      </c>
      <c r="E38" s="3">
        <f>SUMIFS('Raw Data'!$K$2:$K$601,'Raw Data'!$C$2:$C$601,A38)</f>
        <v>5450</v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B11" sqref="B11"/>
    </sheetView>
  </sheetViews>
  <sheetFormatPr defaultRowHeight="15" x14ac:dyDescent="0.25"/>
  <cols>
    <col min="1" max="1" width="24" customWidth="1"/>
    <col min="2" max="2" width="100" customWidth="1"/>
  </cols>
  <sheetData>
    <row r="1" spans="1:6" x14ac:dyDescent="0.25">
      <c r="A1" s="18" t="s">
        <v>59</v>
      </c>
      <c r="B1" s="12"/>
      <c r="C1" s="12"/>
      <c r="D1" s="12"/>
      <c r="E1" s="12"/>
      <c r="F1" s="12"/>
    </row>
    <row r="2" spans="1:6" x14ac:dyDescent="0.25">
      <c r="A2" s="13"/>
      <c r="B2" s="13"/>
      <c r="C2" s="13"/>
      <c r="D2" s="13"/>
      <c r="E2" s="13"/>
      <c r="F2" s="13"/>
    </row>
    <row r="4" spans="1:6" x14ac:dyDescent="0.25">
      <c r="A4" s="7" t="s">
        <v>60</v>
      </c>
      <c r="B4" s="11" t="s">
        <v>61</v>
      </c>
    </row>
    <row r="5" spans="1:6" x14ac:dyDescent="0.25">
      <c r="A5" s="7" t="s">
        <v>62</v>
      </c>
      <c r="B5" s="11" t="s">
        <v>63</v>
      </c>
    </row>
    <row r="6" spans="1:6" x14ac:dyDescent="0.25">
      <c r="A6" s="7" t="s">
        <v>64</v>
      </c>
      <c r="B6" s="11" t="s">
        <v>65</v>
      </c>
    </row>
    <row r="7" spans="1:6" x14ac:dyDescent="0.25">
      <c r="A7" s="7" t="s">
        <v>66</v>
      </c>
      <c r="B7" s="11" t="s">
        <v>67</v>
      </c>
    </row>
    <row r="8" spans="1:6" x14ac:dyDescent="0.25">
      <c r="A8" s="7" t="s">
        <v>68</v>
      </c>
      <c r="B8" s="11" t="s">
        <v>69</v>
      </c>
    </row>
    <row r="9" spans="1:6" x14ac:dyDescent="0.25">
      <c r="A9" s="7" t="s">
        <v>70</v>
      </c>
      <c r="B9" s="11" t="s">
        <v>71</v>
      </c>
    </row>
    <row r="10" spans="1:6" ht="30" x14ac:dyDescent="0.25">
      <c r="A10" s="7" t="s">
        <v>72</v>
      </c>
      <c r="B10" s="11" t="s">
        <v>73</v>
      </c>
    </row>
    <row r="11" spans="1:6" ht="30" x14ac:dyDescent="0.25">
      <c r="A11" s="7" t="s">
        <v>74</v>
      </c>
      <c r="B11" s="11" t="s">
        <v>75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Planning Summary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Nuzmol Islam Khan</cp:lastModifiedBy>
  <dcterms:created xsi:type="dcterms:W3CDTF">2026-08-10T08:37:35Z</dcterms:created>
  <dcterms:modified xsi:type="dcterms:W3CDTF">2026-08-10T09:43:18Z</dcterms:modified>
</cp:coreProperties>
</file>